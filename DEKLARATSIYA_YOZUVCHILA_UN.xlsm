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kzod\Desktop\"/>
    </mc:Choice>
  </mc:AlternateContent>
  <xr:revisionPtr revIDLastSave="0" documentId="13_ncr:1_{ACE46520-7AD0-48DE-97E9-22982A67BC67}" xr6:coauthVersionLast="45" xr6:coauthVersionMax="46" xr10:uidLastSave="{00000000-0000-0000-0000-000000000000}"/>
  <bookViews>
    <workbookView xWindow="-120" yWindow="-120" windowWidth="29040" windowHeight="15840" activeTab="4" xr2:uid="{00000000-000D-0000-FFFF-FFFF00000000}"/>
  </bookViews>
  <sheets>
    <sheet name="invoice" sheetId="1" r:id="rId1"/>
    <sheet name="asosiy" sheetId="6" r:id="rId2"/>
    <sheet name="tovar" sheetId="7" r:id="rId3"/>
    <sheet name="MANIFEST" sheetId="8" r:id="rId4"/>
    <sheet name="passport" sheetId="9" r:id="rId5"/>
    <sheet name="Sheet1" sheetId="10" r:id="rId6"/>
  </sheets>
  <definedNames>
    <definedName name="_xlnm.Print_Area" localSheetId="0">invoice!$B$1:$F$45</definedName>
    <definedName name="region">#REF!</definedName>
    <definedName name="UserName">#REF!</definedName>
    <definedName name="UserTab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2" i="6" l="1"/>
  <c r="AD2" i="6"/>
  <c r="AC2" i="6"/>
  <c r="AB2" i="6"/>
  <c r="AA2" i="6"/>
  <c r="F12" i="1"/>
  <c r="L31" i="1"/>
  <c r="L18" i="1"/>
  <c r="L15" i="1"/>
  <c r="E2" i="9"/>
  <c r="L17" i="1" l="1"/>
  <c r="M15" i="1"/>
  <c r="Q15" i="1" s="1"/>
  <c r="O19" i="1" l="1"/>
  <c r="L41" i="1" l="1"/>
  <c r="D41" i="1"/>
  <c r="L29" i="1"/>
  <c r="M31" i="1" s="1"/>
  <c r="L35" i="1"/>
  <c r="L20" i="1"/>
  <c r="Q21" i="1" s="1"/>
  <c r="Q13" i="1"/>
  <c r="L11" i="1"/>
  <c r="Q11" i="1" s="1"/>
  <c r="N31" i="1" l="1"/>
  <c r="Q25" i="1" s="1"/>
  <c r="L25" i="1"/>
  <c r="Q12" i="1" s="1"/>
  <c r="F30" i="1"/>
  <c r="F15" i="1"/>
  <c r="L33" i="1" l="1"/>
  <c r="F26" i="1"/>
  <c r="F27" i="1"/>
  <c r="M17" i="1" l="1"/>
  <c r="Q17" i="1" s="1"/>
  <c r="L16" i="1"/>
  <c r="M16" i="1" s="1"/>
  <c r="Q16" i="1" s="1"/>
  <c r="F11" i="1" l="1"/>
  <c r="F21" i="1" l="1"/>
  <c r="F17" i="1"/>
  <c r="F16" i="1"/>
  <c r="F18" i="1" l="1"/>
  <c r="F13" i="1"/>
  <c r="L19" i="1" l="1"/>
  <c r="F14" i="1" l="1"/>
  <c r="F19" i="1"/>
  <c r="F20" i="1"/>
  <c r="F22" i="1"/>
  <c r="F23" i="1"/>
  <c r="F24" i="1"/>
  <c r="F25" i="1"/>
  <c r="F28" i="1"/>
  <c r="F29" i="1"/>
  <c r="F31" i="1"/>
  <c r="F32" i="1"/>
  <c r="F33" i="1"/>
  <c r="F34" i="1"/>
  <c r="F35" i="1"/>
  <c r="F36" i="1"/>
  <c r="F37" i="1"/>
  <c r="F38" i="1"/>
  <c r="F39" i="1"/>
  <c r="F40" i="1"/>
  <c r="M19" i="1" l="1"/>
  <c r="Q18" i="1"/>
  <c r="F41" i="1"/>
  <c r="Q27" i="1" s="1"/>
  <c r="N19" i="1" l="1"/>
  <c r="Q20" i="1" s="1"/>
  <c r="Q19" i="1"/>
</calcChain>
</file>

<file path=xl/sharedStrings.xml><?xml version="1.0" encoding="utf-8"?>
<sst xmlns="http://schemas.openxmlformats.org/spreadsheetml/2006/main" count="190" uniqueCount="140">
  <si>
    <t>#</t>
  </si>
  <si>
    <t>INVOICE No</t>
  </si>
  <si>
    <t>WEIGHT</t>
  </si>
  <si>
    <t>TURKIYA QARZ</t>
  </si>
  <si>
    <t>RECIVER NAME</t>
  </si>
  <si>
    <t>RECIVER 2ND NAME</t>
  </si>
  <si>
    <t>REC PASSWORD SER</t>
  </si>
  <si>
    <t>REC PASSWORD NUM</t>
  </si>
  <si>
    <t>REC ADRESS REGION</t>
  </si>
  <si>
    <t>RESIVER ADRESS</t>
  </si>
  <si>
    <t>SAMARQAND</t>
  </si>
  <si>
    <t>name</t>
  </si>
  <si>
    <t>region</t>
  </si>
  <si>
    <t>ANDIJON</t>
  </si>
  <si>
    <t>BUXORO</t>
  </si>
  <si>
    <t>JIZZAX</t>
  </si>
  <si>
    <t>QASHQADARYO</t>
  </si>
  <si>
    <t>NAVOIY</t>
  </si>
  <si>
    <t>NAMANGAN</t>
  </si>
  <si>
    <t>SURXONDARYO</t>
  </si>
  <si>
    <t>SIRDARYO</t>
  </si>
  <si>
    <t>FARGONA</t>
  </si>
  <si>
    <t>XORAZM</t>
  </si>
  <si>
    <t>QORAQALPOQ</t>
  </si>
  <si>
    <t>ident_num</t>
  </si>
  <si>
    <t>ident_data</t>
  </si>
  <si>
    <t>last_name</t>
  </si>
  <si>
    <t>first_name</t>
  </si>
  <si>
    <t>father_name</t>
  </si>
  <si>
    <t>decl_type</t>
  </si>
  <si>
    <t>total_cost</t>
  </si>
  <si>
    <t>receiving_country</t>
  </si>
  <si>
    <t>sending_country</t>
  </si>
  <si>
    <t>citizen</t>
  </si>
  <si>
    <t>ins_time</t>
  </si>
  <si>
    <t>check</t>
  </si>
  <si>
    <t>company_inn</t>
  </si>
  <si>
    <t>brutto</t>
  </si>
  <si>
    <t>type_firma</t>
  </si>
  <si>
    <t>nakl_num</t>
  </si>
  <si>
    <t>region_add</t>
  </si>
  <si>
    <t>district_add</t>
  </si>
  <si>
    <t>pass_num</t>
  </si>
  <si>
    <t>kkdg</t>
  </si>
  <si>
    <t>receiver_inn</t>
  </si>
  <si>
    <t>pass_ser</t>
  </si>
  <si>
    <t>internet</t>
  </si>
  <si>
    <t>test</t>
  </si>
  <si>
    <t>id</t>
  </si>
  <si>
    <t>id_pochta</t>
  </si>
  <si>
    <t>number</t>
  </si>
  <si>
    <t>unit</t>
  </si>
  <si>
    <t>netto</t>
  </si>
  <si>
    <t>quantity</t>
  </si>
  <si>
    <t>cost</t>
  </si>
  <si>
    <t>currency</t>
  </si>
  <si>
    <t>tiftn</t>
  </si>
  <si>
    <t>random betwwen 1-3</t>
  </si>
  <si>
    <t>district</t>
  </si>
  <si>
    <t>count_items</t>
  </si>
  <si>
    <t>realweight</t>
  </si>
  <si>
    <t>UPPER</t>
  </si>
  <si>
    <t>REAL PRICE OF BOX</t>
  </si>
  <si>
    <t>ADRESS:</t>
  </si>
  <si>
    <t>RESIVER ADRESS DISRICT</t>
  </si>
  <si>
    <t>REALWEIGHT</t>
  </si>
  <si>
    <t>PRICE</t>
  </si>
  <si>
    <t>INVOICE No_</t>
  </si>
  <si>
    <t>TODAY DATE</t>
  </si>
  <si>
    <t>CURRENT TIME</t>
  </si>
  <si>
    <t>address</t>
  </si>
  <si>
    <t>AA</t>
  </si>
  <si>
    <t>TOSHKENT S</t>
  </si>
  <si>
    <t>TOSHKENT</t>
  </si>
  <si>
    <t>FAMILIYA</t>
  </si>
  <si>
    <t>ISMI</t>
  </si>
  <si>
    <t>PASSPORT SER</t>
  </si>
  <si>
    <t>PASSPORT NUM</t>
  </si>
  <si>
    <t>KURTKA</t>
  </si>
  <si>
    <t>KRASOVKA</t>
  </si>
  <si>
    <t>SVITER</t>
  </si>
  <si>
    <t>MAYKA</t>
  </si>
  <si>
    <t>LASINA</t>
  </si>
  <si>
    <t>NASKI</t>
  </si>
  <si>
    <t>KOYLAK</t>
  </si>
  <si>
    <t>SPARTIVKA</t>
  </si>
  <si>
    <t>PASTEL</t>
  </si>
  <si>
    <t>KOFTA</t>
  </si>
  <si>
    <t>ETIK</t>
  </si>
  <si>
    <t>KALGOTKI</t>
  </si>
  <si>
    <t>TAPCHKA</t>
  </si>
  <si>
    <t>OBIV</t>
  </si>
  <si>
    <t>BEZRUKAVKA</t>
  </si>
  <si>
    <t>SHIRINLIKLAR</t>
  </si>
  <si>
    <t>PROSTINA</t>
  </si>
  <si>
    <t>ICHKIYIM</t>
  </si>
  <si>
    <t>TROYKA</t>
  </si>
  <si>
    <t>NAVLICKJA</t>
  </si>
  <si>
    <t>RANDOM TOVAR</t>
  </si>
  <si>
    <t>BU VESHI</t>
  </si>
  <si>
    <t>JENSKIY KOYLAK</t>
  </si>
  <si>
    <t>DETSKIY TURSIK</t>
  </si>
  <si>
    <t>DVOYKA</t>
  </si>
  <si>
    <t>SHALVAR</t>
  </si>
  <si>
    <t>DETSKIY NABOR</t>
  </si>
  <si>
    <t>KILO:</t>
  </si>
  <si>
    <t>DETKIY KOYLAK</t>
  </si>
  <si>
    <t>RANDOM</t>
  </si>
  <si>
    <t>TOSHKENT VILOYATI</t>
  </si>
  <si>
    <t>KROS</t>
  </si>
  <si>
    <t>PIJAMA</t>
  </si>
  <si>
    <t>SUMKA</t>
  </si>
  <si>
    <t>VADALASKA</t>
  </si>
  <si>
    <t>DILRABO</t>
  </si>
  <si>
    <t>7963020</t>
  </si>
  <si>
    <t>ARTIKBAEVA</t>
  </si>
  <si>
    <t>MUHABBAT</t>
  </si>
  <si>
    <t>passportlar soni</t>
  </si>
  <si>
    <t>NEVRESIM TAKIM</t>
  </si>
  <si>
    <t>TOVARLAR:</t>
  </si>
  <si>
    <r>
      <t>Name</t>
    </r>
    <r>
      <rPr>
        <b/>
        <sz val="13"/>
        <color rgb="FF000000"/>
        <rFont val="Calibri"/>
        <family val="2"/>
        <scheme val="minor"/>
      </rPr>
      <t xml:space="preserve"> of documents in cargo manifest/Перечень сведений, указываемых в манифесте</t>
    </r>
  </si>
  <si>
    <t>Waybill name/Номер транспортной накладной:</t>
  </si>
  <si>
    <t>№</t>
  </si>
  <si>
    <t>Invoice numbers/Номера инвойсов</t>
  </si>
  <si>
    <t>Receiver’s name/Ф.И.О. получателей:</t>
  </si>
  <si>
    <t>Passport number/ Серия и номер паспортов получателей</t>
  </si>
  <si>
    <t>Gross weight/Вес брутто посылки</t>
  </si>
  <si>
    <t>Total price/Цена посылки</t>
  </si>
  <si>
    <t>SPARTIVKA JEN</t>
  </si>
  <si>
    <t>MIRAKBAROVA</t>
  </si>
  <si>
    <t>Shapka</t>
  </si>
  <si>
    <t>Palto</t>
  </si>
  <si>
    <t>Shim</t>
  </si>
  <si>
    <t>Jemper</t>
  </si>
  <si>
    <t>Koylak</t>
  </si>
  <si>
    <t>Dvoyka</t>
  </si>
  <si>
    <t>Nijnee Bele</t>
  </si>
  <si>
    <t>235ISL77988470</t>
  </si>
  <si>
    <t>KIMDUROVA</t>
  </si>
  <si>
    <t>KIMDUR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</si>
</sst>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[$-409]m/d/yy\ h:mm\ AM/PM;@"/>
  </numFmts>
  <fonts count="2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4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sz val="10"/>
      <color indexed="8"/>
      <name val="Arial"/>
      <family val="2"/>
    </font>
    <font>
      <sz val="16"/>
      <color theme="1"/>
      <name val="Calibri"/>
      <family val="2"/>
      <scheme val="minor"/>
    </font>
    <font>
      <b/>
      <sz val="28"/>
      <color rgb="FFFF0000"/>
      <name val="Baskerville Old Face"/>
      <family val="1"/>
    </font>
    <font>
      <b/>
      <sz val="2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i/>
      <sz val="1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8"/>
      <color theme="1"/>
      <name val="Calibri"/>
      <family val="2"/>
    </font>
    <font>
      <sz val="11"/>
      <color theme="1"/>
      <name val="Calibr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4" fillId="0" borderId="0"/>
    <xf numFmtId="0" fontId="6" fillId="0" borderId="0"/>
    <xf numFmtId="0" fontId="16" fillId="0" borderId="0"/>
  </cellStyleXfs>
  <cellXfs count="120">
    <xf numFmtId="0" fontId="0" fillId="0" borderId="0" xfId="0"/>
    <xf numFmtId="0" fontId="0" fillId="0" borderId="0" xfId="0" applyProtection="1"/>
    <xf numFmtId="0" fontId="7" fillId="0" borderId="0" xfId="0" applyFont="1" applyAlignment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0" xfId="0" applyNumberFormat="1" applyFont="1" applyAlignment="1" applyProtection="1"/>
    <xf numFmtId="0" fontId="13" fillId="0" borderId="0" xfId="0" applyNumberFormat="1" applyFont="1" applyAlignment="1" applyProtection="1"/>
    <xf numFmtId="0" fontId="0" fillId="0" borderId="0" xfId="0" applyNumberFormat="1" applyFont="1" applyProtection="1"/>
    <xf numFmtId="0" fontId="10" fillId="0" borderId="0" xfId="0" applyNumberFormat="1" applyFont="1" applyAlignment="1" applyProtection="1">
      <alignment horizontal="center" vertical="center"/>
    </xf>
    <xf numFmtId="0" fontId="0" fillId="0" borderId="0" xfId="0" applyNumberFormat="1" applyProtection="1"/>
    <xf numFmtId="0" fontId="13" fillId="0" borderId="0" xfId="0" applyNumberFormat="1" applyFont="1" applyBorder="1" applyAlignment="1" applyProtection="1"/>
    <xf numFmtId="0" fontId="0" fillId="0" borderId="0" xfId="0" applyNumberFormat="1" applyFont="1" applyBorder="1" applyAlignment="1" applyProtection="1"/>
    <xf numFmtId="0" fontId="10" fillId="0" borderId="0" xfId="0" applyNumberFormat="1" applyFont="1" applyBorder="1" applyAlignment="1" applyProtection="1"/>
    <xf numFmtId="0" fontId="0" fillId="0" borderId="0" xfId="0" applyNumberFormat="1" applyBorder="1" applyAlignment="1" applyProtection="1">
      <alignment vertical="center"/>
    </xf>
    <xf numFmtId="0" fontId="10" fillId="0" borderId="1" xfId="0" applyNumberFormat="1" applyFont="1" applyBorder="1" applyAlignment="1" applyProtection="1">
      <alignment horizontal="center" vertical="center"/>
      <protection locked="0"/>
    </xf>
    <xf numFmtId="0" fontId="2" fillId="0" borderId="0" xfId="0" applyNumberFormat="1" applyFont="1" applyProtection="1"/>
    <xf numFmtId="0" fontId="2" fillId="0" borderId="0" xfId="0" applyNumberFormat="1" applyFont="1" applyAlignment="1" applyProtection="1">
      <alignment wrapText="1"/>
    </xf>
    <xf numFmtId="0" fontId="10" fillId="0" borderId="0" xfId="0" applyNumberFormat="1" applyFont="1" applyProtection="1">
      <protection locked="0"/>
    </xf>
    <xf numFmtId="0" fontId="10" fillId="0" borderId="0" xfId="0" applyNumberFormat="1" applyFont="1" applyBorder="1" applyProtection="1"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right" vertical="center"/>
      <protection locked="0"/>
    </xf>
    <xf numFmtId="0" fontId="10" fillId="0" borderId="0" xfId="0" applyNumberFormat="1" applyFont="1" applyBorder="1" applyAlignment="1" applyProtection="1">
      <alignment horizontal="right" vertical="center"/>
      <protection locked="0"/>
    </xf>
    <xf numFmtId="0" fontId="10" fillId="0" borderId="0" xfId="0" applyNumberFormat="1" applyFont="1" applyFill="1" applyBorder="1" applyAlignment="1" applyProtection="1">
      <alignment horizontal="right" vertical="center"/>
      <protection locked="0"/>
    </xf>
    <xf numFmtId="0" fontId="11" fillId="0" borderId="0" xfId="1" applyNumberFormat="1" applyFont="1" applyFill="1" applyBorder="1" applyAlignment="1" applyProtection="1">
      <alignment horizontal="right" vertical="center" wrapText="1"/>
      <protection locked="0"/>
    </xf>
    <xf numFmtId="0" fontId="11" fillId="0" borderId="1" xfId="1" applyNumberFormat="1" applyFont="1" applyFill="1" applyBorder="1" applyAlignment="1" applyProtection="1">
      <alignment horizontal="right" vertical="center" wrapText="1"/>
      <protection locked="0"/>
    </xf>
    <xf numFmtId="0" fontId="11" fillId="0" borderId="1" xfId="2" applyNumberFormat="1" applyFont="1" applyFill="1" applyBorder="1" applyAlignment="1" applyProtection="1">
      <alignment horizontal="right" vertical="center" wrapText="1"/>
      <protection locked="0"/>
    </xf>
    <xf numFmtId="0" fontId="10" fillId="0" borderId="3" xfId="0" applyNumberFormat="1" applyFont="1" applyBorder="1" applyAlignment="1" applyProtection="1">
      <alignment horizontal="right" vertical="center"/>
      <protection locked="0"/>
    </xf>
    <xf numFmtId="0" fontId="11" fillId="0" borderId="1" xfId="2" applyNumberFormat="1" applyFont="1" applyFill="1" applyBorder="1" applyAlignment="1" applyProtection="1">
      <alignment wrapText="1"/>
      <protection locked="0"/>
    </xf>
    <xf numFmtId="0" fontId="12" fillId="0" borderId="1" xfId="0" applyNumberFormat="1" applyFont="1" applyBorder="1" applyAlignment="1" applyProtection="1">
      <alignment horizontal="center" vertical="center"/>
      <protection locked="0"/>
    </xf>
    <xf numFmtId="14" fontId="11" fillId="0" borderId="1" xfId="2" applyNumberFormat="1" applyFont="1" applyFill="1" applyBorder="1" applyAlignment="1" applyProtection="1">
      <alignment horizontal="right" vertical="center" wrapText="1"/>
      <protection locked="0"/>
    </xf>
    <xf numFmtId="0" fontId="14" fillId="0" borderId="0" xfId="0" applyNumberFormat="1" applyFont="1" applyBorder="1" applyAlignment="1" applyProtection="1">
      <alignment wrapText="1"/>
    </xf>
    <xf numFmtId="0" fontId="0" fillId="0" borderId="0" xfId="0" applyNumberFormat="1" applyFont="1" applyAlignment="1" applyProtection="1">
      <alignment horizontal="right"/>
    </xf>
    <xf numFmtId="0" fontId="0" fillId="0" borderId="0" xfId="0" applyNumberFormat="1" applyFont="1" applyBorder="1" applyAlignment="1" applyProtection="1">
      <alignment horizontal="right"/>
    </xf>
    <xf numFmtId="0" fontId="15" fillId="0" borderId="0" xfId="1" applyNumberFormat="1" applyFont="1" applyFill="1" applyBorder="1" applyAlignment="1" applyProtection="1">
      <alignment wrapText="1"/>
    </xf>
    <xf numFmtId="0" fontId="0" fillId="0" borderId="1" xfId="2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49" fontId="10" fillId="0" borderId="1" xfId="0" applyNumberFormat="1" applyFont="1" applyBorder="1" applyAlignment="1" applyProtection="1">
      <alignment horizontal="right" vertical="center"/>
      <protection locked="0"/>
    </xf>
    <xf numFmtId="0" fontId="0" fillId="0" borderId="0" xfId="0" applyNumberFormat="1" applyFont="1" applyAlignment="1" applyProtection="1">
      <alignment horizontal="center" vertical="center"/>
    </xf>
    <xf numFmtId="0" fontId="0" fillId="0" borderId="0" xfId="0" applyNumberFormat="1" applyFont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1" fillId="0" borderId="6" xfId="0" applyNumberFormat="1" applyFont="1" applyBorder="1" applyAlignment="1" applyProtection="1">
      <alignment horizontal="center" vertical="center" wrapText="1"/>
    </xf>
    <xf numFmtId="0" fontId="20" fillId="0" borderId="7" xfId="0" applyNumberFormat="1" applyFont="1" applyBorder="1" applyAlignment="1" applyProtection="1">
      <alignment horizontal="center" vertical="center" wrapText="1"/>
    </xf>
    <xf numFmtId="0" fontId="10" fillId="0" borderId="0" xfId="0" applyNumberFormat="1" applyFont="1" applyProtection="1"/>
    <xf numFmtId="0" fontId="10" fillId="0" borderId="0" xfId="0" applyNumberFormat="1" applyFont="1" applyBorder="1" applyProtection="1"/>
    <xf numFmtId="0" fontId="10" fillId="0" borderId="0" xfId="0" applyNumberFormat="1" applyFont="1" applyFill="1" applyBorder="1" applyProtection="1"/>
    <xf numFmtId="0" fontId="11" fillId="0" borderId="0" xfId="1" applyNumberFormat="1" applyFont="1" applyFill="1" applyBorder="1" applyAlignment="1" applyProtection="1">
      <alignment wrapText="1"/>
    </xf>
    <xf numFmtId="0" fontId="11" fillId="0" borderId="0" xfId="2" applyNumberFormat="1" applyFont="1" applyFill="1" applyBorder="1" applyAlignment="1" applyProtection="1">
      <alignment wrapText="1"/>
    </xf>
    <xf numFmtId="0" fontId="1" fillId="0" borderId="6" xfId="0" applyNumberFormat="1" applyFont="1" applyBorder="1" applyAlignment="1" applyProtection="1">
      <alignment horizontal="center" vertical="center" wrapText="1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right"/>
      <protection locked="0"/>
    </xf>
    <xf numFmtId="0" fontId="0" fillId="0" borderId="0" xfId="0" applyNumberFormat="1" applyProtection="1">
      <protection locked="0"/>
    </xf>
    <xf numFmtId="0" fontId="0" fillId="0" borderId="1" xfId="0" applyNumberFormat="1" applyFont="1" applyBorder="1" applyAlignment="1" applyProtection="1">
      <alignment horizontal="center" vertical="center"/>
      <protection locked="0"/>
    </xf>
    <xf numFmtId="14" fontId="0" fillId="0" borderId="1" xfId="0" applyNumberFormat="1" applyFont="1" applyBorder="1" applyAlignment="1" applyProtection="1">
      <alignment horizontal="right"/>
      <protection locked="0"/>
    </xf>
    <xf numFmtId="22" fontId="0" fillId="0" borderId="1" xfId="0" applyNumberFormat="1" applyFont="1" applyBorder="1" applyAlignment="1" applyProtection="1">
      <alignment horizontal="right"/>
      <protection locked="0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Alignment="1" applyProtection="1">
      <alignment horizontal="right"/>
      <protection locked="0"/>
    </xf>
    <xf numFmtId="0" fontId="0" fillId="0" borderId="0" xfId="0" applyNumberFormat="1" applyFont="1" applyProtection="1">
      <protection locked="0"/>
    </xf>
    <xf numFmtId="0" fontId="17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2" fontId="17" fillId="0" borderId="0" xfId="0" applyNumberFormat="1" applyFont="1" applyAlignment="1">
      <alignment horizontal="center"/>
    </xf>
    <xf numFmtId="164" fontId="17" fillId="0" borderId="0" xfId="0" applyNumberFormat="1" applyFont="1" applyAlignment="1">
      <alignment horizontal="center"/>
    </xf>
    <xf numFmtId="0" fontId="17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 wrapText="1"/>
    </xf>
    <xf numFmtId="2" fontId="17" fillId="0" borderId="1" xfId="0" applyNumberFormat="1" applyFont="1" applyBorder="1" applyAlignment="1">
      <alignment horizontal="center" vertical="center" wrapText="1"/>
    </xf>
    <xf numFmtId="164" fontId="17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left" vertical="center"/>
    </xf>
    <xf numFmtId="165" fontId="0" fillId="0" borderId="1" xfId="0" applyNumberFormat="1" applyBorder="1"/>
    <xf numFmtId="0" fontId="1" fillId="0" borderId="1" xfId="0" applyNumberFormat="1" applyFont="1" applyBorder="1" applyAlignment="1" applyProtection="1">
      <alignment horizontal="center" vertical="center" wrapText="1"/>
    </xf>
    <xf numFmtId="0" fontId="1" fillId="0" borderId="8" xfId="0" applyNumberFormat="1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vertical="center" wrapText="1"/>
      <protection locked="0"/>
    </xf>
    <xf numFmtId="0" fontId="1" fillId="0" borderId="1" xfId="0" applyNumberFormat="1" applyFont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>
      <alignment vertical="center" wrapText="1"/>
    </xf>
    <xf numFmtId="0" fontId="1" fillId="0" borderId="2" xfId="0" applyNumberFormat="1" applyFont="1" applyBorder="1" applyAlignment="1" applyProtection="1">
      <alignment horizontal="center" vertical="center" wrapText="1"/>
    </xf>
    <xf numFmtId="0" fontId="0" fillId="0" borderId="1" xfId="0" applyBorder="1"/>
    <xf numFmtId="0" fontId="23" fillId="0" borderId="1" xfId="0" applyFont="1" applyBorder="1" applyAlignment="1">
      <alignment vertical="center" wrapText="1"/>
    </xf>
    <xf numFmtId="14" fontId="0" fillId="0" borderId="1" xfId="0" applyNumberFormat="1" applyBorder="1"/>
    <xf numFmtId="0" fontId="23" fillId="0" borderId="9" xfId="0" applyFont="1" applyBorder="1" applyAlignment="1">
      <alignment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17" fillId="0" borderId="1" xfId="0" applyFont="1" applyBorder="1"/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164" fontId="17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17" fillId="0" borderId="6" xfId="0" applyFont="1" applyBorder="1"/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/>
    </xf>
    <xf numFmtId="0" fontId="17" fillId="0" borderId="0" xfId="0" applyFont="1" applyBorder="1"/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/>
    </xf>
    <xf numFmtId="0" fontId="24" fillId="0" borderId="10" xfId="0" applyFont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10" fillId="0" borderId="0" xfId="0" applyNumberFormat="1" applyFont="1" applyBorder="1" applyAlignment="1" applyProtection="1">
      <alignment horizontal="center"/>
    </xf>
    <xf numFmtId="0" fontId="9" fillId="0" borderId="1" xfId="0" applyNumberFormat="1" applyFont="1" applyBorder="1" applyAlignment="1" applyProtection="1">
      <alignment horizontal="center" vertical="center"/>
    </xf>
    <xf numFmtId="0" fontId="8" fillId="2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NumberFormat="1" applyFont="1" applyBorder="1" applyAlignment="1" applyProtection="1">
      <alignment horizontal="center" vertical="center" wrapText="1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" xfId="0" applyNumberFormat="1" applyFont="1" applyBorder="1" applyAlignment="1" applyProtection="1">
      <alignment horizontal="center"/>
    </xf>
    <xf numFmtId="49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2" xfId="0" applyNumberFormat="1" applyFont="1" applyBorder="1" applyAlignment="1" applyProtection="1">
      <alignment horizontal="center"/>
    </xf>
    <xf numFmtId="0" fontId="1" fillId="0" borderId="3" xfId="0" applyNumberFormat="1" applyFont="1" applyBorder="1" applyAlignment="1" applyProtection="1">
      <alignment horizontal="center"/>
    </xf>
    <xf numFmtId="0" fontId="21" fillId="3" borderId="1" xfId="0" applyFont="1" applyFill="1" applyBorder="1" applyAlignment="1">
      <alignment horizontal="center" vertical="center" wrapText="1"/>
    </xf>
    <xf numFmtId="0" fontId="22" fillId="4" borderId="1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3" xr:uid="{D4EE56E7-709E-4AF5-8F66-F7B9960A4BF5}"/>
    <cellStyle name="Normal_invoice" xfId="1" xr:uid="{838E54F4-6D32-4B60-8D6B-32D1ECDF9752}"/>
    <cellStyle name="Normal_invoice_1" xfId="2" xr:uid="{3F7608A7-80EA-471E-ADD6-5A3CAE0E807A}"/>
  </cellStyles>
  <dxfs count="0"/>
  <tableStyles count="0" defaultTableStyle="TableStyleMedium2" defaultPivotStyle="PivotStyleLight16"/>
  <colors>
    <mruColors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666750</xdr:colOff>
      <xdr:row>1</xdr:row>
      <xdr:rowOff>51289</xdr:rowOff>
    </xdr:from>
    <xdr:to>
      <xdr:col>20</xdr:col>
      <xdr:colOff>73269</xdr:colOff>
      <xdr:row>3</xdr:row>
      <xdr:rowOff>95250</xdr:rowOff>
    </xdr:to>
    <xdr:sp macro="[0]!Sheet1.full" textlink="">
      <xdr:nvSpPr>
        <xdr:cNvPr id="2" name="Oval 1">
          <a:extLst>
            <a:ext uri="{FF2B5EF4-FFF2-40B4-BE49-F238E27FC236}">
              <a16:creationId xmlns:a16="http://schemas.microsoft.com/office/drawing/2014/main" id="{4623BBDA-66B2-4AC5-B1FE-2302AFCD9D80}"/>
            </a:ext>
          </a:extLst>
        </xdr:cNvPr>
        <xdr:cNvSpPr/>
      </xdr:nvSpPr>
      <xdr:spPr>
        <a:xfrm>
          <a:off x="9341827" y="51289"/>
          <a:ext cx="1003788" cy="43961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FULL</a:t>
          </a:r>
        </a:p>
      </xdr:txBody>
    </xdr:sp>
    <xdr:clientData/>
  </xdr:twoCellAnchor>
  <xdr:twoCellAnchor>
    <xdr:from>
      <xdr:col>6</xdr:col>
      <xdr:colOff>196455</xdr:colOff>
      <xdr:row>1</xdr:row>
      <xdr:rowOff>71438</xdr:rowOff>
    </xdr:from>
    <xdr:to>
      <xdr:col>18</xdr:col>
      <xdr:colOff>559596</xdr:colOff>
      <xdr:row>3</xdr:row>
      <xdr:rowOff>23812</xdr:rowOff>
    </xdr:to>
    <xdr:sp macro="[0]!Sheet1.clear" textlink="">
      <xdr:nvSpPr>
        <xdr:cNvPr id="3" name="Rectangle 2">
          <a:extLst>
            <a:ext uri="{FF2B5EF4-FFF2-40B4-BE49-F238E27FC236}">
              <a16:creationId xmlns:a16="http://schemas.microsoft.com/office/drawing/2014/main" id="{A06F22A7-9433-4B14-B598-CE28B5DCCFED}"/>
            </a:ext>
          </a:extLst>
        </xdr:cNvPr>
        <xdr:cNvSpPr/>
      </xdr:nvSpPr>
      <xdr:spPr>
        <a:xfrm>
          <a:off x="8370096" y="71438"/>
          <a:ext cx="869156" cy="35123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CLEAN</a:t>
          </a:r>
        </a:p>
      </xdr:txBody>
    </xdr:sp>
    <xdr:clientData/>
  </xdr:twoCellAnchor>
  <xdr:twoCellAnchor>
    <xdr:from>
      <xdr:col>6</xdr:col>
      <xdr:colOff>386952</xdr:colOff>
      <xdr:row>4</xdr:row>
      <xdr:rowOff>208361</xdr:rowOff>
    </xdr:from>
    <xdr:to>
      <xdr:col>19</xdr:col>
      <xdr:colOff>333374</xdr:colOff>
      <xdr:row>8</xdr:row>
      <xdr:rowOff>95250</xdr:rowOff>
    </xdr:to>
    <xdr:sp macro="[0]!Sheet1.new_list" textlink="">
      <xdr:nvSpPr>
        <xdr:cNvPr id="4" name="Rectangle 3">
          <a:extLst>
            <a:ext uri="{FF2B5EF4-FFF2-40B4-BE49-F238E27FC236}">
              <a16:creationId xmlns:a16="http://schemas.microsoft.com/office/drawing/2014/main" id="{E3C17260-9651-4ECB-B17A-1BA23FCA7F76}"/>
            </a:ext>
          </a:extLst>
        </xdr:cNvPr>
        <xdr:cNvSpPr/>
      </xdr:nvSpPr>
      <xdr:spPr>
        <a:xfrm>
          <a:off x="8560593" y="827486"/>
          <a:ext cx="1708547" cy="76795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YOZIDIR</a:t>
          </a:r>
        </a:p>
        <a:p>
          <a:pPr algn="ctr"/>
          <a:endParaRPr lang="en-US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229331</xdr:colOff>
      <xdr:row>0</xdr:row>
      <xdr:rowOff>83526</xdr:rowOff>
    </xdr:from>
    <xdr:to>
      <xdr:col>2</xdr:col>
      <xdr:colOff>2000982</xdr:colOff>
      <xdr:row>0</xdr:row>
      <xdr:rowOff>864577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8425D6F7-AED3-4CBC-8AFA-02E37B3F8062}"/>
            </a:ext>
          </a:extLst>
        </xdr:cNvPr>
        <xdr:cNvSpPr/>
      </xdr:nvSpPr>
      <xdr:spPr>
        <a:xfrm>
          <a:off x="229331" y="83526"/>
          <a:ext cx="2905126" cy="781051"/>
        </a:xfrm>
        <a:prstGeom prst="roundRect">
          <a:avLst/>
        </a:prstGeom>
        <a:noFill/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accent6">
                  <a:lumMod val="50000"/>
                </a:schemeClr>
              </a:solidFill>
            </a:rPr>
            <a:t>HAMKOR EXPRESS </a:t>
          </a:r>
          <a:r>
            <a:rPr lang="en-US" sz="1200">
              <a:solidFill>
                <a:sysClr val="windowText" lastClr="000000"/>
              </a:solidFill>
            </a:rPr>
            <a:t>VE ULUS TAS LTD STI OSMONAGA MAH SOGULCASME CAD BULVAR CARSISI 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180975</xdr:colOff>
      <xdr:row>0</xdr:row>
      <xdr:rowOff>80596</xdr:rowOff>
    </xdr:from>
    <xdr:to>
      <xdr:col>5</xdr:col>
      <xdr:colOff>802298</xdr:colOff>
      <xdr:row>0</xdr:row>
      <xdr:rowOff>861646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6D5FE67F-BA81-4276-85B3-E075DC7716A1}"/>
            </a:ext>
          </a:extLst>
        </xdr:cNvPr>
        <xdr:cNvSpPr/>
      </xdr:nvSpPr>
      <xdr:spPr>
        <a:xfrm>
          <a:off x="3571875" y="80596"/>
          <a:ext cx="3202598" cy="781050"/>
        </a:xfrm>
        <a:prstGeom prst="roundRect">
          <a:avLst/>
        </a:prstGeom>
        <a:noFill/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400" b="1" baseline="0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BEST EXPRESS 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TOSHKENT SHAXAR OLMAZOR TUMANI BERUNIY B-1 11/27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n-US" sz="12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oneCellAnchor>
    <xdr:from>
      <xdr:col>2</xdr:col>
      <xdr:colOff>590550</xdr:colOff>
      <xdr:row>0</xdr:row>
      <xdr:rowOff>990600</xdr:rowOff>
    </xdr:from>
    <xdr:ext cx="3195683" cy="1469826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BF0A5F8-C4DC-4ACD-AA26-0103FAF505E5}"/>
            </a:ext>
          </a:extLst>
        </xdr:cNvPr>
        <xdr:cNvSpPr txBox="1"/>
      </xdr:nvSpPr>
      <xdr:spPr>
        <a:xfrm>
          <a:off x="1724025" y="990600"/>
          <a:ext cx="3195683" cy="14698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ru-RU" sz="2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CARGO MANIFEST</a:t>
          </a:r>
          <a:endParaRPr lang="en-US" sz="2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ru-RU" sz="2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ГРУЗОВОЙ МАНИФЕСТ</a:t>
          </a:r>
          <a:endParaRPr lang="en-US" sz="2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US" sz="40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8D2B153-7727-4AA9-9B2F-E876F46D9C27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8463B099-C2B5-4442-B856-9027D68C1B49}">
  <we:reference id="wa200001673" version="1.0.0.4" store="en-US" storeType="OMEX"/>
  <we:alternateReferences>
    <we:reference id="wa200001673" version="1.0.0.4" store="WA20000167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265"/>
  <sheetViews>
    <sheetView showGridLines="0" showRowColHeaders="0" topLeftCell="A2" zoomScale="107" zoomScaleNormal="145" zoomScaleSheetLayoutView="100" workbookViewId="0">
      <selection activeCell="D7" sqref="D7:F7"/>
    </sheetView>
  </sheetViews>
  <sheetFormatPr defaultRowHeight="15" x14ac:dyDescent="0.25"/>
  <cols>
    <col min="1" max="1" width="46.5703125" style="41" customWidth="1"/>
    <col min="2" max="2" width="3.5703125" style="3" customWidth="1"/>
    <col min="3" max="3" width="38.5703125" style="3" customWidth="1"/>
    <col min="4" max="4" width="13.5703125" style="3" customWidth="1"/>
    <col min="5" max="5" width="7.85546875" style="3" customWidth="1"/>
    <col min="6" max="6" width="12.42578125" style="10" customWidth="1"/>
    <col min="7" max="7" width="7.5703125" style="10" customWidth="1"/>
    <col min="8" max="8" width="18.28515625" style="7" hidden="1" customWidth="1"/>
    <col min="9" max="9" width="24.140625" style="8" hidden="1" customWidth="1"/>
    <col min="10" max="10" width="9.140625" style="9" hidden="1" customWidth="1"/>
    <col min="11" max="11" width="20.140625" style="10" hidden="1" customWidth="1"/>
    <col min="12" max="12" width="24.85546875" style="47" hidden="1" customWidth="1"/>
    <col min="13" max="13" width="15.140625" style="47" hidden="1" customWidth="1"/>
    <col min="14" max="14" width="9.140625" style="47" hidden="1" customWidth="1"/>
    <col min="15" max="15" width="9" style="47" hidden="1" customWidth="1"/>
    <col min="16" max="16" width="22.85546875" style="9" hidden="1" customWidth="1"/>
    <col min="17" max="17" width="22.42578125" style="33" hidden="1" customWidth="1"/>
    <col min="18" max="18" width="10.85546875" style="11" hidden="1" customWidth="1"/>
    <col min="19" max="19" width="18.85546875" style="44" bestFit="1" customWidth="1"/>
    <col min="20" max="20" width="5" style="1" customWidth="1"/>
    <col min="21" max="24" width="9.140625" style="1"/>
  </cols>
  <sheetData>
    <row r="1" spans="1:20" ht="13.5" hidden="1" customHeight="1" x14ac:dyDescent="0.25">
      <c r="C1" s="4"/>
      <c r="D1" s="4"/>
      <c r="E1" s="5"/>
      <c r="F1" s="5"/>
      <c r="G1" s="6"/>
    </row>
    <row r="2" spans="1:20" ht="18" customHeight="1" x14ac:dyDescent="0.25">
      <c r="B2" s="104" t="s">
        <v>67</v>
      </c>
      <c r="C2" s="104"/>
      <c r="D2" s="105">
        <v>718</v>
      </c>
      <c r="E2" s="105"/>
      <c r="F2" s="105"/>
      <c r="G2" s="6"/>
    </row>
    <row r="3" spans="1:20" ht="13.5" customHeight="1" x14ac:dyDescent="0.25">
      <c r="B3" s="104"/>
      <c r="C3" s="104"/>
      <c r="D3" s="105"/>
      <c r="E3" s="105"/>
      <c r="F3" s="105"/>
      <c r="I3" s="12"/>
    </row>
    <row r="4" spans="1:20" ht="17.25" customHeight="1" x14ac:dyDescent="0.25">
      <c r="B4" s="106" t="s">
        <v>74</v>
      </c>
      <c r="C4" s="106"/>
      <c r="D4" s="107" t="s">
        <v>115</v>
      </c>
      <c r="E4" s="107"/>
      <c r="F4" s="107"/>
      <c r="I4" s="12"/>
      <c r="J4" s="13"/>
      <c r="K4" s="14"/>
      <c r="L4" s="14"/>
    </row>
    <row r="5" spans="1:20" ht="17.25" customHeight="1" x14ac:dyDescent="0.25">
      <c r="A5" s="42"/>
      <c r="B5" s="106" t="s">
        <v>75</v>
      </c>
      <c r="C5" s="106"/>
      <c r="D5" s="107" t="s">
        <v>116</v>
      </c>
      <c r="E5" s="107"/>
      <c r="F5" s="107"/>
      <c r="J5" s="13"/>
      <c r="K5" s="103"/>
      <c r="L5" s="103"/>
    </row>
    <row r="6" spans="1:20" ht="17.25" customHeight="1" x14ac:dyDescent="0.25">
      <c r="A6" s="42"/>
      <c r="B6" s="112" t="s">
        <v>76</v>
      </c>
      <c r="C6" s="112"/>
      <c r="D6" s="107" t="s">
        <v>71</v>
      </c>
      <c r="E6" s="107"/>
      <c r="F6" s="107"/>
      <c r="J6" s="13"/>
      <c r="K6" s="14"/>
      <c r="L6" s="14"/>
    </row>
    <row r="7" spans="1:20" ht="17.25" customHeight="1" x14ac:dyDescent="0.25">
      <c r="A7" s="42"/>
      <c r="B7" s="116" t="s">
        <v>77</v>
      </c>
      <c r="C7" s="117"/>
      <c r="D7" s="113"/>
      <c r="E7" s="114"/>
      <c r="F7" s="115"/>
      <c r="J7" s="13"/>
      <c r="K7" s="14"/>
      <c r="L7" s="14"/>
    </row>
    <row r="8" spans="1:20" ht="17.25" customHeight="1" x14ac:dyDescent="0.25">
      <c r="A8" s="42"/>
      <c r="B8" s="112" t="s">
        <v>63</v>
      </c>
      <c r="C8" s="112"/>
      <c r="D8" s="108" t="s">
        <v>73</v>
      </c>
      <c r="E8" s="109"/>
      <c r="F8" s="110"/>
      <c r="H8" s="9"/>
      <c r="I8" s="9"/>
      <c r="J8" s="13"/>
      <c r="K8" s="14"/>
      <c r="L8" s="14"/>
    </row>
    <row r="9" spans="1:20" ht="21.75" customHeight="1" x14ac:dyDescent="0.25">
      <c r="A9" s="42"/>
      <c r="B9" s="116" t="s">
        <v>107</v>
      </c>
      <c r="C9" s="117"/>
      <c r="D9" s="108"/>
      <c r="E9" s="109"/>
      <c r="F9" s="110"/>
      <c r="H9" s="9"/>
      <c r="I9" s="9"/>
      <c r="J9" s="13"/>
      <c r="K9" s="14"/>
      <c r="L9" s="14"/>
    </row>
    <row r="10" spans="1:20" ht="27" customHeight="1" thickBot="1" x14ac:dyDescent="0.3">
      <c r="A10" s="42"/>
      <c r="B10" s="75" t="s">
        <v>0</v>
      </c>
      <c r="C10" s="45" t="s">
        <v>105</v>
      </c>
      <c r="D10" s="111">
        <v>5</v>
      </c>
      <c r="E10" s="111"/>
      <c r="F10" s="110"/>
      <c r="H10" s="9"/>
      <c r="I10" s="9"/>
      <c r="J10" s="13"/>
      <c r="K10" s="14"/>
      <c r="L10" s="14"/>
      <c r="M10" s="48"/>
      <c r="N10" s="49"/>
      <c r="O10" s="50"/>
      <c r="P10" s="35"/>
      <c r="Q10" s="34"/>
      <c r="S10" s="45" t="s">
        <v>119</v>
      </c>
    </row>
    <row r="11" spans="1:20" ht="13.5" customHeight="1" thickBot="1" x14ac:dyDescent="0.3">
      <c r="A11" s="42"/>
      <c r="B11" s="79">
        <v>1</v>
      </c>
      <c r="C11" s="98" t="s">
        <v>81</v>
      </c>
      <c r="D11" s="99">
        <v>2</v>
      </c>
      <c r="E11" s="83">
        <v>2</v>
      </c>
      <c r="F11" s="74">
        <f t="shared" ref="F11:F25" si="0">E11*D11</f>
        <v>4</v>
      </c>
      <c r="H11" s="9"/>
      <c r="I11" s="9"/>
      <c r="J11" s="13"/>
      <c r="K11" s="21" t="s">
        <v>1</v>
      </c>
      <c r="L11" s="22">
        <f>D2</f>
        <v>718</v>
      </c>
      <c r="M11" s="23"/>
      <c r="N11" s="24"/>
      <c r="O11" s="25"/>
      <c r="P11" s="53" t="s">
        <v>1</v>
      </c>
      <c r="Q11" s="54" t="str">
        <f>SUBSTITUTE(L11," ","")</f>
        <v>718</v>
      </c>
      <c r="R11" s="55"/>
      <c r="S11" s="56" t="s">
        <v>100</v>
      </c>
      <c r="T11" s="72">
        <v>1</v>
      </c>
    </row>
    <row r="12" spans="1:20" ht="13.5" customHeight="1" thickBot="1" x14ac:dyDescent="0.3">
      <c r="A12" s="42"/>
      <c r="B12" s="79">
        <v>2</v>
      </c>
      <c r="C12" s="100" t="s">
        <v>95</v>
      </c>
      <c r="D12" s="101">
        <v>1</v>
      </c>
      <c r="E12" s="78">
        <v>1</v>
      </c>
      <c r="F12" s="74">
        <f>E12*D12</f>
        <v>1</v>
      </c>
      <c r="H12" s="9"/>
      <c r="I12" s="9"/>
      <c r="J12" s="13"/>
      <c r="K12" s="21"/>
      <c r="L12" s="22"/>
      <c r="M12" s="23"/>
      <c r="N12" s="24"/>
      <c r="O12" s="25"/>
      <c r="P12" s="53" t="s">
        <v>68</v>
      </c>
      <c r="Q12" s="57">
        <f ca="1">L25</f>
        <v>44381</v>
      </c>
      <c r="R12" s="55"/>
      <c r="S12" s="56" t="s">
        <v>109</v>
      </c>
      <c r="T12" s="72">
        <v>2</v>
      </c>
    </row>
    <row r="13" spans="1:20" ht="13.5" customHeight="1" thickBot="1" x14ac:dyDescent="0.3">
      <c r="A13" s="42"/>
      <c r="B13" s="79">
        <v>3</v>
      </c>
      <c r="C13" s="100" t="s">
        <v>89</v>
      </c>
      <c r="D13" s="101">
        <v>3</v>
      </c>
      <c r="E13" s="78">
        <v>1</v>
      </c>
      <c r="F13" s="74">
        <f>E13*D13</f>
        <v>3</v>
      </c>
      <c r="H13" s="9"/>
      <c r="I13" s="9"/>
      <c r="J13" s="13"/>
      <c r="K13" s="21"/>
      <c r="L13" s="22"/>
      <c r="M13" s="23"/>
      <c r="N13" s="24"/>
      <c r="O13" s="25"/>
      <c r="P13" s="53" t="s">
        <v>69</v>
      </c>
      <c r="Q13" s="58">
        <f ca="1">NOW()</f>
        <v>44381.927147337963</v>
      </c>
      <c r="R13" s="55"/>
      <c r="S13" s="56" t="s">
        <v>128</v>
      </c>
      <c r="T13" s="72">
        <v>3</v>
      </c>
    </row>
    <row r="14" spans="1:20" ht="13.5" customHeight="1" thickBot="1" x14ac:dyDescent="0.3">
      <c r="A14" s="42"/>
      <c r="B14" s="79">
        <v>4</v>
      </c>
      <c r="C14" s="100" t="s">
        <v>93</v>
      </c>
      <c r="D14" s="101">
        <v>3</v>
      </c>
      <c r="E14" s="78">
        <v>2</v>
      </c>
      <c r="F14" s="74">
        <f t="shared" si="0"/>
        <v>6</v>
      </c>
      <c r="H14" s="9"/>
      <c r="I14" s="9"/>
      <c r="J14" s="13"/>
      <c r="K14" s="21"/>
      <c r="L14" s="22"/>
      <c r="M14" s="22" t="s">
        <v>61</v>
      </c>
      <c r="N14" s="23"/>
      <c r="O14" s="25"/>
      <c r="P14" s="53"/>
      <c r="Q14" s="54"/>
      <c r="R14" s="55"/>
      <c r="S14" s="56" t="s">
        <v>112</v>
      </c>
      <c r="T14" s="72">
        <v>4</v>
      </c>
    </row>
    <row r="15" spans="1:20" ht="13.5" customHeight="1" thickBot="1" x14ac:dyDescent="0.3">
      <c r="A15" s="42"/>
      <c r="B15" s="79">
        <v>5</v>
      </c>
      <c r="C15" s="102" t="s">
        <v>92</v>
      </c>
      <c r="D15" s="101">
        <v>3</v>
      </c>
      <c r="E15" s="78">
        <v>1</v>
      </c>
      <c r="F15" s="74">
        <f>E15*D15</f>
        <v>3</v>
      </c>
      <c r="H15" s="9"/>
      <c r="I15" s="9"/>
      <c r="J15" s="13"/>
      <c r="K15" s="21" t="s">
        <v>5</v>
      </c>
      <c r="L15" s="22" t="str">
        <f>D4</f>
        <v>ARTIKBAEVA</v>
      </c>
      <c r="M15" s="22" t="str">
        <f>UPPER(L15)</f>
        <v>ARTIKBAEVA</v>
      </c>
      <c r="N15" s="23"/>
      <c r="O15" s="25"/>
      <c r="P15" s="53" t="s">
        <v>5</v>
      </c>
      <c r="Q15" s="54" t="str">
        <f>SUBSTITUTE(M15," ","")</f>
        <v>ARTIKBAEVA</v>
      </c>
      <c r="R15" s="55"/>
      <c r="S15" s="56" t="s">
        <v>95</v>
      </c>
      <c r="T15" s="72">
        <v>5</v>
      </c>
    </row>
    <row r="16" spans="1:20" ht="13.5" customHeight="1" thickBot="1" x14ac:dyDescent="0.3">
      <c r="A16" s="42"/>
      <c r="B16" s="79">
        <v>6</v>
      </c>
      <c r="C16" s="100"/>
      <c r="D16" s="101"/>
      <c r="E16" s="78"/>
      <c r="F16" s="74">
        <f t="shared" si="0"/>
        <v>0</v>
      </c>
      <c r="H16" s="9"/>
      <c r="I16" s="9"/>
      <c r="J16" s="13"/>
      <c r="K16" s="21" t="s">
        <v>4</v>
      </c>
      <c r="L16" s="22" t="str">
        <f>D5</f>
        <v>MUHABBAT</v>
      </c>
      <c r="M16" s="22" t="str">
        <f>UPPER(L16)</f>
        <v>MUHABBAT</v>
      </c>
      <c r="N16" s="23"/>
      <c r="O16" s="25"/>
      <c r="P16" s="53" t="s">
        <v>4</v>
      </c>
      <c r="Q16" s="54" t="str">
        <f>SUBSTITUTE(M16," ","")</f>
        <v>MUHABBAT</v>
      </c>
      <c r="R16" s="55"/>
      <c r="S16" s="56" t="s">
        <v>81</v>
      </c>
      <c r="T16" s="72">
        <v>6</v>
      </c>
    </row>
    <row r="17" spans="1:20" ht="13.5" customHeight="1" thickBot="1" x14ac:dyDescent="0.3">
      <c r="A17" s="42"/>
      <c r="B17" s="79">
        <v>7</v>
      </c>
      <c r="C17" s="102"/>
      <c r="D17" s="101"/>
      <c r="E17" s="78"/>
      <c r="F17" s="74">
        <f t="shared" si="0"/>
        <v>0</v>
      </c>
      <c r="H17" s="32"/>
      <c r="J17" s="13"/>
      <c r="K17" s="21" t="s">
        <v>6</v>
      </c>
      <c r="L17" s="22" t="str">
        <f>D6</f>
        <v>AA</v>
      </c>
      <c r="M17" s="22" t="str">
        <f>UPPER(L17)</f>
        <v>AA</v>
      </c>
      <c r="N17" s="23"/>
      <c r="O17" s="25"/>
      <c r="P17" s="53" t="s">
        <v>6</v>
      </c>
      <c r="Q17" s="54" t="str">
        <f>SUBSTITUTE(M17," ","")</f>
        <v>AA</v>
      </c>
      <c r="R17" s="55"/>
      <c r="S17" s="56" t="s">
        <v>89</v>
      </c>
      <c r="T17" s="72">
        <v>7</v>
      </c>
    </row>
    <row r="18" spans="1:20" ht="13.5" customHeight="1" thickBot="1" x14ac:dyDescent="0.3">
      <c r="A18" s="42"/>
      <c r="B18" s="79">
        <v>8</v>
      </c>
      <c r="C18" s="100"/>
      <c r="D18" s="101"/>
      <c r="E18" s="78"/>
      <c r="F18" s="74">
        <f>E18*D18</f>
        <v>0</v>
      </c>
      <c r="H18" s="14"/>
      <c r="I18" s="12"/>
      <c r="J18" s="13"/>
      <c r="K18" s="21" t="s">
        <v>7</v>
      </c>
      <c r="L18" s="40">
        <f>D7</f>
        <v>0</v>
      </c>
      <c r="M18" s="23" t="s">
        <v>12</v>
      </c>
      <c r="N18" s="23" t="s">
        <v>58</v>
      </c>
      <c r="O18" s="25" t="s">
        <v>57</v>
      </c>
      <c r="P18" s="53" t="s">
        <v>7</v>
      </c>
      <c r="Q18" s="54" t="str">
        <f>SUBSTITUTE(L18," ","")</f>
        <v>0</v>
      </c>
      <c r="R18" s="55"/>
      <c r="S18" s="56" t="s">
        <v>111</v>
      </c>
      <c r="T18" s="72">
        <v>8</v>
      </c>
    </row>
    <row r="19" spans="1:20" ht="13.5" customHeight="1" thickBot="1" x14ac:dyDescent="0.3">
      <c r="A19" s="42"/>
      <c r="B19" s="79">
        <v>9</v>
      </c>
      <c r="C19" s="100"/>
      <c r="D19" s="101"/>
      <c r="E19" s="78"/>
      <c r="F19" s="74">
        <f t="shared" si="0"/>
        <v>0</v>
      </c>
      <c r="H19" s="14"/>
      <c r="I19" s="12"/>
      <c r="J19" s="13"/>
      <c r="K19" s="21" t="s">
        <v>8</v>
      </c>
      <c r="L19" s="22" t="str">
        <f>D8</f>
        <v>TOSHKENT</v>
      </c>
      <c r="M19" s="22">
        <f>VLOOKUP(L19,K44:L57,2,0)</f>
        <v>727</v>
      </c>
      <c r="N19" s="22" t="str">
        <f ca="1">M19&amp;O19</f>
        <v>7271</v>
      </c>
      <c r="O19" s="26">
        <f ca="1">RANDBETWEEN(1,8)</f>
        <v>1</v>
      </c>
      <c r="P19" s="53" t="s">
        <v>8</v>
      </c>
      <c r="Q19" s="54">
        <f>M19</f>
        <v>727</v>
      </c>
      <c r="R19" s="55"/>
      <c r="S19" s="56" t="s">
        <v>90</v>
      </c>
      <c r="T19" s="72">
        <v>9</v>
      </c>
    </row>
    <row r="20" spans="1:20" ht="13.5" customHeight="1" thickBot="1" x14ac:dyDescent="0.35">
      <c r="A20" s="42"/>
      <c r="B20" s="79">
        <v>10</v>
      </c>
      <c r="C20" s="100"/>
      <c r="D20" s="101"/>
      <c r="E20" s="78"/>
      <c r="F20" s="74">
        <f t="shared" si="0"/>
        <v>0</v>
      </c>
      <c r="J20" s="17"/>
      <c r="K20" s="16" t="s">
        <v>9</v>
      </c>
      <c r="L20" s="27" t="str">
        <f>D8&amp;" VILOYATI"</f>
        <v>TOSHKENT VILOYATI</v>
      </c>
      <c r="M20" s="23"/>
      <c r="N20" s="23"/>
      <c r="O20" s="25"/>
      <c r="P20" s="56" t="s">
        <v>64</v>
      </c>
      <c r="Q20" s="54" t="str">
        <f ca="1">N19</f>
        <v>7271</v>
      </c>
      <c r="R20" s="55"/>
      <c r="S20" s="56" t="s">
        <v>102</v>
      </c>
      <c r="T20" s="72">
        <v>10</v>
      </c>
    </row>
    <row r="21" spans="1:20" ht="13.5" customHeight="1" thickBot="1" x14ac:dyDescent="0.35">
      <c r="A21" s="42"/>
      <c r="B21" s="79">
        <v>11</v>
      </c>
      <c r="C21" s="100"/>
      <c r="D21" s="101"/>
      <c r="E21" s="78"/>
      <c r="F21" s="74">
        <f t="shared" si="0"/>
        <v>0</v>
      </c>
      <c r="J21" s="17"/>
      <c r="K21" s="16"/>
      <c r="L21" s="27"/>
      <c r="M21" s="23"/>
      <c r="N21" s="23"/>
      <c r="O21" s="23"/>
      <c r="P21" s="56" t="s">
        <v>9</v>
      </c>
      <c r="Q21" s="54" t="str">
        <f>L20</f>
        <v>TOSHKENT VILOYATI</v>
      </c>
      <c r="R21" s="55"/>
      <c r="S21" s="56" t="s">
        <v>102</v>
      </c>
      <c r="T21" s="72">
        <v>11</v>
      </c>
    </row>
    <row r="22" spans="1:20" ht="13.5" customHeight="1" thickBot="1" x14ac:dyDescent="0.35">
      <c r="A22" s="42"/>
      <c r="B22" s="79">
        <v>12</v>
      </c>
      <c r="C22" s="100"/>
      <c r="D22" s="101"/>
      <c r="E22" s="78"/>
      <c r="F22" s="74">
        <f t="shared" si="0"/>
        <v>0</v>
      </c>
      <c r="J22" s="18"/>
      <c r="K22" s="16"/>
      <c r="L22" s="27"/>
      <c r="M22" s="23"/>
      <c r="N22" s="23"/>
      <c r="O22" s="23"/>
      <c r="P22" s="56"/>
      <c r="Q22" s="54"/>
      <c r="R22" s="55"/>
      <c r="S22" s="56" t="s">
        <v>92</v>
      </c>
      <c r="T22" s="72">
        <v>12</v>
      </c>
    </row>
    <row r="23" spans="1:20" ht="13.5" customHeight="1" thickBot="1" x14ac:dyDescent="0.35">
      <c r="A23" s="43"/>
      <c r="B23" s="79">
        <v>13</v>
      </c>
      <c r="C23" s="100"/>
      <c r="D23" s="101"/>
      <c r="E23" s="78"/>
      <c r="F23" s="74">
        <f t="shared" si="0"/>
        <v>0</v>
      </c>
      <c r="J23" s="17"/>
      <c r="K23" s="16"/>
      <c r="L23" s="27"/>
      <c r="M23" s="23"/>
      <c r="N23" s="23"/>
      <c r="O23" s="23"/>
      <c r="P23" s="56" t="s">
        <v>2</v>
      </c>
      <c r="Q23" s="54"/>
      <c r="R23" s="55"/>
      <c r="S23" s="56" t="s">
        <v>96</v>
      </c>
      <c r="T23" s="72">
        <v>13</v>
      </c>
    </row>
    <row r="24" spans="1:20" ht="13.5" customHeight="1" thickBot="1" x14ac:dyDescent="0.35">
      <c r="A24" s="43"/>
      <c r="B24" s="79">
        <v>14</v>
      </c>
      <c r="C24" s="100"/>
      <c r="D24" s="101"/>
      <c r="E24" s="78"/>
      <c r="F24" s="74">
        <f t="shared" si="0"/>
        <v>0</v>
      </c>
      <c r="J24" s="17"/>
      <c r="K24" s="16"/>
      <c r="L24" s="27"/>
      <c r="M24" s="23"/>
      <c r="N24" s="23"/>
      <c r="O24" s="23"/>
      <c r="P24" s="56"/>
      <c r="Q24" s="54"/>
      <c r="R24" s="55"/>
      <c r="S24" s="56" t="s">
        <v>82</v>
      </c>
      <c r="T24" s="72">
        <v>14</v>
      </c>
    </row>
    <row r="25" spans="1:20" ht="12.75" customHeight="1" thickBot="1" x14ac:dyDescent="0.35">
      <c r="A25" s="42"/>
      <c r="B25" s="79">
        <v>15</v>
      </c>
      <c r="C25" s="100"/>
      <c r="D25" s="101"/>
      <c r="E25" s="80"/>
      <c r="F25" s="74">
        <f t="shared" si="0"/>
        <v>0</v>
      </c>
      <c r="J25" s="17"/>
      <c r="K25" s="16" t="s">
        <v>68</v>
      </c>
      <c r="L25" s="31">
        <f ca="1">TODAY()</f>
        <v>44381</v>
      </c>
      <c r="M25" s="23"/>
      <c r="N25" s="23"/>
      <c r="O25" s="23"/>
      <c r="P25" s="56" t="s">
        <v>65</v>
      </c>
      <c r="Q25" s="54">
        <f>N31*L31</f>
        <v>5</v>
      </c>
      <c r="R25" s="55"/>
      <c r="S25" s="56" t="s">
        <v>87</v>
      </c>
      <c r="T25" s="72">
        <v>15</v>
      </c>
    </row>
    <row r="26" spans="1:20" ht="13.5" customHeight="1" thickBot="1" x14ac:dyDescent="0.35">
      <c r="A26" s="42"/>
      <c r="B26" s="79">
        <v>16</v>
      </c>
      <c r="C26" s="100"/>
      <c r="D26" s="101"/>
      <c r="E26" s="81"/>
      <c r="F26" s="74">
        <f>E26*D26</f>
        <v>0</v>
      </c>
      <c r="J26" s="17"/>
      <c r="K26" s="16"/>
      <c r="L26" s="27"/>
      <c r="M26" s="23"/>
      <c r="N26" s="23"/>
      <c r="O26" s="23"/>
      <c r="P26" s="56"/>
      <c r="Q26" s="54"/>
      <c r="R26" s="55"/>
      <c r="S26" s="56" t="s">
        <v>103</v>
      </c>
      <c r="T26" s="72">
        <v>16</v>
      </c>
    </row>
    <row r="27" spans="1:20" ht="13.5" customHeight="1" thickBot="1" x14ac:dyDescent="0.35">
      <c r="A27" s="43"/>
      <c r="B27" s="79">
        <v>17</v>
      </c>
      <c r="C27" s="100"/>
      <c r="D27" s="101"/>
      <c r="E27" s="76"/>
      <c r="F27" s="74">
        <f>E27*D27</f>
        <v>0</v>
      </c>
      <c r="J27" s="17"/>
      <c r="K27" s="16" t="s">
        <v>3</v>
      </c>
      <c r="L27" s="27"/>
      <c r="M27" s="23"/>
      <c r="N27" s="23"/>
      <c r="O27" s="23"/>
      <c r="P27" s="56" t="s">
        <v>66</v>
      </c>
      <c r="Q27" s="54">
        <f>F41</f>
        <v>17</v>
      </c>
      <c r="R27" s="55"/>
      <c r="S27" s="56" t="s">
        <v>86</v>
      </c>
      <c r="T27" s="72">
        <v>17</v>
      </c>
    </row>
    <row r="28" spans="1:20" ht="15.75" customHeight="1" x14ac:dyDescent="0.3">
      <c r="A28" s="43"/>
      <c r="B28" s="79">
        <v>18</v>
      </c>
      <c r="C28" s="76"/>
      <c r="D28" s="76"/>
      <c r="E28" s="76"/>
      <c r="F28" s="74">
        <f t="shared" ref="F28:F40" si="1">E28*D28</f>
        <v>0</v>
      </c>
      <c r="J28" s="17"/>
      <c r="K28" s="16"/>
      <c r="L28" s="27"/>
      <c r="M28" s="23"/>
      <c r="N28" s="23"/>
      <c r="O28" s="23"/>
      <c r="P28" s="56"/>
      <c r="Q28" s="54"/>
      <c r="R28" s="55"/>
      <c r="S28" s="56" t="s">
        <v>94</v>
      </c>
      <c r="T28" s="72">
        <v>18</v>
      </c>
    </row>
    <row r="29" spans="1:20" ht="13.5" customHeight="1" x14ac:dyDescent="0.3">
      <c r="A29" s="42"/>
      <c r="B29" s="79">
        <v>19</v>
      </c>
      <c r="C29" s="77"/>
      <c r="D29" s="77"/>
      <c r="E29" s="77"/>
      <c r="F29" s="74">
        <f t="shared" si="1"/>
        <v>0</v>
      </c>
      <c r="J29" s="17"/>
      <c r="K29" s="16" t="s">
        <v>2</v>
      </c>
      <c r="L29" s="27">
        <f>D10</f>
        <v>5</v>
      </c>
      <c r="M29" s="23"/>
      <c r="N29" s="23"/>
      <c r="O29" s="23"/>
      <c r="P29" s="56"/>
      <c r="Q29" s="54"/>
      <c r="R29" s="55"/>
      <c r="S29" s="56" t="s">
        <v>97</v>
      </c>
      <c r="T29" s="72">
        <v>19</v>
      </c>
    </row>
    <row r="30" spans="1:20" ht="13.5" customHeight="1" x14ac:dyDescent="0.3">
      <c r="A30" s="42"/>
      <c r="B30" s="79">
        <v>20</v>
      </c>
      <c r="C30" s="77"/>
      <c r="D30" s="77"/>
      <c r="E30" s="77"/>
      <c r="F30" s="74">
        <f>E30*D30</f>
        <v>0</v>
      </c>
      <c r="J30" s="17"/>
      <c r="K30" s="16"/>
      <c r="L30" s="27"/>
      <c r="M30" s="23"/>
      <c r="N30" s="23"/>
      <c r="O30" s="23"/>
      <c r="P30" s="56"/>
      <c r="Q30" s="54"/>
      <c r="R30" s="55"/>
      <c r="S30" s="56" t="s">
        <v>88</v>
      </c>
      <c r="T30" s="72">
        <v>20</v>
      </c>
    </row>
    <row r="31" spans="1:20" ht="13.5" customHeight="1" x14ac:dyDescent="0.25">
      <c r="A31" s="42"/>
      <c r="B31" s="74">
        <v>21</v>
      </c>
      <c r="C31" s="77"/>
      <c r="D31" s="77"/>
      <c r="E31" s="77"/>
      <c r="F31" s="74">
        <f t="shared" si="1"/>
        <v>0</v>
      </c>
      <c r="K31" s="16" t="s">
        <v>59</v>
      </c>
      <c r="L31" s="27">
        <f>COUNTA(C11:C40)</f>
        <v>5</v>
      </c>
      <c r="M31" s="28">
        <f>L29/L31</f>
        <v>1</v>
      </c>
      <c r="N31" s="22">
        <f>ROUND(M31,2)</f>
        <v>1</v>
      </c>
      <c r="O31" s="23"/>
      <c r="P31" s="56"/>
      <c r="Q31" s="54"/>
      <c r="R31" s="55"/>
      <c r="S31" s="56" t="s">
        <v>84</v>
      </c>
      <c r="T31" s="72">
        <v>21</v>
      </c>
    </row>
    <row r="32" spans="1:20" ht="13.5" customHeight="1" x14ac:dyDescent="0.25">
      <c r="A32" s="42"/>
      <c r="B32" s="74">
        <v>22</v>
      </c>
      <c r="C32" s="77"/>
      <c r="D32" s="77"/>
      <c r="E32" s="77"/>
      <c r="F32" s="74">
        <f t="shared" si="1"/>
        <v>0</v>
      </c>
      <c r="K32" s="16"/>
      <c r="L32" s="27"/>
      <c r="M32" s="23"/>
      <c r="N32" s="23"/>
      <c r="O32" s="23"/>
      <c r="P32" s="56"/>
      <c r="Q32" s="54"/>
      <c r="R32" s="55"/>
      <c r="S32" s="56" t="s">
        <v>104</v>
      </c>
      <c r="T32" s="72">
        <v>22</v>
      </c>
    </row>
    <row r="33" spans="1:20" ht="13.5" customHeight="1" x14ac:dyDescent="0.25">
      <c r="A33" s="42"/>
      <c r="B33" s="74">
        <v>23</v>
      </c>
      <c r="C33" s="77"/>
      <c r="D33" s="77"/>
      <c r="E33" s="77"/>
      <c r="F33" s="74">
        <f t="shared" si="1"/>
        <v>0</v>
      </c>
      <c r="K33" s="16" t="s">
        <v>60</v>
      </c>
      <c r="L33" s="27">
        <f>N31*L31</f>
        <v>5</v>
      </c>
      <c r="M33" s="23"/>
      <c r="N33" s="23"/>
      <c r="O33" s="23"/>
      <c r="P33" s="56"/>
      <c r="Q33" s="54"/>
      <c r="R33" s="55"/>
      <c r="S33" s="59" t="s">
        <v>91</v>
      </c>
      <c r="T33" s="72">
        <v>23</v>
      </c>
    </row>
    <row r="34" spans="1:20" ht="13.5" customHeight="1" x14ac:dyDescent="0.25">
      <c r="A34" s="42"/>
      <c r="B34" s="45">
        <v>24</v>
      </c>
      <c r="C34" s="52"/>
      <c r="D34" s="52"/>
      <c r="E34" s="52"/>
      <c r="F34" s="45">
        <f>E34*D34</f>
        <v>0</v>
      </c>
      <c r="K34" s="16"/>
      <c r="L34" s="29"/>
      <c r="M34" s="20"/>
      <c r="N34" s="20"/>
      <c r="O34" s="20"/>
      <c r="P34" s="56"/>
      <c r="Q34" s="54"/>
      <c r="R34" s="55"/>
      <c r="S34" s="59" t="s">
        <v>79</v>
      </c>
      <c r="T34" s="72">
        <v>24</v>
      </c>
    </row>
    <row r="35" spans="1:20" ht="13.5" customHeight="1" x14ac:dyDescent="0.25">
      <c r="A35" s="42"/>
      <c r="B35" s="45">
        <v>25</v>
      </c>
      <c r="C35" s="52"/>
      <c r="D35" s="52"/>
      <c r="E35" s="52"/>
      <c r="F35" s="45">
        <f t="shared" si="1"/>
        <v>0</v>
      </c>
      <c r="K35" s="16" t="s">
        <v>62</v>
      </c>
      <c r="L35" s="29">
        <f>I15</f>
        <v>0</v>
      </c>
      <c r="M35" s="20"/>
      <c r="N35" s="20"/>
      <c r="O35" s="20"/>
      <c r="P35" s="56"/>
      <c r="Q35" s="54"/>
      <c r="R35" s="55"/>
      <c r="S35" s="56" t="s">
        <v>85</v>
      </c>
      <c r="T35" s="72">
        <v>25</v>
      </c>
    </row>
    <row r="36" spans="1:20" ht="13.5" customHeight="1" x14ac:dyDescent="0.25">
      <c r="A36" s="42"/>
      <c r="B36" s="45">
        <v>26</v>
      </c>
      <c r="C36" s="52"/>
      <c r="D36" s="52"/>
      <c r="E36" s="52"/>
      <c r="F36" s="45">
        <f t="shared" si="1"/>
        <v>0</v>
      </c>
      <c r="K36" s="16"/>
      <c r="L36" s="29"/>
      <c r="M36" s="20"/>
      <c r="N36" s="20"/>
      <c r="O36" s="20"/>
      <c r="P36" s="60"/>
      <c r="Q36" s="61"/>
      <c r="R36" s="55"/>
      <c r="S36" s="56" t="s">
        <v>110</v>
      </c>
      <c r="T36" s="72">
        <v>26</v>
      </c>
    </row>
    <row r="37" spans="1:20" ht="13.5" customHeight="1" x14ac:dyDescent="0.25">
      <c r="A37" s="42"/>
      <c r="B37" s="45">
        <v>27</v>
      </c>
      <c r="C37" s="52"/>
      <c r="D37" s="52"/>
      <c r="E37" s="52"/>
      <c r="F37" s="45">
        <f t="shared" si="1"/>
        <v>0</v>
      </c>
      <c r="K37" s="16"/>
      <c r="L37" s="36"/>
      <c r="M37" s="19"/>
      <c r="N37" s="19"/>
      <c r="O37" s="19"/>
      <c r="P37" s="62"/>
      <c r="Q37" s="61"/>
      <c r="R37" s="55"/>
      <c r="S37" s="59" t="s">
        <v>101</v>
      </c>
      <c r="T37" s="72">
        <v>27</v>
      </c>
    </row>
    <row r="38" spans="1:20" ht="13.5" customHeight="1" x14ac:dyDescent="0.25">
      <c r="A38" s="42"/>
      <c r="B38" s="45">
        <v>28</v>
      </c>
      <c r="C38" s="52"/>
      <c r="D38" s="52"/>
      <c r="E38" s="52"/>
      <c r="F38" s="45">
        <f t="shared" si="1"/>
        <v>0</v>
      </c>
      <c r="K38" s="16"/>
      <c r="L38" s="29"/>
      <c r="M38" s="19"/>
      <c r="N38" s="19"/>
      <c r="O38" s="19"/>
      <c r="P38" s="62"/>
      <c r="Q38" s="61"/>
      <c r="R38" s="55"/>
      <c r="S38" s="59" t="s">
        <v>83</v>
      </c>
      <c r="T38" s="72">
        <v>28</v>
      </c>
    </row>
    <row r="39" spans="1:20" ht="13.5" customHeight="1" x14ac:dyDescent="0.25">
      <c r="A39" s="42"/>
      <c r="B39" s="45">
        <v>29</v>
      </c>
      <c r="C39" s="52"/>
      <c r="D39" s="52"/>
      <c r="E39" s="52"/>
      <c r="F39" s="45">
        <f t="shared" si="1"/>
        <v>0</v>
      </c>
      <c r="K39" s="16"/>
      <c r="L39" s="29"/>
      <c r="M39" s="19"/>
      <c r="N39" s="19"/>
      <c r="O39" s="19"/>
      <c r="P39" s="62"/>
      <c r="Q39" s="61"/>
      <c r="R39" s="55"/>
      <c r="S39" s="56" t="s">
        <v>80</v>
      </c>
      <c r="T39" s="72">
        <v>29</v>
      </c>
    </row>
    <row r="40" spans="1:20" ht="13.5" customHeight="1" x14ac:dyDescent="0.25">
      <c r="A40" s="42"/>
      <c r="B40" s="45">
        <v>30</v>
      </c>
      <c r="C40" s="52"/>
      <c r="D40" s="52"/>
      <c r="E40" s="52"/>
      <c r="F40" s="45">
        <f t="shared" si="1"/>
        <v>0</v>
      </c>
      <c r="K40" s="16"/>
      <c r="L40" s="29"/>
      <c r="M40" s="19"/>
      <c r="N40" s="19"/>
      <c r="O40" s="19"/>
      <c r="P40" s="62"/>
      <c r="Q40" s="61"/>
      <c r="R40" s="55"/>
      <c r="S40" s="56" t="s">
        <v>96</v>
      </c>
      <c r="T40" s="72">
        <v>30</v>
      </c>
    </row>
    <row r="41" spans="1:20" ht="15.75" customHeight="1" x14ac:dyDescent="0.25">
      <c r="A41" s="42"/>
      <c r="B41" s="46"/>
      <c r="C41" s="46"/>
      <c r="D41" s="46">
        <f>D10</f>
        <v>5</v>
      </c>
      <c r="E41" s="46"/>
      <c r="F41" s="46">
        <f>SUM(F11:F40)</f>
        <v>17</v>
      </c>
      <c r="K41" s="16" t="s">
        <v>98</v>
      </c>
      <c r="L41" s="29">
        <f>D9</f>
        <v>0</v>
      </c>
      <c r="M41" s="19"/>
      <c r="N41" s="19"/>
      <c r="O41" s="19"/>
      <c r="P41" s="62"/>
      <c r="Q41" s="61"/>
      <c r="R41" s="55"/>
      <c r="S41" s="56" t="s">
        <v>93</v>
      </c>
      <c r="T41" s="72">
        <v>31</v>
      </c>
    </row>
    <row r="42" spans="1:20" x14ac:dyDescent="0.25">
      <c r="A42" s="42"/>
      <c r="B42" s="15"/>
      <c r="K42" s="30"/>
      <c r="L42" s="29"/>
      <c r="M42" s="19"/>
      <c r="N42" s="19"/>
      <c r="O42" s="19"/>
      <c r="P42" s="62"/>
      <c r="Q42" s="61"/>
      <c r="R42" s="55"/>
      <c r="S42" s="56" t="s">
        <v>78</v>
      </c>
      <c r="T42" s="72">
        <v>32</v>
      </c>
    </row>
    <row r="43" spans="1:20" x14ac:dyDescent="0.25">
      <c r="A43" s="42"/>
      <c r="B43" s="15"/>
      <c r="K43" s="16"/>
      <c r="L43" s="29"/>
      <c r="M43" s="19"/>
      <c r="N43" s="19"/>
      <c r="O43" s="19"/>
      <c r="P43" s="62"/>
      <c r="Q43" s="61"/>
      <c r="R43" s="55"/>
      <c r="S43" s="56" t="s">
        <v>106</v>
      </c>
      <c r="T43" s="72">
        <v>33</v>
      </c>
    </row>
    <row r="44" spans="1:20" x14ac:dyDescent="0.25">
      <c r="A44" s="42"/>
      <c r="K44" s="16" t="s">
        <v>13</v>
      </c>
      <c r="L44" s="29">
        <v>703</v>
      </c>
      <c r="M44" s="19"/>
      <c r="N44" s="19"/>
      <c r="O44" s="19"/>
      <c r="P44" s="62"/>
      <c r="Q44" s="61"/>
      <c r="R44" s="55"/>
      <c r="S44" s="56" t="s">
        <v>90</v>
      </c>
      <c r="T44" s="72">
        <v>34</v>
      </c>
    </row>
    <row r="45" spans="1:20" x14ac:dyDescent="0.25">
      <c r="A45" s="42"/>
      <c r="K45" s="16" t="s">
        <v>14</v>
      </c>
      <c r="L45" s="29">
        <v>706</v>
      </c>
      <c r="M45" s="19"/>
      <c r="N45" s="19"/>
      <c r="O45" s="19"/>
      <c r="P45" s="62"/>
      <c r="Q45" s="61"/>
      <c r="R45" s="55"/>
      <c r="S45" s="56" t="s">
        <v>99</v>
      </c>
      <c r="T45" s="72">
        <v>35</v>
      </c>
    </row>
    <row r="46" spans="1:20" x14ac:dyDescent="0.25">
      <c r="A46" s="42"/>
      <c r="K46" s="16" t="s">
        <v>15</v>
      </c>
      <c r="L46" s="29">
        <v>708</v>
      </c>
      <c r="M46" s="19"/>
      <c r="N46" s="19"/>
      <c r="O46" s="19"/>
      <c r="P46" s="62"/>
      <c r="Q46" s="61"/>
      <c r="R46" s="55"/>
      <c r="S46" s="56" t="s">
        <v>118</v>
      </c>
      <c r="T46" s="72">
        <v>36</v>
      </c>
    </row>
    <row r="47" spans="1:20" x14ac:dyDescent="0.25">
      <c r="A47" s="42"/>
      <c r="K47" s="16" t="s">
        <v>16</v>
      </c>
      <c r="L47" s="29">
        <v>710</v>
      </c>
    </row>
    <row r="48" spans="1:20" x14ac:dyDescent="0.25">
      <c r="A48" s="42"/>
      <c r="K48" s="16" t="s">
        <v>17</v>
      </c>
      <c r="L48" s="29">
        <v>712</v>
      </c>
    </row>
    <row r="49" spans="1:12" x14ac:dyDescent="0.25">
      <c r="A49" s="42"/>
      <c r="K49" s="16" t="s">
        <v>18</v>
      </c>
      <c r="L49" s="29">
        <v>714</v>
      </c>
    </row>
    <row r="50" spans="1:12" x14ac:dyDescent="0.25">
      <c r="A50" s="42"/>
      <c r="K50" s="16" t="s">
        <v>10</v>
      </c>
      <c r="L50" s="29">
        <v>718</v>
      </c>
    </row>
    <row r="51" spans="1:12" x14ac:dyDescent="0.25">
      <c r="A51" s="43"/>
      <c r="K51" s="16" t="s">
        <v>19</v>
      </c>
      <c r="L51" s="29">
        <v>722</v>
      </c>
    </row>
    <row r="52" spans="1:12" x14ac:dyDescent="0.25">
      <c r="A52" s="43"/>
      <c r="K52" s="16" t="s">
        <v>20</v>
      </c>
      <c r="L52" s="29">
        <v>724</v>
      </c>
    </row>
    <row r="53" spans="1:12" x14ac:dyDescent="0.25">
      <c r="A53" s="42"/>
      <c r="K53" s="16" t="s">
        <v>72</v>
      </c>
      <c r="L53" s="29">
        <v>726</v>
      </c>
    </row>
    <row r="54" spans="1:12" x14ac:dyDescent="0.25">
      <c r="A54" s="42"/>
      <c r="K54" s="16" t="s">
        <v>73</v>
      </c>
      <c r="L54" s="29">
        <v>727</v>
      </c>
    </row>
    <row r="55" spans="1:12" x14ac:dyDescent="0.25">
      <c r="A55" s="43"/>
      <c r="K55" s="16" t="s">
        <v>21</v>
      </c>
      <c r="L55" s="29">
        <v>730</v>
      </c>
    </row>
    <row r="56" spans="1:12" x14ac:dyDescent="0.25">
      <c r="A56" s="43"/>
      <c r="K56" s="16" t="s">
        <v>22</v>
      </c>
      <c r="L56" s="29">
        <v>733</v>
      </c>
    </row>
    <row r="57" spans="1:12" x14ac:dyDescent="0.25">
      <c r="A57" s="42"/>
      <c r="K57" s="16" t="s">
        <v>23</v>
      </c>
      <c r="L57" s="29">
        <v>735</v>
      </c>
    </row>
    <row r="58" spans="1:12" x14ac:dyDescent="0.25">
      <c r="A58" s="42"/>
      <c r="K58" s="6"/>
      <c r="L58" s="48"/>
    </row>
    <row r="59" spans="1:12" x14ac:dyDescent="0.25">
      <c r="A59" s="42"/>
      <c r="K59" s="6"/>
      <c r="L59" s="51"/>
    </row>
    <row r="60" spans="1:12" x14ac:dyDescent="0.25">
      <c r="A60" s="42"/>
      <c r="K60" s="6"/>
      <c r="L60" s="51"/>
    </row>
    <row r="61" spans="1:12" x14ac:dyDescent="0.25">
      <c r="A61" s="42"/>
      <c r="K61" s="6"/>
      <c r="L61" s="51"/>
    </row>
    <row r="62" spans="1:12" x14ac:dyDescent="0.25">
      <c r="A62" s="42"/>
      <c r="K62" s="6"/>
      <c r="L62" s="51"/>
    </row>
    <row r="63" spans="1:12" x14ac:dyDescent="0.25">
      <c r="A63" s="42"/>
      <c r="K63" s="6"/>
      <c r="L63" s="51"/>
    </row>
    <row r="64" spans="1:12" x14ac:dyDescent="0.25">
      <c r="A64" s="42"/>
      <c r="K64" s="6"/>
      <c r="L64" s="51"/>
    </row>
    <row r="65" spans="1:12" x14ac:dyDescent="0.25">
      <c r="A65" s="42"/>
      <c r="K65" s="6"/>
      <c r="L65" s="51"/>
    </row>
    <row r="66" spans="1:12" x14ac:dyDescent="0.25">
      <c r="A66" s="42"/>
      <c r="K66" s="6"/>
      <c r="L66" s="51"/>
    </row>
    <row r="67" spans="1:12" x14ac:dyDescent="0.25">
      <c r="A67" s="42"/>
      <c r="K67" s="6"/>
      <c r="L67" s="51"/>
    </row>
    <row r="68" spans="1:12" x14ac:dyDescent="0.25">
      <c r="A68" s="42"/>
      <c r="K68" s="6"/>
      <c r="L68" s="51"/>
    </row>
    <row r="69" spans="1:12" x14ac:dyDescent="0.25">
      <c r="A69" s="42"/>
      <c r="K69" s="6"/>
      <c r="L69" s="51"/>
    </row>
    <row r="70" spans="1:12" x14ac:dyDescent="0.25">
      <c r="A70" s="42"/>
      <c r="K70" s="6"/>
      <c r="L70" s="51"/>
    </row>
    <row r="71" spans="1:12" x14ac:dyDescent="0.25">
      <c r="A71" s="42"/>
      <c r="K71" s="6"/>
      <c r="L71" s="51"/>
    </row>
    <row r="72" spans="1:12" x14ac:dyDescent="0.25">
      <c r="A72" s="42"/>
      <c r="K72" s="6"/>
      <c r="L72" s="51"/>
    </row>
    <row r="73" spans="1:12" x14ac:dyDescent="0.25">
      <c r="A73" s="42"/>
      <c r="K73" s="6"/>
      <c r="L73" s="51"/>
    </row>
    <row r="74" spans="1:12" x14ac:dyDescent="0.25">
      <c r="A74" s="42"/>
      <c r="K74" s="6"/>
      <c r="L74" s="51"/>
    </row>
    <row r="75" spans="1:12" x14ac:dyDescent="0.25">
      <c r="A75" s="42"/>
      <c r="K75" s="6"/>
      <c r="L75" s="51"/>
    </row>
    <row r="76" spans="1:12" x14ac:dyDescent="0.25">
      <c r="A76" s="42"/>
      <c r="K76" s="6"/>
      <c r="L76" s="51"/>
    </row>
    <row r="77" spans="1:12" x14ac:dyDescent="0.25">
      <c r="A77" s="42"/>
      <c r="K77" s="6"/>
      <c r="L77" s="51"/>
    </row>
    <row r="78" spans="1:12" x14ac:dyDescent="0.25">
      <c r="A78" s="42"/>
      <c r="K78" s="6"/>
      <c r="L78" s="51"/>
    </row>
    <row r="79" spans="1:12" x14ac:dyDescent="0.25">
      <c r="A79" s="43"/>
      <c r="K79" s="6"/>
      <c r="L79" s="51"/>
    </row>
    <row r="80" spans="1:12" x14ac:dyDescent="0.25">
      <c r="A80" s="43"/>
      <c r="K80" s="6"/>
      <c r="L80" s="51"/>
    </row>
    <row r="81" spans="1:12" x14ac:dyDescent="0.25">
      <c r="A81" s="42"/>
      <c r="K81" s="6"/>
      <c r="L81" s="51"/>
    </row>
    <row r="82" spans="1:12" x14ac:dyDescent="0.25">
      <c r="A82" s="42"/>
      <c r="K82" s="6"/>
      <c r="L82" s="51"/>
    </row>
    <row r="83" spans="1:12" x14ac:dyDescent="0.25">
      <c r="A83" s="43"/>
      <c r="K83" s="6"/>
      <c r="L83" s="51"/>
    </row>
    <row r="84" spans="1:12" x14ac:dyDescent="0.25">
      <c r="A84" s="43"/>
      <c r="K84" s="6"/>
      <c r="L84" s="51"/>
    </row>
    <row r="85" spans="1:12" x14ac:dyDescent="0.25">
      <c r="A85" s="42"/>
      <c r="K85" s="6"/>
      <c r="L85" s="51"/>
    </row>
    <row r="86" spans="1:12" x14ac:dyDescent="0.25">
      <c r="A86" s="42"/>
      <c r="K86" s="6"/>
      <c r="L86" s="51"/>
    </row>
    <row r="87" spans="1:12" x14ac:dyDescent="0.25">
      <c r="A87" s="42"/>
      <c r="K87" s="6"/>
      <c r="L87" s="51"/>
    </row>
    <row r="88" spans="1:12" x14ac:dyDescent="0.25">
      <c r="A88" s="42"/>
      <c r="K88" s="6"/>
      <c r="L88" s="51"/>
    </row>
    <row r="89" spans="1:12" x14ac:dyDescent="0.25">
      <c r="A89" s="42"/>
      <c r="K89" s="6"/>
      <c r="L89" s="51"/>
    </row>
    <row r="90" spans="1:12" x14ac:dyDescent="0.25">
      <c r="A90" s="42"/>
      <c r="K90" s="6"/>
      <c r="L90" s="51"/>
    </row>
    <row r="91" spans="1:12" x14ac:dyDescent="0.25">
      <c r="A91" s="42"/>
      <c r="K91" s="6"/>
      <c r="L91" s="51"/>
    </row>
    <row r="92" spans="1:12" x14ac:dyDescent="0.25">
      <c r="A92" s="42"/>
      <c r="K92" s="6"/>
      <c r="L92" s="51"/>
    </row>
    <row r="93" spans="1:12" x14ac:dyDescent="0.25">
      <c r="A93" s="42"/>
      <c r="K93" s="6"/>
      <c r="L93" s="51"/>
    </row>
    <row r="94" spans="1:12" x14ac:dyDescent="0.25">
      <c r="A94" s="42"/>
      <c r="K94" s="6"/>
      <c r="L94" s="51"/>
    </row>
    <row r="95" spans="1:12" x14ac:dyDescent="0.25">
      <c r="A95" s="42"/>
      <c r="K95" s="6"/>
      <c r="L95" s="51"/>
    </row>
    <row r="96" spans="1:12" x14ac:dyDescent="0.25">
      <c r="A96" s="42"/>
      <c r="K96" s="6"/>
      <c r="L96" s="51"/>
    </row>
    <row r="97" spans="1:12" x14ac:dyDescent="0.25">
      <c r="A97" s="42"/>
      <c r="K97" s="6"/>
      <c r="L97" s="51"/>
    </row>
    <row r="98" spans="1:12" x14ac:dyDescent="0.25">
      <c r="A98" s="42"/>
      <c r="K98" s="6"/>
      <c r="L98" s="51"/>
    </row>
    <row r="99" spans="1:12" x14ac:dyDescent="0.25">
      <c r="A99" s="42"/>
      <c r="K99" s="6"/>
      <c r="L99" s="51"/>
    </row>
    <row r="100" spans="1:12" x14ac:dyDescent="0.25">
      <c r="A100" s="42"/>
      <c r="K100" s="6"/>
      <c r="L100" s="51"/>
    </row>
    <row r="101" spans="1:12" x14ac:dyDescent="0.25">
      <c r="A101" s="42"/>
      <c r="K101" s="6"/>
      <c r="L101" s="51"/>
    </row>
    <row r="102" spans="1:12" x14ac:dyDescent="0.25">
      <c r="A102" s="42"/>
      <c r="K102" s="6"/>
      <c r="L102" s="51"/>
    </row>
    <row r="103" spans="1:12" x14ac:dyDescent="0.25">
      <c r="A103" s="42"/>
      <c r="K103" s="6"/>
      <c r="L103" s="51"/>
    </row>
    <row r="104" spans="1:12" x14ac:dyDescent="0.25">
      <c r="A104" s="42"/>
      <c r="K104" s="6"/>
      <c r="L104" s="51"/>
    </row>
    <row r="105" spans="1:12" x14ac:dyDescent="0.25">
      <c r="A105" s="42"/>
      <c r="K105" s="6"/>
      <c r="L105" s="51"/>
    </row>
    <row r="106" spans="1:12" x14ac:dyDescent="0.25">
      <c r="A106" s="42"/>
      <c r="K106" s="6"/>
      <c r="L106" s="51"/>
    </row>
    <row r="107" spans="1:12" x14ac:dyDescent="0.25">
      <c r="A107" s="43"/>
      <c r="K107" s="6"/>
      <c r="L107" s="51"/>
    </row>
    <row r="108" spans="1:12" x14ac:dyDescent="0.25">
      <c r="A108" s="43"/>
      <c r="K108" s="6"/>
      <c r="L108" s="51"/>
    </row>
    <row r="109" spans="1:12" x14ac:dyDescent="0.25">
      <c r="A109" s="42"/>
      <c r="K109" s="6"/>
      <c r="L109" s="51"/>
    </row>
    <row r="110" spans="1:12" x14ac:dyDescent="0.25">
      <c r="A110" s="42"/>
      <c r="K110" s="6"/>
      <c r="L110" s="51"/>
    </row>
    <row r="111" spans="1:12" x14ac:dyDescent="0.25">
      <c r="A111" s="43"/>
      <c r="K111" s="6"/>
      <c r="L111" s="51"/>
    </row>
    <row r="112" spans="1:12" x14ac:dyDescent="0.25">
      <c r="A112" s="43"/>
      <c r="K112" s="6"/>
      <c r="L112" s="51"/>
    </row>
    <row r="113" spans="1:12" x14ac:dyDescent="0.25">
      <c r="A113" s="42"/>
      <c r="K113" s="6"/>
      <c r="L113" s="51"/>
    </row>
    <row r="114" spans="1:12" x14ac:dyDescent="0.25">
      <c r="A114" s="42"/>
      <c r="K114" s="6"/>
      <c r="L114" s="51"/>
    </row>
    <row r="115" spans="1:12" x14ac:dyDescent="0.25">
      <c r="A115" s="42"/>
      <c r="K115" s="6"/>
      <c r="L115" s="51"/>
    </row>
    <row r="116" spans="1:12" x14ac:dyDescent="0.25">
      <c r="A116" s="42"/>
      <c r="K116" s="6"/>
      <c r="L116" s="51"/>
    </row>
    <row r="117" spans="1:12" x14ac:dyDescent="0.25">
      <c r="A117" s="42"/>
      <c r="K117" s="6"/>
      <c r="L117" s="51"/>
    </row>
    <row r="118" spans="1:12" x14ac:dyDescent="0.25">
      <c r="A118" s="42"/>
      <c r="K118" s="6"/>
      <c r="L118" s="51"/>
    </row>
    <row r="119" spans="1:12" x14ac:dyDescent="0.25">
      <c r="A119" s="42"/>
      <c r="K119" s="6"/>
      <c r="L119" s="51"/>
    </row>
    <row r="120" spans="1:12" x14ac:dyDescent="0.25">
      <c r="A120" s="42"/>
      <c r="L120" s="51"/>
    </row>
    <row r="121" spans="1:12" x14ac:dyDescent="0.25">
      <c r="A121" s="42"/>
      <c r="L121" s="51"/>
    </row>
    <row r="122" spans="1:12" x14ac:dyDescent="0.25">
      <c r="A122" s="42"/>
      <c r="L122" s="51"/>
    </row>
    <row r="123" spans="1:12" x14ac:dyDescent="0.25">
      <c r="A123" s="42"/>
      <c r="L123" s="51"/>
    </row>
    <row r="124" spans="1:12" x14ac:dyDescent="0.25">
      <c r="A124" s="42"/>
      <c r="L124" s="51"/>
    </row>
    <row r="125" spans="1:12" x14ac:dyDescent="0.25">
      <c r="A125" s="42"/>
      <c r="L125" s="51"/>
    </row>
    <row r="126" spans="1:12" x14ac:dyDescent="0.25">
      <c r="A126" s="42"/>
      <c r="L126" s="51"/>
    </row>
    <row r="127" spans="1:12" x14ac:dyDescent="0.25">
      <c r="A127" s="42"/>
      <c r="L127" s="51"/>
    </row>
    <row r="128" spans="1:12" x14ac:dyDescent="0.25">
      <c r="A128" s="42"/>
      <c r="L128" s="51"/>
    </row>
    <row r="129" spans="1:12" x14ac:dyDescent="0.25">
      <c r="A129" s="42"/>
      <c r="L129" s="51"/>
    </row>
    <row r="130" spans="1:12" x14ac:dyDescent="0.25">
      <c r="A130" s="42"/>
      <c r="L130" s="51"/>
    </row>
    <row r="131" spans="1:12" x14ac:dyDescent="0.25">
      <c r="A131" s="42"/>
      <c r="L131" s="51"/>
    </row>
    <row r="132" spans="1:12" x14ac:dyDescent="0.25">
      <c r="A132" s="42"/>
      <c r="L132" s="51"/>
    </row>
    <row r="133" spans="1:12" x14ac:dyDescent="0.25">
      <c r="A133" s="42"/>
      <c r="L133" s="51"/>
    </row>
    <row r="134" spans="1:12" x14ac:dyDescent="0.25">
      <c r="A134" s="42"/>
      <c r="L134" s="51"/>
    </row>
    <row r="135" spans="1:12" x14ac:dyDescent="0.25">
      <c r="A135" s="43"/>
      <c r="L135" s="51"/>
    </row>
    <row r="136" spans="1:12" x14ac:dyDescent="0.25">
      <c r="A136" s="43"/>
      <c r="L136" s="51"/>
    </row>
    <row r="137" spans="1:12" x14ac:dyDescent="0.25">
      <c r="A137" s="42"/>
      <c r="L137" s="51"/>
    </row>
    <row r="138" spans="1:12" x14ac:dyDescent="0.25">
      <c r="A138" s="42"/>
      <c r="L138" s="51"/>
    </row>
    <row r="139" spans="1:12" x14ac:dyDescent="0.25">
      <c r="A139" s="43"/>
      <c r="L139" s="51"/>
    </row>
    <row r="140" spans="1:12" x14ac:dyDescent="0.25">
      <c r="A140" s="43"/>
      <c r="L140" s="51"/>
    </row>
    <row r="141" spans="1:12" x14ac:dyDescent="0.25">
      <c r="L141" s="51"/>
    </row>
    <row r="142" spans="1:12" x14ac:dyDescent="0.25">
      <c r="L142" s="51"/>
    </row>
    <row r="143" spans="1:12" x14ac:dyDescent="0.25">
      <c r="L143" s="51"/>
    </row>
    <row r="144" spans="1:12" x14ac:dyDescent="0.25">
      <c r="L144" s="51"/>
    </row>
    <row r="145" spans="12:12" x14ac:dyDescent="0.25">
      <c r="L145" s="51"/>
    </row>
    <row r="146" spans="12:12" x14ac:dyDescent="0.25">
      <c r="L146" s="51"/>
    </row>
    <row r="147" spans="12:12" x14ac:dyDescent="0.25">
      <c r="L147" s="51"/>
    </row>
    <row r="148" spans="12:12" x14ac:dyDescent="0.25">
      <c r="L148" s="51"/>
    </row>
    <row r="149" spans="12:12" x14ac:dyDescent="0.25">
      <c r="L149" s="51"/>
    </row>
    <row r="150" spans="12:12" x14ac:dyDescent="0.25">
      <c r="L150" s="51"/>
    </row>
    <row r="151" spans="12:12" x14ac:dyDescent="0.25">
      <c r="L151" s="51"/>
    </row>
    <row r="152" spans="12:12" x14ac:dyDescent="0.25">
      <c r="L152" s="51"/>
    </row>
    <row r="153" spans="12:12" x14ac:dyDescent="0.25">
      <c r="L153" s="51"/>
    </row>
    <row r="154" spans="12:12" x14ac:dyDescent="0.25">
      <c r="L154" s="51"/>
    </row>
    <row r="155" spans="12:12" x14ac:dyDescent="0.25">
      <c r="L155" s="51"/>
    </row>
    <row r="156" spans="12:12" x14ac:dyDescent="0.25">
      <c r="L156" s="51"/>
    </row>
    <row r="157" spans="12:12" x14ac:dyDescent="0.25">
      <c r="L157" s="51"/>
    </row>
    <row r="158" spans="12:12" x14ac:dyDescent="0.25">
      <c r="L158" s="51"/>
    </row>
    <row r="159" spans="12:12" x14ac:dyDescent="0.25">
      <c r="L159" s="51"/>
    </row>
    <row r="160" spans="12:12" x14ac:dyDescent="0.25">
      <c r="L160" s="51"/>
    </row>
    <row r="161" spans="12:12" x14ac:dyDescent="0.25">
      <c r="L161" s="51"/>
    </row>
    <row r="162" spans="12:12" x14ac:dyDescent="0.25">
      <c r="L162" s="51"/>
    </row>
    <row r="163" spans="12:12" x14ac:dyDescent="0.25">
      <c r="L163" s="51"/>
    </row>
    <row r="164" spans="12:12" x14ac:dyDescent="0.25">
      <c r="L164" s="51"/>
    </row>
    <row r="165" spans="12:12" x14ac:dyDescent="0.25">
      <c r="L165" s="51"/>
    </row>
    <row r="166" spans="12:12" x14ac:dyDescent="0.25">
      <c r="L166" s="51"/>
    </row>
    <row r="167" spans="12:12" x14ac:dyDescent="0.25">
      <c r="L167" s="51"/>
    </row>
    <row r="168" spans="12:12" x14ac:dyDescent="0.25">
      <c r="L168" s="51"/>
    </row>
    <row r="169" spans="12:12" x14ac:dyDescent="0.25">
      <c r="L169" s="51"/>
    </row>
    <row r="170" spans="12:12" x14ac:dyDescent="0.25">
      <c r="L170" s="51"/>
    </row>
    <row r="171" spans="12:12" x14ac:dyDescent="0.25">
      <c r="L171" s="51"/>
    </row>
    <row r="172" spans="12:12" x14ac:dyDescent="0.25">
      <c r="L172" s="51"/>
    </row>
    <row r="173" spans="12:12" x14ac:dyDescent="0.25">
      <c r="L173" s="51"/>
    </row>
    <row r="174" spans="12:12" x14ac:dyDescent="0.25">
      <c r="L174" s="51"/>
    </row>
    <row r="175" spans="12:12" x14ac:dyDescent="0.25">
      <c r="L175" s="51"/>
    </row>
    <row r="176" spans="12:12" x14ac:dyDescent="0.25">
      <c r="L176" s="51"/>
    </row>
    <row r="177" spans="12:12" x14ac:dyDescent="0.25">
      <c r="L177" s="51"/>
    </row>
    <row r="178" spans="12:12" x14ac:dyDescent="0.25">
      <c r="L178" s="51"/>
    </row>
    <row r="179" spans="12:12" x14ac:dyDescent="0.25">
      <c r="L179" s="51"/>
    </row>
    <row r="180" spans="12:12" x14ac:dyDescent="0.25">
      <c r="L180" s="51"/>
    </row>
    <row r="181" spans="12:12" x14ac:dyDescent="0.25">
      <c r="L181" s="51"/>
    </row>
    <row r="182" spans="12:12" x14ac:dyDescent="0.25">
      <c r="L182" s="51"/>
    </row>
    <row r="183" spans="12:12" x14ac:dyDescent="0.25">
      <c r="L183" s="51"/>
    </row>
    <row r="184" spans="12:12" x14ac:dyDescent="0.25">
      <c r="L184" s="51"/>
    </row>
    <row r="185" spans="12:12" x14ac:dyDescent="0.25">
      <c r="L185" s="51"/>
    </row>
    <row r="186" spans="12:12" x14ac:dyDescent="0.25">
      <c r="L186" s="51"/>
    </row>
    <row r="187" spans="12:12" x14ac:dyDescent="0.25">
      <c r="L187" s="51"/>
    </row>
    <row r="188" spans="12:12" x14ac:dyDescent="0.25">
      <c r="L188" s="51"/>
    </row>
    <row r="189" spans="12:12" x14ac:dyDescent="0.25">
      <c r="L189" s="51"/>
    </row>
    <row r="190" spans="12:12" x14ac:dyDescent="0.25">
      <c r="L190" s="51"/>
    </row>
    <row r="191" spans="12:12" x14ac:dyDescent="0.25">
      <c r="L191" s="51"/>
    </row>
    <row r="192" spans="12:12" x14ac:dyDescent="0.25">
      <c r="L192" s="51"/>
    </row>
    <row r="193" spans="12:12" x14ac:dyDescent="0.25">
      <c r="L193" s="51"/>
    </row>
    <row r="194" spans="12:12" x14ac:dyDescent="0.25">
      <c r="L194" s="51"/>
    </row>
    <row r="195" spans="12:12" x14ac:dyDescent="0.25">
      <c r="L195" s="51"/>
    </row>
    <row r="196" spans="12:12" x14ac:dyDescent="0.25">
      <c r="L196" s="51"/>
    </row>
    <row r="197" spans="12:12" x14ac:dyDescent="0.25">
      <c r="L197" s="51"/>
    </row>
    <row r="198" spans="12:12" x14ac:dyDescent="0.25">
      <c r="L198" s="51"/>
    </row>
    <row r="199" spans="12:12" x14ac:dyDescent="0.25">
      <c r="L199" s="51"/>
    </row>
    <row r="200" spans="12:12" x14ac:dyDescent="0.25">
      <c r="L200" s="51"/>
    </row>
    <row r="201" spans="12:12" x14ac:dyDescent="0.25">
      <c r="L201" s="51"/>
    </row>
    <row r="202" spans="12:12" x14ac:dyDescent="0.25">
      <c r="L202" s="51"/>
    </row>
    <row r="203" spans="12:12" x14ac:dyDescent="0.25">
      <c r="L203" s="51"/>
    </row>
    <row r="204" spans="12:12" x14ac:dyDescent="0.25">
      <c r="L204" s="51"/>
    </row>
    <row r="205" spans="12:12" x14ac:dyDescent="0.25">
      <c r="L205" s="51"/>
    </row>
    <row r="206" spans="12:12" x14ac:dyDescent="0.25">
      <c r="L206" s="51"/>
    </row>
    <row r="207" spans="12:12" x14ac:dyDescent="0.25">
      <c r="L207" s="51"/>
    </row>
    <row r="208" spans="12:12" x14ac:dyDescent="0.25">
      <c r="L208" s="51"/>
    </row>
    <row r="209" spans="12:12" x14ac:dyDescent="0.25">
      <c r="L209" s="51"/>
    </row>
    <row r="210" spans="12:12" x14ac:dyDescent="0.25">
      <c r="L210" s="51"/>
    </row>
    <row r="211" spans="12:12" x14ac:dyDescent="0.25">
      <c r="L211" s="51"/>
    </row>
    <row r="212" spans="12:12" x14ac:dyDescent="0.25">
      <c r="L212" s="51"/>
    </row>
    <row r="213" spans="12:12" x14ac:dyDescent="0.25">
      <c r="L213" s="51"/>
    </row>
    <row r="214" spans="12:12" x14ac:dyDescent="0.25">
      <c r="L214" s="51"/>
    </row>
    <row r="215" spans="12:12" x14ac:dyDescent="0.25">
      <c r="L215" s="51"/>
    </row>
    <row r="216" spans="12:12" x14ac:dyDescent="0.25">
      <c r="L216" s="51"/>
    </row>
    <row r="217" spans="12:12" x14ac:dyDescent="0.25">
      <c r="L217" s="51"/>
    </row>
    <row r="218" spans="12:12" x14ac:dyDescent="0.25">
      <c r="L218" s="51"/>
    </row>
    <row r="219" spans="12:12" x14ac:dyDescent="0.25">
      <c r="L219" s="51"/>
    </row>
    <row r="220" spans="12:12" x14ac:dyDescent="0.25">
      <c r="L220" s="51"/>
    </row>
    <row r="221" spans="12:12" x14ac:dyDescent="0.25">
      <c r="L221" s="51"/>
    </row>
    <row r="222" spans="12:12" x14ac:dyDescent="0.25">
      <c r="L222" s="51"/>
    </row>
    <row r="223" spans="12:12" x14ac:dyDescent="0.25">
      <c r="L223" s="51"/>
    </row>
    <row r="224" spans="12:12" x14ac:dyDescent="0.25">
      <c r="L224" s="51"/>
    </row>
    <row r="225" spans="12:12" x14ac:dyDescent="0.25">
      <c r="L225" s="51"/>
    </row>
    <row r="226" spans="12:12" x14ac:dyDescent="0.25">
      <c r="L226" s="51"/>
    </row>
    <row r="227" spans="12:12" x14ac:dyDescent="0.25">
      <c r="L227" s="51"/>
    </row>
    <row r="228" spans="12:12" x14ac:dyDescent="0.25">
      <c r="L228" s="51"/>
    </row>
    <row r="229" spans="12:12" x14ac:dyDescent="0.25">
      <c r="L229" s="51"/>
    </row>
    <row r="230" spans="12:12" x14ac:dyDescent="0.25">
      <c r="L230" s="51"/>
    </row>
    <row r="231" spans="12:12" x14ac:dyDescent="0.25">
      <c r="L231" s="51"/>
    </row>
    <row r="232" spans="12:12" x14ac:dyDescent="0.25">
      <c r="L232" s="51"/>
    </row>
    <row r="233" spans="12:12" x14ac:dyDescent="0.25">
      <c r="L233" s="51"/>
    </row>
    <row r="234" spans="12:12" x14ac:dyDescent="0.25">
      <c r="L234" s="51"/>
    </row>
    <row r="235" spans="12:12" x14ac:dyDescent="0.25">
      <c r="L235" s="51"/>
    </row>
    <row r="236" spans="12:12" x14ac:dyDescent="0.25">
      <c r="L236" s="51"/>
    </row>
    <row r="237" spans="12:12" x14ac:dyDescent="0.25">
      <c r="L237" s="51"/>
    </row>
    <row r="238" spans="12:12" x14ac:dyDescent="0.25">
      <c r="L238" s="51"/>
    </row>
    <row r="239" spans="12:12" x14ac:dyDescent="0.25">
      <c r="L239" s="51"/>
    </row>
    <row r="240" spans="12:12" x14ac:dyDescent="0.25">
      <c r="L240" s="51"/>
    </row>
    <row r="241" spans="12:12" x14ac:dyDescent="0.25">
      <c r="L241" s="51"/>
    </row>
    <row r="242" spans="12:12" x14ac:dyDescent="0.25">
      <c r="L242" s="51"/>
    </row>
    <row r="243" spans="12:12" x14ac:dyDescent="0.25">
      <c r="L243" s="51"/>
    </row>
    <row r="244" spans="12:12" x14ac:dyDescent="0.25">
      <c r="L244" s="51"/>
    </row>
    <row r="245" spans="12:12" x14ac:dyDescent="0.25">
      <c r="L245" s="51"/>
    </row>
    <row r="246" spans="12:12" x14ac:dyDescent="0.25">
      <c r="L246" s="51"/>
    </row>
    <row r="247" spans="12:12" x14ac:dyDescent="0.25">
      <c r="L247" s="51"/>
    </row>
    <row r="248" spans="12:12" x14ac:dyDescent="0.25">
      <c r="L248" s="51"/>
    </row>
    <row r="249" spans="12:12" x14ac:dyDescent="0.25">
      <c r="L249" s="51"/>
    </row>
    <row r="250" spans="12:12" x14ac:dyDescent="0.25">
      <c r="L250" s="51"/>
    </row>
    <row r="251" spans="12:12" x14ac:dyDescent="0.25">
      <c r="L251" s="51"/>
    </row>
    <row r="252" spans="12:12" x14ac:dyDescent="0.25">
      <c r="L252" s="51"/>
    </row>
    <row r="253" spans="12:12" x14ac:dyDescent="0.25">
      <c r="L253" s="51"/>
    </row>
    <row r="254" spans="12:12" x14ac:dyDescent="0.25">
      <c r="L254" s="51"/>
    </row>
    <row r="255" spans="12:12" x14ac:dyDescent="0.25">
      <c r="L255" s="51"/>
    </row>
    <row r="256" spans="12:12" x14ac:dyDescent="0.25">
      <c r="L256" s="51"/>
    </row>
    <row r="257" spans="12:12" x14ac:dyDescent="0.25">
      <c r="L257" s="51"/>
    </row>
    <row r="258" spans="12:12" x14ac:dyDescent="0.25">
      <c r="L258" s="51"/>
    </row>
    <row r="259" spans="12:12" x14ac:dyDescent="0.25">
      <c r="L259" s="51"/>
    </row>
    <row r="260" spans="12:12" x14ac:dyDescent="0.25">
      <c r="L260" s="51"/>
    </row>
    <row r="261" spans="12:12" x14ac:dyDescent="0.25">
      <c r="L261" s="51"/>
    </row>
    <row r="262" spans="12:12" x14ac:dyDescent="0.25">
      <c r="L262" s="51"/>
    </row>
    <row r="263" spans="12:12" x14ac:dyDescent="0.25">
      <c r="L263" s="51"/>
    </row>
    <row r="264" spans="12:12" x14ac:dyDescent="0.25">
      <c r="L264" s="51"/>
    </row>
    <row r="265" spans="12:12" x14ac:dyDescent="0.25">
      <c r="L265" s="49"/>
    </row>
  </sheetData>
  <sheetProtection formatCells="0" selectLockedCells="1"/>
  <mergeCells count="16">
    <mergeCell ref="D8:F8"/>
    <mergeCell ref="D10:F10"/>
    <mergeCell ref="B8:C8"/>
    <mergeCell ref="D7:F7"/>
    <mergeCell ref="B4:C4"/>
    <mergeCell ref="B6:C6"/>
    <mergeCell ref="D6:F6"/>
    <mergeCell ref="D9:F9"/>
    <mergeCell ref="B7:C7"/>
    <mergeCell ref="B9:C9"/>
    <mergeCell ref="K5:L5"/>
    <mergeCell ref="B2:C3"/>
    <mergeCell ref="D2:F3"/>
    <mergeCell ref="B5:C5"/>
    <mergeCell ref="D4:F4"/>
    <mergeCell ref="D5:F5"/>
  </mergeCells>
  <phoneticPr fontId="5" type="noConversion"/>
  <dataValidations xWindow="1143" yWindow="492" count="6">
    <dataValidation type="textLength" operator="notEqual" allowBlank="1" showInputMessage="1" showErrorMessage="1" sqref="D4:F5" xr:uid="{3420A55E-2A0B-4723-A1D9-0EB4FBEAC7AA}">
      <formula1>0</formula1>
    </dataValidation>
    <dataValidation type="list" allowBlank="1" showInputMessage="1" showErrorMessage="1" sqref="D8:F8" xr:uid="{C336CEA5-B35D-41C0-8452-0C22326CCEF5}">
      <formula1>$K$44:$K$57</formula1>
    </dataValidation>
    <dataValidation type="decimal" allowBlank="1" showInputMessage="1" showErrorMessage="1" sqref="D41:E41" xr:uid="{4E57BA2D-A85D-45B5-9E82-7F6A6D069794}">
      <formula1>0</formula1>
      <formula2>10000</formula2>
    </dataValidation>
    <dataValidation type="textLength" operator="equal" allowBlank="1" showInputMessage="1" showErrorMessage="1" sqref="D6" xr:uid="{088A50B9-28E5-4565-86DC-A36137F269B2}">
      <formula1>2</formula1>
    </dataValidation>
    <dataValidation type="whole" operator="notEqual" allowBlank="1" showInputMessage="1" showErrorMessage="1" sqref="E27:E40" xr:uid="{518C2883-B46A-4911-83F8-70EBFAB55E34}">
      <formula1>0</formula1>
    </dataValidation>
    <dataValidation type="textLength" operator="equal" allowBlank="1" showInputMessage="1" showErrorMessage="1" sqref="D7:F7" xr:uid="{01593E8D-94DE-4216-A115-29794F846AE2}">
      <formula1>7</formula1>
    </dataValidation>
  </dataValidations>
  <printOptions horizontalCentered="1"/>
  <pageMargins left="0.1" right="0.1" top="0.1" bottom="0.1" header="0.1" footer="0.1"/>
  <pageSetup paperSize="9" orientation="portrait" horizontalDpi="4294967293" verticalDpi="300" r:id="rId1"/>
  <headerFooter>
    <oddFooter>&amp;L&amp;B Confidential&amp;B&amp;C&amp;D&amp;RPage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4FD6-1A79-48C8-9250-E94F6791A9C3}">
  <sheetPr codeName="Sheet6"/>
  <dimension ref="A1:AE2"/>
  <sheetViews>
    <sheetView zoomScale="70" zoomScaleNormal="70" workbookViewId="0">
      <pane xSplit="1" ySplit="1" topLeftCell="B2" activePane="bottomRight" state="frozen"/>
      <selection pane="topRight" activeCell="C1" sqref="C1"/>
      <selection pane="bottomLeft" activeCell="A2" sqref="A2"/>
      <selection pane="bottomRight" activeCell="A170" sqref="A170:XFD183"/>
    </sheetView>
  </sheetViews>
  <sheetFormatPr defaultRowHeight="15" x14ac:dyDescent="0.25"/>
  <cols>
    <col min="1" max="1" width="5" style="80" bestFit="1" customWidth="1"/>
    <col min="2" max="2" width="11.42578125" style="80" bestFit="1" customWidth="1"/>
    <col min="3" max="3" width="11.5703125" style="82" bestFit="1" customWidth="1"/>
    <col min="4" max="4" width="18.85546875" style="82" bestFit="1" customWidth="1"/>
    <col min="5" max="5" width="15" style="82" bestFit="1" customWidth="1"/>
    <col min="6" max="6" width="13.42578125" style="80" hidden="1" customWidth="1"/>
    <col min="7" max="7" width="10.7109375" style="80" hidden="1" customWidth="1"/>
    <col min="8" max="8" width="27.85546875" style="80" hidden="1" customWidth="1"/>
    <col min="9" max="9" width="10.7109375" style="80" customWidth="1"/>
    <col min="10" max="10" width="18.5703125" style="80" hidden="1" customWidth="1"/>
    <col min="11" max="11" width="17.42578125" style="80" hidden="1" customWidth="1"/>
    <col min="12" max="12" width="7.42578125" style="80" hidden="1" customWidth="1"/>
    <col min="13" max="13" width="17.85546875" style="73" hidden="1" customWidth="1"/>
    <col min="14" max="14" width="7.28515625" style="80" hidden="1" customWidth="1"/>
    <col min="15" max="15" width="14.28515625" style="80" hidden="1" customWidth="1"/>
    <col min="16" max="16" width="10.42578125" style="80" customWidth="1"/>
    <col min="17" max="17" width="11.140625" style="80" hidden="1" customWidth="1"/>
    <col min="18" max="18" width="18.140625" style="80" hidden="1" customWidth="1"/>
    <col min="19" max="19" width="12.140625" style="80" hidden="1" customWidth="1"/>
    <col min="20" max="20" width="12.42578125" style="80" hidden="1" customWidth="1"/>
    <col min="21" max="21" width="11.140625" style="85" bestFit="1" customWidth="1"/>
    <col min="22" max="22" width="5.85546875" style="80" bestFit="1" customWidth="1"/>
    <col min="23" max="23" width="13" style="80" bestFit="1" customWidth="1"/>
    <col min="24" max="24" width="10" style="80" bestFit="1" customWidth="1"/>
    <col min="25" max="25" width="8.5703125" style="80" bestFit="1" customWidth="1"/>
    <col min="28" max="28" width="22" bestFit="1" customWidth="1"/>
  </cols>
  <sheetData>
    <row r="1" spans="1:31" s="2" customFormat="1" ht="61.5" customHeight="1" x14ac:dyDescent="0.25">
      <c r="A1" s="80" t="s">
        <v>48</v>
      </c>
      <c r="B1" s="80" t="s">
        <v>24</v>
      </c>
      <c r="C1" s="82" t="s">
        <v>25</v>
      </c>
      <c r="D1" s="82" t="s">
        <v>26</v>
      </c>
      <c r="E1" s="82" t="s">
        <v>27</v>
      </c>
      <c r="F1" s="80" t="s">
        <v>28</v>
      </c>
      <c r="G1" s="80" t="s">
        <v>29</v>
      </c>
      <c r="H1" s="80" t="s">
        <v>70</v>
      </c>
      <c r="I1" s="80" t="s">
        <v>30</v>
      </c>
      <c r="J1" s="80" t="s">
        <v>31</v>
      </c>
      <c r="K1" s="80" t="s">
        <v>32</v>
      </c>
      <c r="L1" s="80" t="s">
        <v>33</v>
      </c>
      <c r="M1" s="73" t="s">
        <v>34</v>
      </c>
      <c r="N1" s="80" t="s">
        <v>35</v>
      </c>
      <c r="O1" s="80" t="s">
        <v>36</v>
      </c>
      <c r="P1" s="80" t="s">
        <v>37</v>
      </c>
      <c r="Q1" s="80" t="s">
        <v>38</v>
      </c>
      <c r="R1" s="80" t="s">
        <v>39</v>
      </c>
      <c r="S1" s="80" t="s">
        <v>40</v>
      </c>
      <c r="T1" s="80" t="s">
        <v>41</v>
      </c>
      <c r="U1" s="84" t="s">
        <v>42</v>
      </c>
      <c r="V1" s="80" t="s">
        <v>43</v>
      </c>
      <c r="W1" s="80" t="s">
        <v>44</v>
      </c>
      <c r="X1" s="80" t="s">
        <v>45</v>
      </c>
      <c r="Y1" s="80" t="s">
        <v>46</v>
      </c>
    </row>
    <row r="2" spans="1:31" x14ac:dyDescent="0.25">
      <c r="A2" s="80">
        <v>2</v>
      </c>
      <c r="B2" s="80">
        <v>2114</v>
      </c>
      <c r="C2" s="82">
        <v>44206</v>
      </c>
      <c r="D2" s="82" t="s">
        <v>129</v>
      </c>
      <c r="E2" s="82" t="s">
        <v>113</v>
      </c>
      <c r="G2" s="80">
        <v>1</v>
      </c>
      <c r="H2" s="80" t="s">
        <v>108</v>
      </c>
      <c r="I2" s="80">
        <v>25</v>
      </c>
      <c r="J2" s="80">
        <v>860</v>
      </c>
      <c r="K2" s="80">
        <v>792</v>
      </c>
      <c r="L2" s="80">
        <v>860</v>
      </c>
      <c r="M2" s="73">
        <v>44206</v>
      </c>
      <c r="N2" s="80" t="b">
        <v>1</v>
      </c>
      <c r="O2" s="80">
        <v>305200768</v>
      </c>
      <c r="P2" s="80">
        <v>4.41</v>
      </c>
      <c r="Q2" s="80">
        <v>1</v>
      </c>
      <c r="R2" s="80" t="s">
        <v>137</v>
      </c>
      <c r="S2" s="80">
        <v>727</v>
      </c>
      <c r="T2" s="80">
        <v>7273</v>
      </c>
      <c r="U2" s="85" t="s">
        <v>114</v>
      </c>
      <c r="X2" s="80" t="s">
        <v>71</v>
      </c>
      <c r="Y2" s="80">
        <v>0</v>
      </c>
      <c r="AA2">
        <f>B2</f>
        <v>2114</v>
      </c>
      <c r="AB2" t="str">
        <f>D2&amp;" "&amp;E2</f>
        <v>MIRAKBAROVA DILRABO</v>
      </c>
      <c r="AC2" t="str">
        <f>X2&amp;U2</f>
        <v>AA7963020</v>
      </c>
      <c r="AD2">
        <f>P2</f>
        <v>4.41</v>
      </c>
      <c r="AE2">
        <f>I2</f>
        <v>25</v>
      </c>
    </row>
  </sheetData>
  <phoneticPr fontId="5" type="noConversion"/>
  <pageMargins left="0.7" right="0.7" top="0.75" bottom="0.75" header="0.3" footer="0.3"/>
  <pageSetup orientation="portrait" horizontalDpi="4294967293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A043D-8036-49D4-8637-433EEEDD505C}">
  <sheetPr codeName="Sheet7"/>
  <dimension ref="A1:K8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9" sqref="A9:XFD1135"/>
    </sheetView>
  </sheetViews>
  <sheetFormatPr defaultRowHeight="15" x14ac:dyDescent="0.25"/>
  <cols>
    <col min="1" max="3" width="9.28515625" style="80" customWidth="1"/>
    <col min="4" max="4" width="22.85546875" style="80" bestFit="1" customWidth="1"/>
    <col min="5" max="11" width="9.28515625" style="80" customWidth="1"/>
  </cols>
  <sheetData>
    <row r="1" spans="1:11" x14ac:dyDescent="0.25">
      <c r="A1" s="80" t="s">
        <v>48</v>
      </c>
      <c r="B1" s="80" t="s">
        <v>49</v>
      </c>
      <c r="C1" s="80" t="s">
        <v>50</v>
      </c>
      <c r="D1" s="80" t="s">
        <v>11</v>
      </c>
      <c r="E1" s="80" t="s">
        <v>51</v>
      </c>
      <c r="F1" s="80" t="s">
        <v>52</v>
      </c>
      <c r="G1" s="80" t="s">
        <v>53</v>
      </c>
      <c r="H1" s="80" t="s">
        <v>54</v>
      </c>
      <c r="I1" s="80" t="s">
        <v>55</v>
      </c>
      <c r="J1" s="80" t="s">
        <v>56</v>
      </c>
      <c r="K1" s="80" t="s">
        <v>47</v>
      </c>
    </row>
    <row r="2" spans="1:11" x14ac:dyDescent="0.25">
      <c r="A2" s="80">
        <v>1</v>
      </c>
      <c r="B2" s="80">
        <v>2</v>
      </c>
      <c r="C2" s="80">
        <v>1</v>
      </c>
      <c r="D2" s="80" t="s">
        <v>130</v>
      </c>
      <c r="E2" s="80">
        <v>796</v>
      </c>
      <c r="F2" s="80">
        <v>0.63</v>
      </c>
      <c r="G2" s="80">
        <v>3</v>
      </c>
      <c r="H2" s="80">
        <v>6</v>
      </c>
      <c r="I2" s="80">
        <v>840</v>
      </c>
    </row>
    <row r="3" spans="1:11" x14ac:dyDescent="0.25">
      <c r="A3" s="80">
        <v>2</v>
      </c>
      <c r="B3" s="80">
        <v>2</v>
      </c>
      <c r="C3" s="80">
        <v>2</v>
      </c>
      <c r="D3" s="80" t="s">
        <v>131</v>
      </c>
      <c r="E3" s="80">
        <v>796</v>
      </c>
      <c r="F3" s="80">
        <v>0.63</v>
      </c>
      <c r="G3" s="80">
        <v>2</v>
      </c>
      <c r="H3" s="80">
        <v>2</v>
      </c>
      <c r="I3" s="80">
        <v>840</v>
      </c>
    </row>
    <row r="4" spans="1:11" x14ac:dyDescent="0.25">
      <c r="A4" s="80">
        <v>3</v>
      </c>
      <c r="B4" s="80">
        <v>2</v>
      </c>
      <c r="C4" s="80">
        <v>3</v>
      </c>
      <c r="D4" s="80" t="s">
        <v>132</v>
      </c>
      <c r="E4" s="80">
        <v>796</v>
      </c>
      <c r="F4" s="80">
        <v>0.63</v>
      </c>
      <c r="G4" s="80">
        <v>1</v>
      </c>
      <c r="H4" s="80">
        <v>2</v>
      </c>
      <c r="I4" s="80">
        <v>840</v>
      </c>
    </row>
    <row r="5" spans="1:11" x14ac:dyDescent="0.25">
      <c r="A5" s="80">
        <v>4</v>
      </c>
      <c r="B5" s="80">
        <v>2</v>
      </c>
      <c r="C5" s="80">
        <v>4</v>
      </c>
      <c r="D5" s="80" t="s">
        <v>133</v>
      </c>
      <c r="E5" s="80">
        <v>796</v>
      </c>
      <c r="F5" s="80">
        <v>0.63</v>
      </c>
      <c r="G5" s="80">
        <v>1</v>
      </c>
      <c r="H5" s="80">
        <v>2</v>
      </c>
      <c r="I5" s="80">
        <v>840</v>
      </c>
    </row>
    <row r="6" spans="1:11" x14ac:dyDescent="0.25">
      <c r="A6" s="80">
        <v>5</v>
      </c>
      <c r="B6" s="80">
        <v>2</v>
      </c>
      <c r="C6" s="80">
        <v>5</v>
      </c>
      <c r="D6" s="80" t="s">
        <v>134</v>
      </c>
      <c r="E6" s="80">
        <v>796</v>
      </c>
      <c r="F6" s="80">
        <v>0.63</v>
      </c>
      <c r="G6" s="80">
        <v>3</v>
      </c>
      <c r="H6" s="80">
        <v>6</v>
      </c>
      <c r="I6" s="80">
        <v>840</v>
      </c>
    </row>
    <row r="7" spans="1:11" x14ac:dyDescent="0.25">
      <c r="A7" s="80">
        <v>6</v>
      </c>
      <c r="B7" s="80">
        <v>2</v>
      </c>
      <c r="C7" s="80">
        <v>6</v>
      </c>
      <c r="D7" s="80" t="s">
        <v>135</v>
      </c>
      <c r="E7" s="80">
        <v>796</v>
      </c>
      <c r="F7" s="80">
        <v>0.63</v>
      </c>
      <c r="G7" s="80">
        <v>1</v>
      </c>
      <c r="H7" s="80">
        <v>1</v>
      </c>
      <c r="I7" s="80">
        <v>840</v>
      </c>
    </row>
    <row r="8" spans="1:11" x14ac:dyDescent="0.25">
      <c r="A8" s="80">
        <v>7</v>
      </c>
      <c r="B8" s="80">
        <v>2</v>
      </c>
      <c r="C8" s="80">
        <v>7</v>
      </c>
      <c r="D8" s="80" t="s">
        <v>136</v>
      </c>
      <c r="E8" s="80">
        <v>796</v>
      </c>
      <c r="F8" s="80">
        <v>0.63</v>
      </c>
      <c r="G8" s="80">
        <v>3</v>
      </c>
      <c r="H8" s="80">
        <v>6</v>
      </c>
      <c r="I8" s="80">
        <v>840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FF20-C884-4E63-A63B-21D5D629CED4}">
  <sheetPr codeName="Sheet3"/>
  <dimension ref="A1:F815"/>
  <sheetViews>
    <sheetView topLeftCell="A2" zoomScale="130" zoomScaleNormal="130" workbookViewId="0">
      <selection activeCell="A5" sqref="A5:F363"/>
    </sheetView>
  </sheetViews>
  <sheetFormatPr defaultRowHeight="15" x14ac:dyDescent="0.25"/>
  <cols>
    <col min="1" max="1" width="5.7109375" style="63" customWidth="1"/>
    <col min="2" max="2" width="12.7109375" style="64" customWidth="1"/>
    <col min="3" max="3" width="33.85546875" style="63" customWidth="1"/>
    <col min="4" max="4" width="23.5703125" style="65" customWidth="1"/>
    <col min="5" max="5" width="15.140625" style="66" bestFit="1" customWidth="1"/>
    <col min="6" max="6" width="17.85546875" style="67" bestFit="1" customWidth="1"/>
  </cols>
  <sheetData>
    <row r="1" spans="1:6" ht="154.5" customHeight="1" x14ac:dyDescent="0.25"/>
    <row r="2" spans="1:6" ht="20.25" customHeight="1" x14ac:dyDescent="0.25">
      <c r="A2" s="118" t="s">
        <v>120</v>
      </c>
      <c r="B2" s="118"/>
      <c r="C2" s="118"/>
      <c r="D2" s="118"/>
      <c r="E2" s="118"/>
      <c r="F2" s="118"/>
    </row>
    <row r="3" spans="1:6" ht="17.25" x14ac:dyDescent="0.25">
      <c r="A3" s="119" t="s">
        <v>121</v>
      </c>
      <c r="B3" s="119"/>
      <c r="C3" s="119"/>
      <c r="D3" s="119"/>
      <c r="E3" s="119"/>
      <c r="F3" s="119"/>
    </row>
    <row r="4" spans="1:6" ht="60" x14ac:dyDescent="0.25">
      <c r="A4" s="68" t="s">
        <v>122</v>
      </c>
      <c r="B4" s="69" t="s">
        <v>123</v>
      </c>
      <c r="C4" s="68" t="s">
        <v>124</v>
      </c>
      <c r="D4" s="69" t="s">
        <v>125</v>
      </c>
      <c r="E4" s="70" t="s">
        <v>126</v>
      </c>
      <c r="F4" s="71" t="s">
        <v>127</v>
      </c>
    </row>
    <row r="5" spans="1:6" x14ac:dyDescent="0.25">
      <c r="A5" s="86"/>
      <c r="B5" s="87"/>
      <c r="C5" s="86"/>
      <c r="D5" s="88"/>
      <c r="E5" s="88"/>
      <c r="F5" s="89"/>
    </row>
    <row r="6" spans="1:6" x14ac:dyDescent="0.25">
      <c r="A6" s="86"/>
      <c r="B6" s="87"/>
      <c r="C6" s="86"/>
      <c r="D6" s="88"/>
      <c r="E6" s="88"/>
      <c r="F6" s="89"/>
    </row>
    <row r="7" spans="1:6" x14ac:dyDescent="0.25">
      <c r="A7" s="86"/>
      <c r="B7" s="87"/>
      <c r="C7" s="86"/>
      <c r="D7" s="88"/>
      <c r="E7" s="88"/>
      <c r="F7" s="89"/>
    </row>
    <row r="8" spans="1:6" x14ac:dyDescent="0.25">
      <c r="A8" s="86"/>
      <c r="B8" s="87"/>
      <c r="C8" s="86"/>
      <c r="D8" s="88"/>
      <c r="E8" s="88"/>
      <c r="F8" s="89"/>
    </row>
    <row r="9" spans="1:6" x14ac:dyDescent="0.25">
      <c r="A9" s="86"/>
      <c r="B9" s="87"/>
      <c r="C9" s="86"/>
      <c r="D9" s="88"/>
      <c r="E9" s="88"/>
      <c r="F9" s="89"/>
    </row>
    <row r="10" spans="1:6" x14ac:dyDescent="0.25">
      <c r="A10" s="86"/>
      <c r="B10" s="87"/>
      <c r="C10" s="86"/>
      <c r="D10" s="88"/>
      <c r="E10" s="88"/>
      <c r="F10" s="89"/>
    </row>
    <row r="11" spans="1:6" x14ac:dyDescent="0.25">
      <c r="A11" s="86"/>
      <c r="B11" s="87"/>
      <c r="C11" s="86"/>
      <c r="D11" s="88"/>
      <c r="E11" s="88"/>
      <c r="F11" s="89"/>
    </row>
    <row r="12" spans="1:6" x14ac:dyDescent="0.25">
      <c r="A12" s="86"/>
      <c r="B12" s="87"/>
      <c r="C12" s="86"/>
      <c r="D12" s="88"/>
      <c r="E12" s="88"/>
      <c r="F12" s="89"/>
    </row>
    <row r="13" spans="1:6" x14ac:dyDescent="0.25">
      <c r="A13" s="86"/>
      <c r="B13" s="87"/>
      <c r="C13" s="86"/>
      <c r="D13" s="88"/>
      <c r="E13" s="88"/>
      <c r="F13" s="89"/>
    </row>
    <row r="14" spans="1:6" x14ac:dyDescent="0.25">
      <c r="A14" s="86"/>
      <c r="B14" s="87"/>
      <c r="C14" s="86"/>
      <c r="D14" s="88"/>
      <c r="E14" s="88"/>
      <c r="F14" s="89"/>
    </row>
    <row r="15" spans="1:6" x14ac:dyDescent="0.25">
      <c r="A15" s="86"/>
      <c r="B15" s="87"/>
      <c r="C15" s="86"/>
      <c r="D15" s="88"/>
      <c r="E15" s="88"/>
      <c r="F15" s="89"/>
    </row>
    <row r="16" spans="1:6" x14ac:dyDescent="0.25">
      <c r="A16" s="86"/>
      <c r="B16" s="87"/>
      <c r="C16" s="86"/>
      <c r="D16" s="88"/>
      <c r="E16" s="88"/>
      <c r="F16" s="89"/>
    </row>
    <row r="17" spans="1:6" x14ac:dyDescent="0.25">
      <c r="A17" s="86"/>
      <c r="B17" s="87"/>
      <c r="C17" s="86"/>
      <c r="D17" s="88"/>
      <c r="E17" s="88"/>
      <c r="F17" s="89"/>
    </row>
    <row r="18" spans="1:6" x14ac:dyDescent="0.25">
      <c r="A18" s="86"/>
      <c r="B18" s="87"/>
      <c r="C18" s="86"/>
      <c r="D18" s="88"/>
      <c r="E18" s="88"/>
      <c r="F18" s="89"/>
    </row>
    <row r="19" spans="1:6" x14ac:dyDescent="0.25">
      <c r="A19" s="86"/>
      <c r="B19" s="87"/>
      <c r="C19" s="86"/>
      <c r="D19" s="88"/>
      <c r="E19" s="88"/>
      <c r="F19" s="89"/>
    </row>
    <row r="20" spans="1:6" x14ac:dyDescent="0.25">
      <c r="A20" s="86"/>
      <c r="B20" s="87"/>
      <c r="C20" s="86"/>
      <c r="D20" s="88"/>
      <c r="E20" s="88"/>
      <c r="F20" s="89"/>
    </row>
    <row r="21" spans="1:6" x14ac:dyDescent="0.25">
      <c r="A21" s="86"/>
      <c r="B21" s="87"/>
      <c r="C21" s="86"/>
      <c r="D21" s="88"/>
      <c r="E21" s="88"/>
      <c r="F21" s="89"/>
    </row>
    <row r="22" spans="1:6" x14ac:dyDescent="0.25">
      <c r="A22" s="86"/>
      <c r="B22" s="87"/>
      <c r="C22" s="86"/>
      <c r="D22" s="88"/>
      <c r="E22" s="88"/>
      <c r="F22" s="89"/>
    </row>
    <row r="23" spans="1:6" x14ac:dyDescent="0.25">
      <c r="A23" s="86"/>
      <c r="B23" s="87"/>
      <c r="C23" s="86"/>
      <c r="D23" s="88"/>
      <c r="E23" s="88"/>
      <c r="F23" s="89"/>
    </row>
    <row r="24" spans="1:6" x14ac:dyDescent="0.25">
      <c r="A24" s="86"/>
      <c r="B24" s="87"/>
      <c r="C24" s="86"/>
      <c r="D24" s="88"/>
      <c r="E24" s="88"/>
      <c r="F24" s="89"/>
    </row>
    <row r="25" spans="1:6" x14ac:dyDescent="0.25">
      <c r="A25" s="86"/>
      <c r="B25" s="87"/>
      <c r="C25" s="86"/>
      <c r="D25" s="88"/>
      <c r="E25" s="88"/>
      <c r="F25" s="89"/>
    </row>
    <row r="26" spans="1:6" x14ac:dyDescent="0.25">
      <c r="A26" s="86"/>
      <c r="B26" s="87"/>
      <c r="C26" s="86"/>
      <c r="D26" s="88"/>
      <c r="E26" s="88"/>
      <c r="F26" s="89"/>
    </row>
    <row r="27" spans="1:6" x14ac:dyDescent="0.25">
      <c r="A27" s="86"/>
      <c r="B27" s="87"/>
      <c r="C27" s="86"/>
      <c r="D27" s="88"/>
      <c r="E27" s="88"/>
      <c r="F27" s="89"/>
    </row>
    <row r="28" spans="1:6" x14ac:dyDescent="0.25">
      <c r="A28" s="86"/>
      <c r="B28" s="87"/>
      <c r="C28" s="86"/>
      <c r="D28" s="88"/>
      <c r="E28" s="88"/>
      <c r="F28" s="89"/>
    </row>
    <row r="29" spans="1:6" x14ac:dyDescent="0.25">
      <c r="A29" s="86"/>
      <c r="B29" s="87"/>
      <c r="C29" s="86"/>
      <c r="D29" s="88"/>
      <c r="E29" s="88"/>
      <c r="F29" s="89"/>
    </row>
    <row r="30" spans="1:6" x14ac:dyDescent="0.25">
      <c r="A30" s="86"/>
      <c r="B30" s="87"/>
      <c r="C30" s="86"/>
      <c r="D30" s="88"/>
      <c r="E30" s="88"/>
      <c r="F30" s="89"/>
    </row>
    <row r="31" spans="1:6" x14ac:dyDescent="0.25">
      <c r="A31" s="86"/>
      <c r="B31" s="87"/>
      <c r="C31" s="86"/>
      <c r="D31" s="88"/>
      <c r="E31" s="88"/>
      <c r="F31" s="89"/>
    </row>
    <row r="32" spans="1:6" x14ac:dyDescent="0.25">
      <c r="A32" s="86"/>
      <c r="B32" s="87"/>
      <c r="C32" s="86"/>
      <c r="D32" s="88"/>
      <c r="E32" s="88"/>
      <c r="F32" s="89"/>
    </row>
    <row r="33" spans="1:6" x14ac:dyDescent="0.25">
      <c r="A33" s="86"/>
      <c r="B33" s="87"/>
      <c r="C33" s="86"/>
      <c r="D33" s="88"/>
      <c r="E33" s="88"/>
      <c r="F33" s="89"/>
    </row>
    <row r="34" spans="1:6" x14ac:dyDescent="0.25">
      <c r="A34" s="86"/>
      <c r="B34" s="87"/>
      <c r="C34" s="86"/>
      <c r="D34" s="88"/>
      <c r="E34" s="88"/>
      <c r="F34" s="89"/>
    </row>
    <row r="35" spans="1:6" x14ac:dyDescent="0.25">
      <c r="A35" s="86"/>
      <c r="B35" s="87"/>
      <c r="C35" s="86"/>
      <c r="D35" s="88"/>
      <c r="E35" s="88"/>
      <c r="F35" s="89"/>
    </row>
    <row r="36" spans="1:6" x14ac:dyDescent="0.25">
      <c r="A36" s="86"/>
      <c r="B36" s="87"/>
      <c r="C36" s="86"/>
      <c r="D36" s="88"/>
      <c r="E36" s="88"/>
      <c r="F36" s="89"/>
    </row>
    <row r="37" spans="1:6" x14ac:dyDescent="0.25">
      <c r="A37" s="86"/>
      <c r="B37" s="87"/>
      <c r="C37" s="86"/>
      <c r="D37" s="88"/>
      <c r="E37" s="88"/>
      <c r="F37" s="89"/>
    </row>
    <row r="38" spans="1:6" x14ac:dyDescent="0.25">
      <c r="A38" s="86"/>
      <c r="B38" s="87"/>
      <c r="C38" s="86"/>
      <c r="D38" s="88"/>
      <c r="E38" s="88"/>
      <c r="F38" s="89"/>
    </row>
    <row r="39" spans="1:6" x14ac:dyDescent="0.25">
      <c r="A39" s="86"/>
      <c r="B39" s="87"/>
      <c r="C39" s="86"/>
      <c r="D39" s="88"/>
      <c r="E39" s="88"/>
      <c r="F39" s="89"/>
    </row>
    <row r="40" spans="1:6" x14ac:dyDescent="0.25">
      <c r="A40" s="86"/>
      <c r="B40" s="87"/>
      <c r="C40" s="86"/>
      <c r="D40" s="88"/>
      <c r="E40" s="88"/>
      <c r="F40" s="89"/>
    </row>
    <row r="41" spans="1:6" x14ac:dyDescent="0.25">
      <c r="A41" s="86"/>
      <c r="B41" s="87"/>
      <c r="C41" s="86"/>
      <c r="D41" s="88"/>
      <c r="E41" s="88"/>
      <c r="F41" s="89"/>
    </row>
    <row r="42" spans="1:6" x14ac:dyDescent="0.25">
      <c r="A42" s="86"/>
      <c r="B42" s="87"/>
      <c r="C42" s="86"/>
      <c r="D42" s="88"/>
      <c r="E42" s="88"/>
      <c r="F42" s="89"/>
    </row>
    <row r="43" spans="1:6" x14ac:dyDescent="0.25">
      <c r="A43" s="86"/>
      <c r="B43" s="87"/>
      <c r="C43" s="86"/>
      <c r="D43" s="88"/>
      <c r="E43" s="88"/>
      <c r="F43" s="89"/>
    </row>
    <row r="44" spans="1:6" x14ac:dyDescent="0.25">
      <c r="A44" s="86"/>
      <c r="B44" s="87"/>
      <c r="C44" s="86"/>
      <c r="D44" s="88"/>
      <c r="E44" s="88"/>
      <c r="F44" s="89"/>
    </row>
    <row r="45" spans="1:6" x14ac:dyDescent="0.25">
      <c r="A45" s="86"/>
      <c r="B45" s="87"/>
      <c r="C45" s="86"/>
      <c r="D45" s="88"/>
      <c r="E45" s="88"/>
      <c r="F45" s="89"/>
    </row>
    <row r="46" spans="1:6" x14ac:dyDescent="0.25">
      <c r="A46" s="86"/>
      <c r="B46" s="87"/>
      <c r="C46" s="86"/>
      <c r="D46" s="88"/>
      <c r="E46" s="88"/>
      <c r="F46" s="89"/>
    </row>
    <row r="47" spans="1:6" x14ac:dyDescent="0.25">
      <c r="A47" s="86"/>
      <c r="B47" s="87"/>
      <c r="C47" s="86"/>
      <c r="D47" s="88"/>
      <c r="E47" s="88"/>
      <c r="F47" s="89"/>
    </row>
    <row r="48" spans="1:6" x14ac:dyDescent="0.25">
      <c r="A48" s="86"/>
      <c r="B48" s="87"/>
      <c r="C48" s="86"/>
      <c r="D48" s="88"/>
      <c r="E48" s="88"/>
      <c r="F48" s="89"/>
    </row>
    <row r="49" spans="1:6" x14ac:dyDescent="0.25">
      <c r="A49" s="86"/>
      <c r="B49" s="87"/>
      <c r="C49" s="86"/>
      <c r="D49" s="88"/>
      <c r="E49" s="88"/>
      <c r="F49" s="89"/>
    </row>
    <row r="50" spans="1:6" x14ac:dyDescent="0.25">
      <c r="A50" s="86"/>
      <c r="B50" s="87"/>
      <c r="C50" s="86"/>
      <c r="D50" s="88"/>
      <c r="E50" s="88"/>
      <c r="F50" s="89"/>
    </row>
    <row r="51" spans="1:6" x14ac:dyDescent="0.25">
      <c r="A51" s="86"/>
      <c r="B51" s="87"/>
      <c r="C51" s="86"/>
      <c r="D51" s="88"/>
      <c r="E51" s="88"/>
      <c r="F51" s="89"/>
    </row>
    <row r="52" spans="1:6" x14ac:dyDescent="0.25">
      <c r="A52" s="86"/>
      <c r="B52" s="87"/>
      <c r="C52" s="86"/>
      <c r="D52" s="88"/>
      <c r="E52" s="88"/>
      <c r="F52" s="89"/>
    </row>
    <row r="53" spans="1:6" x14ac:dyDescent="0.25">
      <c r="A53" s="86"/>
      <c r="B53" s="87"/>
      <c r="C53" s="86"/>
      <c r="D53" s="88"/>
      <c r="E53" s="88"/>
      <c r="F53" s="89"/>
    </row>
    <row r="54" spans="1:6" x14ac:dyDescent="0.25">
      <c r="A54" s="86"/>
      <c r="B54" s="87"/>
      <c r="C54" s="86"/>
      <c r="D54" s="88"/>
      <c r="E54" s="88"/>
      <c r="F54" s="89"/>
    </row>
    <row r="55" spans="1:6" x14ac:dyDescent="0.25">
      <c r="A55" s="86"/>
      <c r="B55" s="87"/>
      <c r="C55" s="86"/>
      <c r="D55" s="88"/>
      <c r="E55" s="88"/>
      <c r="F55" s="89"/>
    </row>
    <row r="56" spans="1:6" x14ac:dyDescent="0.25">
      <c r="A56" s="86"/>
      <c r="B56" s="87"/>
      <c r="C56" s="86"/>
      <c r="D56" s="88"/>
      <c r="E56" s="88"/>
      <c r="F56" s="89"/>
    </row>
    <row r="57" spans="1:6" x14ac:dyDescent="0.25">
      <c r="A57" s="86"/>
      <c r="B57" s="87"/>
      <c r="C57" s="86"/>
      <c r="D57" s="88"/>
      <c r="E57" s="88"/>
      <c r="F57" s="89"/>
    </row>
    <row r="58" spans="1:6" x14ac:dyDescent="0.25">
      <c r="A58" s="86"/>
      <c r="B58" s="87"/>
      <c r="C58" s="86"/>
      <c r="D58" s="88"/>
      <c r="E58" s="88"/>
      <c r="F58" s="89"/>
    </row>
    <row r="59" spans="1:6" x14ac:dyDescent="0.25">
      <c r="A59" s="86"/>
      <c r="B59" s="87"/>
      <c r="C59" s="86"/>
      <c r="D59" s="88"/>
      <c r="E59" s="88"/>
      <c r="F59" s="89"/>
    </row>
    <row r="60" spans="1:6" x14ac:dyDescent="0.25">
      <c r="A60" s="86"/>
      <c r="B60" s="87"/>
      <c r="C60" s="86"/>
      <c r="D60" s="88"/>
      <c r="E60" s="88"/>
      <c r="F60" s="89"/>
    </row>
    <row r="61" spans="1:6" x14ac:dyDescent="0.25">
      <c r="A61" s="86"/>
      <c r="B61" s="87"/>
      <c r="C61" s="86"/>
      <c r="D61" s="88"/>
      <c r="E61" s="88"/>
      <c r="F61" s="89"/>
    </row>
    <row r="62" spans="1:6" x14ac:dyDescent="0.25">
      <c r="A62" s="86"/>
      <c r="B62" s="87"/>
      <c r="C62" s="86"/>
      <c r="D62" s="88"/>
      <c r="E62" s="88"/>
      <c r="F62" s="89"/>
    </row>
    <row r="63" spans="1:6" x14ac:dyDescent="0.25">
      <c r="A63" s="86"/>
      <c r="B63" s="87"/>
      <c r="C63" s="86"/>
      <c r="D63" s="88"/>
      <c r="E63" s="88"/>
      <c r="F63" s="89"/>
    </row>
    <row r="64" spans="1:6" x14ac:dyDescent="0.25">
      <c r="A64" s="86"/>
      <c r="B64" s="87"/>
      <c r="C64" s="86"/>
      <c r="D64" s="88"/>
      <c r="E64" s="88"/>
      <c r="F64" s="89"/>
    </row>
    <row r="65" spans="1:6" x14ac:dyDescent="0.25">
      <c r="A65" s="86"/>
      <c r="B65" s="87"/>
      <c r="C65" s="86"/>
      <c r="D65" s="88"/>
      <c r="E65" s="88"/>
      <c r="F65" s="89"/>
    </row>
    <row r="66" spans="1:6" x14ac:dyDescent="0.25">
      <c r="A66" s="86"/>
      <c r="B66" s="87"/>
      <c r="C66" s="86"/>
      <c r="D66" s="88"/>
      <c r="E66" s="88"/>
      <c r="F66" s="89"/>
    </row>
    <row r="67" spans="1:6" x14ac:dyDescent="0.25">
      <c r="A67" s="86"/>
      <c r="B67" s="87"/>
      <c r="C67" s="86"/>
      <c r="D67" s="88"/>
      <c r="E67" s="88"/>
      <c r="F67" s="89"/>
    </row>
    <row r="68" spans="1:6" x14ac:dyDescent="0.25">
      <c r="A68" s="86"/>
      <c r="B68" s="87"/>
      <c r="C68" s="86"/>
      <c r="D68" s="88"/>
      <c r="E68" s="88"/>
      <c r="F68" s="89"/>
    </row>
    <row r="69" spans="1:6" x14ac:dyDescent="0.25">
      <c r="A69" s="86"/>
      <c r="B69" s="87"/>
      <c r="C69" s="86"/>
      <c r="D69" s="88"/>
      <c r="E69" s="88"/>
      <c r="F69" s="89"/>
    </row>
    <row r="70" spans="1:6" x14ac:dyDescent="0.25">
      <c r="A70" s="86"/>
      <c r="B70" s="87"/>
      <c r="C70" s="86"/>
      <c r="D70" s="88"/>
      <c r="E70" s="88"/>
      <c r="F70" s="89"/>
    </row>
    <row r="71" spans="1:6" x14ac:dyDescent="0.25">
      <c r="A71" s="86"/>
      <c r="B71" s="87"/>
      <c r="C71" s="86"/>
      <c r="D71" s="88"/>
      <c r="E71" s="88"/>
      <c r="F71" s="89"/>
    </row>
    <row r="72" spans="1:6" x14ac:dyDescent="0.25">
      <c r="A72" s="86"/>
      <c r="B72" s="87"/>
      <c r="C72" s="86"/>
      <c r="D72" s="88"/>
      <c r="E72" s="88"/>
      <c r="F72" s="89"/>
    </row>
    <row r="73" spans="1:6" x14ac:dyDescent="0.25">
      <c r="A73" s="86"/>
      <c r="B73" s="87"/>
      <c r="C73" s="86"/>
      <c r="D73" s="88"/>
      <c r="E73" s="88"/>
      <c r="F73" s="89"/>
    </row>
    <row r="74" spans="1:6" x14ac:dyDescent="0.25">
      <c r="A74" s="86"/>
      <c r="B74" s="87"/>
      <c r="C74" s="86"/>
      <c r="D74" s="88"/>
      <c r="E74" s="88"/>
      <c r="F74" s="89"/>
    </row>
    <row r="75" spans="1:6" x14ac:dyDescent="0.25">
      <c r="A75" s="86"/>
      <c r="B75" s="87"/>
      <c r="C75" s="86"/>
      <c r="D75" s="88"/>
      <c r="E75" s="88"/>
      <c r="F75" s="89"/>
    </row>
    <row r="76" spans="1:6" x14ac:dyDescent="0.25">
      <c r="A76" s="86"/>
      <c r="B76" s="87"/>
      <c r="C76" s="86"/>
      <c r="D76" s="88"/>
      <c r="E76" s="88"/>
      <c r="F76" s="89"/>
    </row>
    <row r="77" spans="1:6" x14ac:dyDescent="0.25">
      <c r="A77" s="86"/>
      <c r="B77" s="87"/>
      <c r="C77" s="86"/>
      <c r="D77" s="88"/>
      <c r="E77" s="88"/>
      <c r="F77" s="89"/>
    </row>
    <row r="78" spans="1:6" x14ac:dyDescent="0.25">
      <c r="A78" s="86"/>
      <c r="B78" s="87"/>
      <c r="C78" s="86"/>
      <c r="D78" s="88"/>
      <c r="E78" s="88"/>
      <c r="F78" s="89"/>
    </row>
    <row r="79" spans="1:6" x14ac:dyDescent="0.25">
      <c r="A79" s="86"/>
      <c r="B79" s="87"/>
      <c r="C79" s="86"/>
      <c r="D79" s="88"/>
      <c r="E79" s="88"/>
      <c r="F79" s="89"/>
    </row>
    <row r="80" spans="1:6" x14ac:dyDescent="0.25">
      <c r="A80" s="86"/>
      <c r="B80" s="87"/>
      <c r="C80" s="86"/>
      <c r="D80" s="88"/>
      <c r="E80" s="88"/>
      <c r="F80" s="89"/>
    </row>
    <row r="81" spans="1:6" x14ac:dyDescent="0.25">
      <c r="A81" s="86"/>
      <c r="B81" s="87"/>
      <c r="C81" s="86"/>
      <c r="D81" s="88"/>
      <c r="E81" s="88"/>
      <c r="F81" s="89"/>
    </row>
    <row r="82" spans="1:6" x14ac:dyDescent="0.25">
      <c r="A82" s="86"/>
      <c r="B82" s="87"/>
      <c r="C82" s="86"/>
      <c r="D82" s="88"/>
      <c r="E82" s="88"/>
      <c r="F82" s="89"/>
    </row>
    <row r="83" spans="1:6" x14ac:dyDescent="0.25">
      <c r="A83" s="86"/>
      <c r="B83" s="87"/>
      <c r="C83" s="86"/>
      <c r="D83" s="88"/>
      <c r="E83" s="88"/>
      <c r="F83" s="89"/>
    </row>
    <row r="84" spans="1:6" x14ac:dyDescent="0.25">
      <c r="A84" s="86"/>
      <c r="B84" s="87"/>
      <c r="C84" s="86"/>
      <c r="D84" s="88"/>
      <c r="E84" s="88"/>
      <c r="F84" s="89"/>
    </row>
    <row r="85" spans="1:6" x14ac:dyDescent="0.25">
      <c r="A85" s="86"/>
      <c r="B85" s="87"/>
      <c r="C85" s="86"/>
      <c r="D85" s="88"/>
      <c r="E85" s="88"/>
      <c r="F85" s="89"/>
    </row>
    <row r="86" spans="1:6" x14ac:dyDescent="0.25">
      <c r="A86" s="86"/>
      <c r="B86" s="87"/>
      <c r="C86" s="86"/>
      <c r="D86" s="88"/>
      <c r="E86" s="88"/>
      <c r="F86" s="89"/>
    </row>
    <row r="87" spans="1:6" x14ac:dyDescent="0.25">
      <c r="A87" s="86"/>
      <c r="B87" s="87"/>
      <c r="C87" s="86"/>
      <c r="D87" s="88"/>
      <c r="E87" s="88"/>
      <c r="F87" s="89"/>
    </row>
    <row r="88" spans="1:6" x14ac:dyDescent="0.25">
      <c r="A88" s="86"/>
      <c r="B88" s="87"/>
      <c r="C88" s="86"/>
      <c r="D88" s="88"/>
      <c r="E88" s="88"/>
      <c r="F88" s="89"/>
    </row>
    <row r="89" spans="1:6" x14ac:dyDescent="0.25">
      <c r="A89" s="86"/>
      <c r="B89" s="87"/>
      <c r="C89" s="86"/>
      <c r="D89" s="88"/>
      <c r="E89" s="88"/>
      <c r="F89" s="89"/>
    </row>
    <row r="90" spans="1:6" x14ac:dyDescent="0.25">
      <c r="A90" s="86"/>
      <c r="B90" s="87"/>
      <c r="C90" s="86"/>
      <c r="D90" s="88"/>
      <c r="E90" s="88"/>
      <c r="F90" s="89"/>
    </row>
    <row r="91" spans="1:6" x14ac:dyDescent="0.25">
      <c r="A91" s="86"/>
      <c r="B91" s="87"/>
      <c r="C91" s="86"/>
      <c r="D91" s="88"/>
      <c r="E91" s="88"/>
      <c r="F91" s="89"/>
    </row>
    <row r="92" spans="1:6" x14ac:dyDescent="0.25">
      <c r="A92" s="86"/>
      <c r="B92" s="87"/>
      <c r="C92" s="86"/>
      <c r="D92" s="88"/>
      <c r="E92" s="88"/>
      <c r="F92" s="89"/>
    </row>
    <row r="93" spans="1:6" x14ac:dyDescent="0.25">
      <c r="A93" s="86"/>
      <c r="B93" s="87"/>
      <c r="C93" s="86"/>
      <c r="D93" s="88"/>
      <c r="E93" s="88"/>
      <c r="F93" s="89"/>
    </row>
    <row r="94" spans="1:6" x14ac:dyDescent="0.25">
      <c r="A94" s="86"/>
      <c r="B94" s="87"/>
      <c r="C94" s="86"/>
      <c r="D94" s="88"/>
      <c r="E94" s="88"/>
      <c r="F94" s="89"/>
    </row>
    <row r="95" spans="1:6" x14ac:dyDescent="0.25">
      <c r="A95" s="86"/>
      <c r="B95" s="87"/>
      <c r="C95" s="86"/>
      <c r="D95" s="88"/>
      <c r="E95" s="88"/>
      <c r="F95" s="89"/>
    </row>
    <row r="96" spans="1:6" x14ac:dyDescent="0.25">
      <c r="A96" s="86"/>
      <c r="B96" s="87"/>
      <c r="C96" s="86"/>
      <c r="D96" s="88"/>
      <c r="E96" s="88"/>
      <c r="F96" s="89"/>
    </row>
    <row r="97" spans="1:6" x14ac:dyDescent="0.25">
      <c r="A97" s="86"/>
      <c r="B97" s="87"/>
      <c r="C97" s="86"/>
      <c r="D97" s="88"/>
      <c r="E97" s="88"/>
      <c r="F97" s="89"/>
    </row>
    <row r="98" spans="1:6" x14ac:dyDescent="0.25">
      <c r="A98" s="86"/>
      <c r="B98" s="87"/>
      <c r="C98" s="86"/>
      <c r="D98" s="88"/>
      <c r="E98" s="88"/>
      <c r="F98" s="89"/>
    </row>
    <row r="99" spans="1:6" x14ac:dyDescent="0.25">
      <c r="A99" s="86"/>
      <c r="B99" s="87"/>
      <c r="C99" s="86"/>
      <c r="D99" s="88"/>
      <c r="E99" s="88"/>
      <c r="F99" s="89"/>
    </row>
    <row r="100" spans="1:6" x14ac:dyDescent="0.25">
      <c r="A100" s="86"/>
      <c r="B100" s="87"/>
      <c r="C100" s="86"/>
      <c r="D100" s="88"/>
      <c r="E100" s="88"/>
      <c r="F100" s="89"/>
    </row>
    <row r="101" spans="1:6" x14ac:dyDescent="0.25">
      <c r="A101" s="86"/>
      <c r="B101" s="87"/>
      <c r="C101" s="86"/>
      <c r="D101" s="88"/>
      <c r="E101" s="88"/>
      <c r="F101" s="89"/>
    </row>
    <row r="102" spans="1:6" x14ac:dyDescent="0.25">
      <c r="A102" s="86"/>
      <c r="B102" s="87"/>
      <c r="C102" s="86"/>
      <c r="D102" s="88"/>
      <c r="E102" s="88"/>
      <c r="F102" s="89"/>
    </row>
    <row r="103" spans="1:6" x14ac:dyDescent="0.25">
      <c r="A103" s="86"/>
      <c r="B103" s="87"/>
      <c r="C103" s="86"/>
      <c r="D103" s="88"/>
      <c r="E103" s="88"/>
      <c r="F103" s="89"/>
    </row>
    <row r="104" spans="1:6" x14ac:dyDescent="0.25">
      <c r="A104" s="86"/>
      <c r="B104" s="87"/>
      <c r="C104" s="86"/>
      <c r="D104" s="88"/>
      <c r="E104" s="88"/>
      <c r="F104" s="89"/>
    </row>
    <row r="105" spans="1:6" x14ac:dyDescent="0.25">
      <c r="A105" s="86"/>
      <c r="B105" s="87"/>
      <c r="C105" s="86"/>
      <c r="D105" s="88"/>
      <c r="E105" s="88"/>
      <c r="F105" s="89"/>
    </row>
    <row r="106" spans="1:6" x14ac:dyDescent="0.25">
      <c r="A106" s="86"/>
      <c r="B106" s="87"/>
      <c r="C106" s="86"/>
      <c r="D106" s="88"/>
      <c r="E106" s="88"/>
      <c r="F106" s="89"/>
    </row>
    <row r="107" spans="1:6" x14ac:dyDescent="0.25">
      <c r="A107" s="86"/>
      <c r="B107" s="87"/>
      <c r="C107" s="86"/>
      <c r="D107" s="88"/>
      <c r="E107" s="88"/>
      <c r="F107" s="89"/>
    </row>
    <row r="108" spans="1:6" x14ac:dyDescent="0.25">
      <c r="A108" s="86"/>
      <c r="B108" s="87"/>
      <c r="C108" s="86"/>
      <c r="D108" s="88"/>
      <c r="E108" s="88"/>
      <c r="F108" s="89"/>
    </row>
    <row r="109" spans="1:6" x14ac:dyDescent="0.25">
      <c r="A109" s="86"/>
      <c r="B109" s="87"/>
      <c r="C109" s="86"/>
      <c r="D109" s="88"/>
      <c r="E109" s="88"/>
      <c r="F109" s="89"/>
    </row>
    <row r="110" spans="1:6" x14ac:dyDescent="0.25">
      <c r="A110" s="86"/>
      <c r="B110" s="87"/>
      <c r="C110" s="86"/>
      <c r="D110" s="88"/>
      <c r="E110" s="88"/>
      <c r="F110" s="89"/>
    </row>
    <row r="111" spans="1:6" x14ac:dyDescent="0.25">
      <c r="A111" s="86"/>
      <c r="B111" s="87"/>
      <c r="C111" s="86"/>
      <c r="D111" s="88"/>
      <c r="E111" s="88"/>
      <c r="F111" s="89"/>
    </row>
    <row r="112" spans="1:6" x14ac:dyDescent="0.25">
      <c r="A112" s="86"/>
      <c r="B112" s="87"/>
      <c r="C112" s="86"/>
      <c r="D112" s="88"/>
      <c r="E112" s="88"/>
      <c r="F112" s="89"/>
    </row>
    <row r="113" spans="1:6" x14ac:dyDescent="0.25">
      <c r="A113" s="86"/>
      <c r="B113" s="87"/>
      <c r="C113" s="86"/>
      <c r="D113" s="88"/>
      <c r="E113" s="88"/>
      <c r="F113" s="89"/>
    </row>
    <row r="114" spans="1:6" x14ac:dyDescent="0.25">
      <c r="A114" s="86"/>
      <c r="B114" s="87"/>
      <c r="C114" s="86"/>
      <c r="D114" s="88"/>
      <c r="E114" s="88"/>
      <c r="F114" s="89"/>
    </row>
    <row r="115" spans="1:6" x14ac:dyDescent="0.25">
      <c r="A115" s="86"/>
      <c r="B115" s="87"/>
      <c r="C115" s="86"/>
      <c r="D115" s="88"/>
      <c r="E115" s="88"/>
      <c r="F115" s="89"/>
    </row>
    <row r="116" spans="1:6" x14ac:dyDescent="0.25">
      <c r="A116" s="86"/>
      <c r="B116" s="87"/>
      <c r="C116" s="86"/>
      <c r="D116" s="88"/>
      <c r="E116" s="88"/>
      <c r="F116" s="89"/>
    </row>
    <row r="117" spans="1:6" x14ac:dyDescent="0.25">
      <c r="A117" s="86"/>
      <c r="B117" s="87"/>
      <c r="C117" s="86"/>
      <c r="D117" s="88"/>
      <c r="E117" s="88"/>
      <c r="F117" s="89"/>
    </row>
    <row r="118" spans="1:6" x14ac:dyDescent="0.25">
      <c r="A118" s="86"/>
      <c r="B118" s="87"/>
      <c r="C118" s="86"/>
      <c r="D118" s="88"/>
      <c r="E118" s="88"/>
      <c r="F118" s="89"/>
    </row>
    <row r="119" spans="1:6" x14ac:dyDescent="0.25">
      <c r="A119" s="86"/>
      <c r="B119" s="87"/>
      <c r="C119" s="86"/>
      <c r="D119" s="88"/>
      <c r="E119" s="88"/>
      <c r="F119" s="89"/>
    </row>
    <row r="120" spans="1:6" x14ac:dyDescent="0.25">
      <c r="A120" s="86"/>
      <c r="B120" s="87"/>
      <c r="C120" s="86"/>
      <c r="D120" s="88"/>
      <c r="E120" s="88"/>
      <c r="F120" s="89"/>
    </row>
    <row r="121" spans="1:6" x14ac:dyDescent="0.25">
      <c r="A121" s="86"/>
      <c r="B121" s="87"/>
      <c r="C121" s="86"/>
      <c r="D121" s="88"/>
      <c r="E121" s="88"/>
      <c r="F121" s="89"/>
    </row>
    <row r="122" spans="1:6" x14ac:dyDescent="0.25">
      <c r="A122" s="86"/>
      <c r="B122" s="87"/>
      <c r="C122" s="86"/>
      <c r="D122" s="88"/>
      <c r="E122" s="88"/>
      <c r="F122" s="89"/>
    </row>
    <row r="123" spans="1:6" x14ac:dyDescent="0.25">
      <c r="A123" s="86"/>
      <c r="B123" s="87"/>
      <c r="C123" s="86"/>
      <c r="D123" s="88"/>
      <c r="E123" s="88"/>
      <c r="F123" s="89"/>
    </row>
    <row r="124" spans="1:6" x14ac:dyDescent="0.25">
      <c r="A124" s="86"/>
      <c r="B124" s="87"/>
      <c r="C124" s="86"/>
      <c r="D124" s="88"/>
      <c r="E124" s="88"/>
      <c r="F124" s="89"/>
    </row>
    <row r="125" spans="1:6" x14ac:dyDescent="0.25">
      <c r="A125" s="86"/>
      <c r="B125" s="87"/>
      <c r="C125" s="86"/>
      <c r="D125" s="88"/>
      <c r="E125" s="88"/>
      <c r="F125" s="89"/>
    </row>
    <row r="126" spans="1:6" x14ac:dyDescent="0.25">
      <c r="A126" s="86"/>
      <c r="B126" s="87"/>
      <c r="C126" s="86"/>
      <c r="D126" s="88"/>
      <c r="E126" s="88"/>
      <c r="F126" s="89"/>
    </row>
    <row r="127" spans="1:6" x14ac:dyDescent="0.25">
      <c r="A127" s="86"/>
      <c r="B127" s="87"/>
      <c r="C127" s="86"/>
      <c r="D127" s="88"/>
      <c r="E127" s="88"/>
      <c r="F127" s="89"/>
    </row>
    <row r="128" spans="1:6" x14ac:dyDescent="0.25">
      <c r="A128" s="86"/>
      <c r="B128" s="87"/>
      <c r="C128" s="86"/>
      <c r="D128" s="88"/>
      <c r="E128" s="88"/>
      <c r="F128" s="89"/>
    </row>
    <row r="129" spans="1:6" x14ac:dyDescent="0.25">
      <c r="A129" s="86"/>
      <c r="B129" s="87"/>
      <c r="C129" s="86"/>
      <c r="D129" s="88"/>
      <c r="E129" s="88"/>
      <c r="F129" s="89"/>
    </row>
    <row r="130" spans="1:6" x14ac:dyDescent="0.25">
      <c r="A130" s="86"/>
      <c r="B130" s="87"/>
      <c r="C130" s="86"/>
      <c r="D130" s="88"/>
      <c r="E130" s="88"/>
      <c r="F130" s="89"/>
    </row>
    <row r="131" spans="1:6" x14ac:dyDescent="0.25">
      <c r="A131" s="86"/>
      <c r="B131" s="87"/>
      <c r="C131" s="86"/>
      <c r="D131" s="88"/>
      <c r="E131" s="88"/>
      <c r="F131" s="89"/>
    </row>
    <row r="132" spans="1:6" x14ac:dyDescent="0.25">
      <c r="A132" s="86"/>
      <c r="B132" s="87"/>
      <c r="C132" s="86"/>
      <c r="D132" s="88"/>
      <c r="E132" s="88"/>
      <c r="F132" s="89"/>
    </row>
    <row r="133" spans="1:6" x14ac:dyDescent="0.25">
      <c r="A133" s="86"/>
      <c r="B133" s="87"/>
      <c r="C133" s="86"/>
      <c r="D133" s="88"/>
      <c r="E133" s="88"/>
      <c r="F133" s="89"/>
    </row>
    <row r="134" spans="1:6" x14ac:dyDescent="0.25">
      <c r="A134" s="86"/>
      <c r="B134" s="87"/>
      <c r="C134" s="86"/>
      <c r="D134" s="88"/>
      <c r="E134" s="88"/>
      <c r="F134" s="89"/>
    </row>
    <row r="135" spans="1:6" x14ac:dyDescent="0.25">
      <c r="A135" s="86"/>
      <c r="B135" s="87"/>
      <c r="C135" s="86"/>
      <c r="D135" s="88"/>
      <c r="E135" s="88"/>
      <c r="F135" s="89"/>
    </row>
    <row r="136" spans="1:6" x14ac:dyDescent="0.25">
      <c r="A136" s="86"/>
      <c r="B136" s="87"/>
      <c r="C136" s="86"/>
      <c r="D136" s="88"/>
      <c r="E136" s="88"/>
      <c r="F136" s="89"/>
    </row>
    <row r="137" spans="1:6" x14ac:dyDescent="0.25">
      <c r="A137" s="86"/>
      <c r="B137" s="87"/>
      <c r="C137" s="86"/>
      <c r="D137" s="88"/>
      <c r="E137" s="88"/>
      <c r="F137" s="89"/>
    </row>
    <row r="138" spans="1:6" x14ac:dyDescent="0.25">
      <c r="A138" s="86"/>
      <c r="B138" s="87"/>
      <c r="C138" s="86"/>
      <c r="D138" s="88"/>
      <c r="E138" s="88"/>
      <c r="F138" s="89"/>
    </row>
    <row r="139" spans="1:6" x14ac:dyDescent="0.25">
      <c r="A139" s="86"/>
      <c r="B139" s="87"/>
      <c r="C139" s="86"/>
      <c r="D139" s="88"/>
      <c r="E139" s="88"/>
      <c r="F139" s="89"/>
    </row>
    <row r="140" spans="1:6" x14ac:dyDescent="0.25">
      <c r="A140" s="86"/>
      <c r="B140" s="87"/>
      <c r="C140" s="86"/>
      <c r="D140" s="88"/>
      <c r="E140" s="88"/>
      <c r="F140" s="89"/>
    </row>
    <row r="141" spans="1:6" x14ac:dyDescent="0.25">
      <c r="A141" s="86"/>
      <c r="B141" s="87"/>
      <c r="C141" s="86"/>
      <c r="D141" s="88"/>
      <c r="E141" s="88"/>
      <c r="F141" s="89"/>
    </row>
    <row r="142" spans="1:6" x14ac:dyDescent="0.25">
      <c r="A142" s="86"/>
      <c r="B142" s="87"/>
      <c r="C142" s="86"/>
      <c r="D142" s="88"/>
      <c r="E142" s="88"/>
      <c r="F142" s="89"/>
    </row>
    <row r="143" spans="1:6" x14ac:dyDescent="0.25">
      <c r="A143" s="86"/>
      <c r="B143" s="87"/>
      <c r="C143" s="86"/>
      <c r="D143" s="88"/>
      <c r="E143" s="88"/>
      <c r="F143" s="89"/>
    </row>
    <row r="144" spans="1:6" x14ac:dyDescent="0.25">
      <c r="A144" s="86"/>
      <c r="B144" s="87"/>
      <c r="C144" s="86"/>
      <c r="D144" s="88"/>
      <c r="E144" s="88"/>
      <c r="F144" s="89"/>
    </row>
    <row r="145" spans="1:6" x14ac:dyDescent="0.25">
      <c r="A145" s="86"/>
      <c r="B145" s="87"/>
      <c r="C145" s="86"/>
      <c r="D145" s="88"/>
      <c r="E145" s="88"/>
      <c r="F145" s="89"/>
    </row>
    <row r="146" spans="1:6" x14ac:dyDescent="0.25">
      <c r="A146" s="86"/>
      <c r="B146" s="87"/>
      <c r="C146" s="86"/>
      <c r="D146" s="88"/>
      <c r="E146" s="88"/>
      <c r="F146" s="89"/>
    </row>
    <row r="147" spans="1:6" x14ac:dyDescent="0.25">
      <c r="A147" s="86"/>
      <c r="B147" s="87"/>
      <c r="C147" s="86"/>
      <c r="D147" s="88"/>
      <c r="E147" s="88"/>
      <c r="F147" s="89"/>
    </row>
    <row r="148" spans="1:6" x14ac:dyDescent="0.25">
      <c r="A148" s="86"/>
      <c r="B148" s="87"/>
      <c r="C148" s="86"/>
      <c r="D148" s="88"/>
      <c r="E148" s="88"/>
      <c r="F148" s="89"/>
    </row>
    <row r="149" spans="1:6" x14ac:dyDescent="0.25">
      <c r="A149" s="86"/>
      <c r="B149" s="87"/>
      <c r="C149" s="86"/>
      <c r="D149" s="88"/>
      <c r="E149" s="88"/>
      <c r="F149" s="89"/>
    </row>
    <row r="150" spans="1:6" x14ac:dyDescent="0.25">
      <c r="A150" s="86"/>
      <c r="B150" s="87"/>
      <c r="C150" s="86"/>
      <c r="D150" s="88"/>
      <c r="E150" s="88"/>
      <c r="F150" s="89"/>
    </row>
    <row r="151" spans="1:6" x14ac:dyDescent="0.25">
      <c r="A151" s="86"/>
      <c r="B151" s="87"/>
      <c r="C151" s="86"/>
      <c r="D151" s="88"/>
      <c r="E151" s="88"/>
      <c r="F151" s="89"/>
    </row>
    <row r="152" spans="1:6" x14ac:dyDescent="0.25">
      <c r="A152" s="86"/>
      <c r="B152" s="87"/>
      <c r="C152" s="86"/>
      <c r="D152" s="88"/>
      <c r="E152" s="88"/>
      <c r="F152" s="89"/>
    </row>
    <row r="153" spans="1:6" x14ac:dyDescent="0.25">
      <c r="A153" s="86"/>
      <c r="B153" s="87"/>
      <c r="C153" s="86"/>
      <c r="D153" s="88"/>
      <c r="E153" s="88"/>
      <c r="F153" s="89"/>
    </row>
    <row r="154" spans="1:6" x14ac:dyDescent="0.25">
      <c r="A154" s="86"/>
      <c r="B154" s="87"/>
      <c r="C154" s="86"/>
      <c r="D154" s="88"/>
      <c r="E154" s="88"/>
      <c r="F154" s="89"/>
    </row>
    <row r="155" spans="1:6" x14ac:dyDescent="0.25">
      <c r="A155" s="86"/>
      <c r="B155" s="87"/>
      <c r="C155" s="86"/>
      <c r="D155" s="88"/>
      <c r="E155" s="88"/>
      <c r="F155" s="89"/>
    </row>
    <row r="156" spans="1:6" x14ac:dyDescent="0.25">
      <c r="A156" s="86"/>
      <c r="B156" s="87"/>
      <c r="C156" s="86"/>
      <c r="D156" s="88"/>
      <c r="E156" s="88"/>
      <c r="F156" s="89"/>
    </row>
    <row r="157" spans="1:6" x14ac:dyDescent="0.25">
      <c r="A157" s="86"/>
      <c r="B157" s="87"/>
      <c r="C157" s="86"/>
      <c r="D157" s="88"/>
      <c r="E157" s="88"/>
      <c r="F157" s="89"/>
    </row>
    <row r="158" spans="1:6" x14ac:dyDescent="0.25">
      <c r="A158" s="86"/>
      <c r="B158" s="87"/>
      <c r="C158" s="86"/>
      <c r="D158" s="88"/>
      <c r="E158" s="88"/>
      <c r="F158" s="89"/>
    </row>
    <row r="159" spans="1:6" x14ac:dyDescent="0.25">
      <c r="A159" s="86"/>
      <c r="B159" s="87"/>
      <c r="C159" s="86"/>
      <c r="D159" s="88"/>
      <c r="E159" s="88"/>
      <c r="F159" s="89"/>
    </row>
    <row r="160" spans="1:6" x14ac:dyDescent="0.25">
      <c r="A160" s="86"/>
      <c r="B160" s="87"/>
      <c r="C160" s="86"/>
      <c r="D160" s="88"/>
      <c r="E160" s="88"/>
      <c r="F160" s="89"/>
    </row>
    <row r="161" spans="1:6" x14ac:dyDescent="0.25">
      <c r="A161" s="86"/>
      <c r="B161" s="87"/>
      <c r="C161" s="86"/>
      <c r="D161" s="88"/>
      <c r="E161" s="88"/>
      <c r="F161" s="89"/>
    </row>
    <row r="162" spans="1:6" x14ac:dyDescent="0.25">
      <c r="A162" s="86"/>
      <c r="B162" s="87"/>
      <c r="C162" s="86"/>
      <c r="D162" s="88"/>
      <c r="E162" s="88"/>
      <c r="F162" s="89"/>
    </row>
    <row r="163" spans="1:6" x14ac:dyDescent="0.25">
      <c r="A163" s="86"/>
      <c r="B163" s="87"/>
      <c r="C163" s="86"/>
      <c r="D163" s="88"/>
      <c r="E163" s="88"/>
      <c r="F163" s="89"/>
    </row>
    <row r="164" spans="1:6" x14ac:dyDescent="0.25">
      <c r="A164" s="86"/>
      <c r="B164" s="87"/>
      <c r="C164" s="86"/>
      <c r="D164" s="88"/>
      <c r="E164" s="88"/>
      <c r="F164" s="89"/>
    </row>
    <row r="165" spans="1:6" x14ac:dyDescent="0.25">
      <c r="A165" s="86"/>
      <c r="B165" s="87"/>
      <c r="C165" s="86"/>
      <c r="D165" s="88"/>
      <c r="E165" s="88"/>
      <c r="F165" s="89"/>
    </row>
    <row r="166" spans="1:6" x14ac:dyDescent="0.25">
      <c r="A166" s="86"/>
      <c r="B166" s="87"/>
      <c r="C166" s="86"/>
      <c r="D166" s="88"/>
      <c r="E166" s="88"/>
      <c r="F166" s="89"/>
    </row>
    <row r="167" spans="1:6" x14ac:dyDescent="0.25">
      <c r="A167" s="86"/>
      <c r="B167" s="87"/>
      <c r="C167" s="86"/>
      <c r="D167" s="88"/>
      <c r="E167" s="88"/>
      <c r="F167" s="89"/>
    </row>
    <row r="168" spans="1:6" x14ac:dyDescent="0.25">
      <c r="A168" s="86"/>
      <c r="B168" s="87"/>
      <c r="C168" s="86"/>
      <c r="D168" s="88"/>
      <c r="E168" s="88"/>
      <c r="F168" s="89"/>
    </row>
    <row r="169" spans="1:6" x14ac:dyDescent="0.25">
      <c r="A169" s="86"/>
      <c r="B169" s="87"/>
      <c r="C169" s="86"/>
      <c r="D169" s="88"/>
      <c r="E169" s="88"/>
      <c r="F169" s="89"/>
    </row>
    <row r="170" spans="1:6" x14ac:dyDescent="0.25">
      <c r="A170" s="86"/>
      <c r="B170" s="87"/>
      <c r="C170" s="86"/>
      <c r="D170" s="88"/>
      <c r="E170" s="88"/>
      <c r="F170" s="89"/>
    </row>
    <row r="171" spans="1:6" x14ac:dyDescent="0.25">
      <c r="A171" s="86"/>
      <c r="B171" s="87"/>
      <c r="C171" s="86"/>
      <c r="D171" s="88"/>
      <c r="E171" s="88"/>
      <c r="F171" s="89"/>
    </row>
    <row r="172" spans="1:6" x14ac:dyDescent="0.25">
      <c r="A172" s="86"/>
      <c r="B172" s="87"/>
      <c r="C172" s="86"/>
      <c r="D172" s="88"/>
      <c r="E172" s="88"/>
      <c r="F172" s="89"/>
    </row>
    <row r="173" spans="1:6" x14ac:dyDescent="0.25">
      <c r="A173" s="86"/>
      <c r="B173" s="87"/>
      <c r="C173" s="86"/>
      <c r="D173" s="88"/>
      <c r="E173" s="88"/>
      <c r="F173" s="89"/>
    </row>
    <row r="174" spans="1:6" x14ac:dyDescent="0.25">
      <c r="A174" s="86"/>
      <c r="B174" s="87"/>
      <c r="C174" s="86"/>
      <c r="D174" s="88"/>
      <c r="E174" s="88"/>
      <c r="F174" s="89"/>
    </row>
    <row r="175" spans="1:6" x14ac:dyDescent="0.25">
      <c r="A175" s="86"/>
      <c r="B175" s="87"/>
      <c r="C175" s="86"/>
      <c r="D175" s="88"/>
      <c r="E175" s="88"/>
      <c r="F175" s="89"/>
    </row>
    <row r="176" spans="1:6" x14ac:dyDescent="0.25">
      <c r="A176" s="86"/>
      <c r="B176" s="87"/>
      <c r="C176" s="86"/>
      <c r="D176" s="88"/>
      <c r="E176" s="88"/>
      <c r="F176" s="89"/>
    </row>
    <row r="177" spans="1:6" x14ac:dyDescent="0.25">
      <c r="A177" s="86"/>
      <c r="B177" s="87"/>
      <c r="C177" s="86"/>
      <c r="D177" s="88"/>
      <c r="E177" s="88"/>
      <c r="F177" s="89"/>
    </row>
    <row r="178" spans="1:6" x14ac:dyDescent="0.25">
      <c r="A178" s="86"/>
      <c r="B178" s="87"/>
      <c r="C178" s="86"/>
      <c r="D178" s="88"/>
      <c r="E178" s="88"/>
      <c r="F178" s="89"/>
    </row>
    <row r="179" spans="1:6" x14ac:dyDescent="0.25">
      <c r="A179" s="86"/>
      <c r="B179" s="87"/>
      <c r="C179" s="86"/>
      <c r="D179" s="88"/>
      <c r="E179" s="88"/>
      <c r="F179" s="89"/>
    </row>
    <row r="180" spans="1:6" x14ac:dyDescent="0.25">
      <c r="A180" s="86"/>
      <c r="B180" s="87"/>
      <c r="C180" s="86"/>
      <c r="D180" s="88"/>
      <c r="E180" s="88"/>
      <c r="F180" s="89"/>
    </row>
    <row r="181" spans="1:6" x14ac:dyDescent="0.25">
      <c r="A181" s="86"/>
      <c r="B181" s="87"/>
      <c r="C181" s="86"/>
      <c r="D181" s="88"/>
      <c r="E181" s="88"/>
      <c r="F181" s="89"/>
    </row>
    <row r="182" spans="1:6" x14ac:dyDescent="0.25">
      <c r="A182" s="86"/>
      <c r="B182" s="87"/>
      <c r="C182" s="86"/>
      <c r="D182" s="88"/>
      <c r="E182" s="88"/>
      <c r="F182" s="89"/>
    </row>
    <row r="183" spans="1:6" x14ac:dyDescent="0.25">
      <c r="A183" s="86"/>
      <c r="B183" s="87"/>
      <c r="C183" s="86"/>
      <c r="D183" s="88"/>
      <c r="E183" s="88"/>
      <c r="F183" s="89"/>
    </row>
    <row r="184" spans="1:6" x14ac:dyDescent="0.25">
      <c r="A184" s="86"/>
      <c r="B184" s="87"/>
      <c r="C184" s="86"/>
      <c r="D184" s="88"/>
      <c r="E184" s="88"/>
      <c r="F184" s="89"/>
    </row>
    <row r="185" spans="1:6" x14ac:dyDescent="0.25">
      <c r="A185" s="86"/>
      <c r="B185" s="87"/>
      <c r="C185" s="86"/>
      <c r="D185" s="88"/>
      <c r="E185" s="88"/>
      <c r="F185" s="89"/>
    </row>
    <row r="186" spans="1:6" x14ac:dyDescent="0.25">
      <c r="A186" s="86"/>
      <c r="B186" s="87"/>
      <c r="C186" s="86"/>
      <c r="D186" s="88"/>
      <c r="E186" s="88"/>
      <c r="F186" s="89"/>
    </row>
    <row r="187" spans="1:6" x14ac:dyDescent="0.25">
      <c r="A187" s="86"/>
      <c r="B187" s="87"/>
      <c r="C187" s="86"/>
      <c r="D187" s="88"/>
      <c r="E187" s="88"/>
      <c r="F187" s="89"/>
    </row>
    <row r="188" spans="1:6" x14ac:dyDescent="0.25">
      <c r="A188" s="86"/>
      <c r="B188" s="87"/>
      <c r="C188" s="86"/>
      <c r="D188" s="88"/>
      <c r="E188" s="88"/>
      <c r="F188" s="89"/>
    </row>
    <row r="189" spans="1:6" x14ac:dyDescent="0.25">
      <c r="A189" s="86"/>
      <c r="B189" s="87"/>
      <c r="C189" s="86"/>
      <c r="D189" s="88"/>
      <c r="E189" s="88"/>
      <c r="F189" s="89"/>
    </row>
    <row r="190" spans="1:6" x14ac:dyDescent="0.25">
      <c r="A190" s="86"/>
      <c r="B190" s="87"/>
      <c r="C190" s="86"/>
      <c r="D190" s="88"/>
      <c r="E190" s="88"/>
      <c r="F190" s="89"/>
    </row>
    <row r="191" spans="1:6" x14ac:dyDescent="0.25">
      <c r="A191" s="86"/>
      <c r="B191" s="87"/>
      <c r="C191" s="86"/>
      <c r="D191" s="88"/>
      <c r="E191" s="88"/>
      <c r="F191" s="89"/>
    </row>
    <row r="192" spans="1:6" x14ac:dyDescent="0.25">
      <c r="A192" s="86"/>
      <c r="B192" s="87"/>
      <c r="C192" s="86"/>
      <c r="D192" s="88"/>
      <c r="E192" s="88"/>
      <c r="F192" s="89"/>
    </row>
    <row r="193" spans="1:6" x14ac:dyDescent="0.25">
      <c r="A193" s="86"/>
      <c r="B193" s="87"/>
      <c r="C193" s="86"/>
      <c r="D193" s="88"/>
      <c r="E193" s="88"/>
      <c r="F193" s="89"/>
    </row>
    <row r="194" spans="1:6" x14ac:dyDescent="0.25">
      <c r="A194" s="86"/>
      <c r="B194" s="87"/>
      <c r="C194" s="86"/>
      <c r="D194" s="88"/>
      <c r="E194" s="88"/>
      <c r="F194" s="89"/>
    </row>
    <row r="195" spans="1:6" x14ac:dyDescent="0.25">
      <c r="A195" s="86"/>
      <c r="B195" s="87"/>
      <c r="C195" s="86"/>
      <c r="D195" s="88"/>
      <c r="E195" s="88"/>
      <c r="F195" s="89"/>
    </row>
    <row r="196" spans="1:6" x14ac:dyDescent="0.25">
      <c r="A196" s="86"/>
      <c r="B196" s="87"/>
      <c r="C196" s="86"/>
      <c r="D196" s="88"/>
      <c r="E196" s="88"/>
      <c r="F196" s="89"/>
    </row>
    <row r="197" spans="1:6" x14ac:dyDescent="0.25">
      <c r="A197" s="86"/>
      <c r="B197" s="87"/>
      <c r="C197" s="86"/>
      <c r="D197" s="88"/>
      <c r="E197" s="88"/>
      <c r="F197" s="89"/>
    </row>
    <row r="198" spans="1:6" x14ac:dyDescent="0.25">
      <c r="A198" s="86"/>
      <c r="B198" s="87"/>
      <c r="C198" s="86"/>
      <c r="D198" s="88"/>
      <c r="E198" s="88"/>
      <c r="F198" s="89"/>
    </row>
    <row r="199" spans="1:6" x14ac:dyDescent="0.25">
      <c r="A199" s="86"/>
      <c r="B199" s="87"/>
      <c r="C199" s="86"/>
      <c r="D199" s="88"/>
      <c r="E199" s="88"/>
      <c r="F199" s="89"/>
    </row>
    <row r="200" spans="1:6" x14ac:dyDescent="0.25">
      <c r="A200" s="86"/>
      <c r="B200" s="87"/>
      <c r="C200" s="86"/>
      <c r="D200" s="88"/>
      <c r="E200" s="88"/>
      <c r="F200" s="89"/>
    </row>
    <row r="201" spans="1:6" x14ac:dyDescent="0.25">
      <c r="A201" s="86"/>
      <c r="B201" s="87"/>
      <c r="C201" s="86"/>
      <c r="D201" s="88"/>
      <c r="E201" s="88"/>
      <c r="F201" s="89"/>
    </row>
    <row r="202" spans="1:6" x14ac:dyDescent="0.25">
      <c r="A202" s="86"/>
      <c r="B202" s="87"/>
      <c r="C202" s="86"/>
      <c r="D202" s="88"/>
      <c r="E202" s="88"/>
      <c r="F202" s="89"/>
    </row>
    <row r="203" spans="1:6" x14ac:dyDescent="0.25">
      <c r="A203" s="86"/>
      <c r="B203" s="87"/>
      <c r="C203" s="86"/>
      <c r="D203" s="88"/>
      <c r="E203" s="88"/>
      <c r="F203" s="89"/>
    </row>
    <row r="204" spans="1:6" x14ac:dyDescent="0.25">
      <c r="A204" s="86"/>
      <c r="B204" s="87"/>
      <c r="C204" s="86"/>
      <c r="D204" s="88"/>
      <c r="E204" s="88"/>
      <c r="F204" s="89"/>
    </row>
    <row r="205" spans="1:6" x14ac:dyDescent="0.25">
      <c r="A205" s="86"/>
      <c r="B205" s="87"/>
      <c r="C205" s="86"/>
      <c r="D205" s="88"/>
      <c r="E205" s="88"/>
      <c r="F205" s="89"/>
    </row>
    <row r="206" spans="1:6" x14ac:dyDescent="0.25">
      <c r="A206" s="86"/>
      <c r="B206" s="87"/>
      <c r="C206" s="86"/>
      <c r="D206" s="88"/>
      <c r="E206" s="88"/>
      <c r="F206" s="89"/>
    </row>
    <row r="207" spans="1:6" x14ac:dyDescent="0.25">
      <c r="A207" s="86"/>
      <c r="B207" s="87"/>
      <c r="C207" s="86"/>
      <c r="D207" s="88"/>
      <c r="E207" s="88"/>
      <c r="F207" s="89"/>
    </row>
    <row r="208" spans="1:6" x14ac:dyDescent="0.25">
      <c r="A208" s="86"/>
      <c r="B208" s="87"/>
      <c r="C208" s="86"/>
      <c r="D208" s="88"/>
      <c r="E208" s="88"/>
      <c r="F208" s="89"/>
    </row>
    <row r="209" spans="1:6" x14ac:dyDescent="0.25">
      <c r="A209" s="86"/>
      <c r="B209" s="87"/>
      <c r="C209" s="86"/>
      <c r="D209" s="88"/>
      <c r="E209" s="88"/>
      <c r="F209" s="89"/>
    </row>
    <row r="210" spans="1:6" x14ac:dyDescent="0.25">
      <c r="A210" s="86"/>
      <c r="B210" s="87"/>
      <c r="C210" s="86"/>
      <c r="D210" s="88"/>
      <c r="E210" s="88"/>
      <c r="F210" s="89"/>
    </row>
    <row r="211" spans="1:6" x14ac:dyDescent="0.25">
      <c r="A211" s="86"/>
      <c r="B211" s="87"/>
      <c r="C211" s="86"/>
      <c r="D211" s="88"/>
      <c r="E211" s="88"/>
      <c r="F211" s="89"/>
    </row>
    <row r="212" spans="1:6" x14ac:dyDescent="0.25">
      <c r="A212" s="86"/>
      <c r="B212" s="87"/>
      <c r="C212" s="86"/>
      <c r="D212" s="88"/>
      <c r="E212" s="88"/>
      <c r="F212" s="89"/>
    </row>
    <row r="213" spans="1:6" x14ac:dyDescent="0.25">
      <c r="A213" s="86"/>
      <c r="B213" s="87"/>
      <c r="C213" s="86"/>
      <c r="D213" s="88"/>
      <c r="E213" s="88"/>
      <c r="F213" s="89"/>
    </row>
    <row r="214" spans="1:6" x14ac:dyDescent="0.25">
      <c r="A214" s="86"/>
      <c r="B214" s="87"/>
      <c r="C214" s="86"/>
      <c r="D214" s="88"/>
      <c r="E214" s="88"/>
      <c r="F214" s="89"/>
    </row>
    <row r="215" spans="1:6" x14ac:dyDescent="0.25">
      <c r="A215" s="86"/>
      <c r="B215" s="87"/>
      <c r="C215" s="86"/>
      <c r="D215" s="88"/>
      <c r="E215" s="88"/>
      <c r="F215" s="89"/>
    </row>
    <row r="216" spans="1:6" x14ac:dyDescent="0.25">
      <c r="A216" s="86"/>
      <c r="B216" s="87"/>
      <c r="C216" s="86"/>
      <c r="D216" s="88"/>
      <c r="E216" s="88"/>
      <c r="F216" s="89"/>
    </row>
    <row r="217" spans="1:6" x14ac:dyDescent="0.25">
      <c r="A217" s="86"/>
      <c r="B217" s="87"/>
      <c r="C217" s="86"/>
      <c r="D217" s="88"/>
      <c r="E217" s="88"/>
      <c r="F217" s="89"/>
    </row>
    <row r="218" spans="1:6" x14ac:dyDescent="0.25">
      <c r="A218" s="86"/>
      <c r="B218" s="87"/>
      <c r="C218" s="86"/>
      <c r="D218" s="88"/>
      <c r="E218" s="88"/>
      <c r="F218" s="89"/>
    </row>
    <row r="219" spans="1:6" x14ac:dyDescent="0.25">
      <c r="A219" s="86"/>
      <c r="B219" s="87"/>
      <c r="C219" s="86"/>
      <c r="D219" s="88"/>
      <c r="E219" s="88"/>
      <c r="F219" s="89"/>
    </row>
    <row r="220" spans="1:6" x14ac:dyDescent="0.25">
      <c r="A220" s="86"/>
      <c r="B220" s="87"/>
      <c r="C220" s="86"/>
      <c r="D220" s="88"/>
      <c r="E220" s="88"/>
      <c r="F220" s="89"/>
    </row>
    <row r="221" spans="1:6" x14ac:dyDescent="0.25">
      <c r="A221" s="86"/>
      <c r="B221" s="87"/>
      <c r="C221" s="86"/>
      <c r="D221" s="88"/>
      <c r="E221" s="88"/>
      <c r="F221" s="89"/>
    </row>
    <row r="222" spans="1:6" x14ac:dyDescent="0.25">
      <c r="A222" s="86"/>
      <c r="B222" s="87"/>
      <c r="C222" s="86"/>
      <c r="D222" s="88"/>
      <c r="E222" s="88"/>
      <c r="F222" s="89"/>
    </row>
    <row r="223" spans="1:6" x14ac:dyDescent="0.25">
      <c r="A223" s="86"/>
      <c r="B223" s="87"/>
      <c r="C223" s="86"/>
      <c r="D223" s="88"/>
      <c r="E223" s="88"/>
      <c r="F223" s="89"/>
    </row>
    <row r="224" spans="1:6" x14ac:dyDescent="0.25">
      <c r="A224" s="86"/>
      <c r="B224" s="87"/>
      <c r="C224" s="86"/>
      <c r="D224" s="88"/>
      <c r="E224" s="88"/>
      <c r="F224" s="89"/>
    </row>
    <row r="225" spans="1:6" x14ac:dyDescent="0.25">
      <c r="A225" s="86"/>
      <c r="B225" s="87"/>
      <c r="C225" s="86"/>
      <c r="D225" s="88"/>
      <c r="E225" s="88"/>
      <c r="F225" s="89"/>
    </row>
    <row r="226" spans="1:6" x14ac:dyDescent="0.25">
      <c r="A226" s="86"/>
      <c r="B226" s="87"/>
      <c r="C226" s="86"/>
      <c r="D226" s="88"/>
      <c r="E226" s="88"/>
      <c r="F226" s="89"/>
    </row>
    <row r="227" spans="1:6" x14ac:dyDescent="0.25">
      <c r="A227" s="86"/>
      <c r="B227" s="87"/>
      <c r="C227" s="86"/>
      <c r="D227" s="88"/>
      <c r="E227" s="88"/>
      <c r="F227" s="89"/>
    </row>
    <row r="228" spans="1:6" x14ac:dyDescent="0.25">
      <c r="A228" s="86"/>
      <c r="B228" s="87"/>
      <c r="C228" s="86"/>
      <c r="D228" s="88"/>
      <c r="E228" s="88"/>
      <c r="F228" s="89"/>
    </row>
    <row r="229" spans="1:6" x14ac:dyDescent="0.25">
      <c r="A229" s="86"/>
      <c r="B229" s="87"/>
      <c r="C229" s="86"/>
      <c r="D229" s="88"/>
      <c r="E229" s="88"/>
      <c r="F229" s="89"/>
    </row>
    <row r="230" spans="1:6" x14ac:dyDescent="0.25">
      <c r="A230" s="86"/>
      <c r="B230" s="87"/>
      <c r="C230" s="86"/>
      <c r="D230" s="88"/>
      <c r="E230" s="88"/>
      <c r="F230" s="89"/>
    </row>
    <row r="231" spans="1:6" x14ac:dyDescent="0.25">
      <c r="A231" s="86"/>
      <c r="B231" s="87"/>
      <c r="C231" s="86"/>
      <c r="D231" s="88"/>
      <c r="E231" s="88"/>
      <c r="F231" s="89"/>
    </row>
    <row r="232" spans="1:6" x14ac:dyDescent="0.25">
      <c r="A232" s="86"/>
      <c r="B232" s="87"/>
      <c r="C232" s="86"/>
      <c r="D232" s="88"/>
      <c r="E232" s="88"/>
      <c r="F232" s="89"/>
    </row>
    <row r="233" spans="1:6" x14ac:dyDescent="0.25">
      <c r="A233" s="86"/>
      <c r="B233" s="87"/>
      <c r="C233" s="86"/>
      <c r="D233" s="88"/>
      <c r="E233" s="88"/>
      <c r="F233" s="89"/>
    </row>
    <row r="234" spans="1:6" x14ac:dyDescent="0.25">
      <c r="A234" s="86"/>
      <c r="B234" s="87"/>
      <c r="C234" s="86"/>
      <c r="D234" s="88"/>
      <c r="E234" s="88"/>
      <c r="F234" s="89"/>
    </row>
    <row r="235" spans="1:6" x14ac:dyDescent="0.25">
      <c r="A235" s="86"/>
      <c r="B235" s="87"/>
      <c r="C235" s="86"/>
      <c r="D235" s="88"/>
      <c r="E235" s="88"/>
      <c r="F235" s="89"/>
    </row>
    <row r="236" spans="1:6" x14ac:dyDescent="0.25">
      <c r="A236" s="86"/>
      <c r="B236" s="87"/>
      <c r="C236" s="86"/>
      <c r="D236" s="88"/>
      <c r="E236" s="88"/>
      <c r="F236" s="89"/>
    </row>
    <row r="237" spans="1:6" x14ac:dyDescent="0.25">
      <c r="A237" s="86"/>
      <c r="B237" s="87"/>
      <c r="C237" s="86"/>
      <c r="D237" s="88"/>
      <c r="E237" s="88"/>
      <c r="F237" s="89"/>
    </row>
    <row r="238" spans="1:6" x14ac:dyDescent="0.25">
      <c r="A238" s="86"/>
      <c r="B238" s="87"/>
      <c r="C238" s="86"/>
      <c r="D238" s="88"/>
      <c r="E238" s="88"/>
      <c r="F238" s="89"/>
    </row>
    <row r="239" spans="1:6" x14ac:dyDescent="0.25">
      <c r="A239" s="86"/>
      <c r="B239" s="87"/>
      <c r="C239" s="86"/>
      <c r="D239" s="88"/>
      <c r="E239" s="88"/>
      <c r="F239" s="89"/>
    </row>
    <row r="240" spans="1:6" x14ac:dyDescent="0.25">
      <c r="A240" s="86"/>
      <c r="B240" s="87"/>
      <c r="C240" s="86"/>
      <c r="D240" s="88"/>
      <c r="E240" s="88"/>
      <c r="F240" s="89"/>
    </row>
    <row r="241" spans="1:6" x14ac:dyDescent="0.25">
      <c r="A241" s="86"/>
      <c r="B241" s="87"/>
      <c r="C241" s="86"/>
      <c r="D241" s="88"/>
      <c r="E241" s="88"/>
      <c r="F241" s="89"/>
    </row>
    <row r="242" spans="1:6" x14ac:dyDescent="0.25">
      <c r="A242" s="86"/>
      <c r="B242" s="87"/>
      <c r="C242" s="86"/>
      <c r="D242" s="88"/>
      <c r="E242" s="88"/>
      <c r="F242" s="89"/>
    </row>
    <row r="243" spans="1:6" x14ac:dyDescent="0.25">
      <c r="A243" s="86"/>
      <c r="B243" s="87"/>
      <c r="C243" s="86"/>
      <c r="D243" s="88"/>
      <c r="E243" s="88"/>
      <c r="F243" s="89"/>
    </row>
    <row r="244" spans="1:6" x14ac:dyDescent="0.25">
      <c r="A244" s="86"/>
      <c r="B244" s="87"/>
      <c r="C244" s="86"/>
      <c r="D244" s="88"/>
      <c r="E244" s="88"/>
      <c r="F244" s="89"/>
    </row>
    <row r="245" spans="1:6" x14ac:dyDescent="0.25">
      <c r="A245" s="86"/>
      <c r="B245" s="87"/>
      <c r="C245" s="86"/>
      <c r="D245" s="88"/>
      <c r="E245" s="88"/>
      <c r="F245" s="89"/>
    </row>
    <row r="246" spans="1:6" x14ac:dyDescent="0.25">
      <c r="A246" s="86"/>
      <c r="B246" s="87"/>
      <c r="C246" s="86"/>
      <c r="D246" s="88"/>
      <c r="E246" s="88"/>
      <c r="F246" s="89"/>
    </row>
    <row r="247" spans="1:6" x14ac:dyDescent="0.25">
      <c r="A247" s="86"/>
      <c r="B247" s="87"/>
      <c r="C247" s="86"/>
      <c r="D247" s="88"/>
      <c r="E247" s="88"/>
      <c r="F247" s="89"/>
    </row>
    <row r="248" spans="1:6" x14ac:dyDescent="0.25">
      <c r="A248" s="86"/>
      <c r="B248" s="87"/>
      <c r="C248" s="86"/>
      <c r="D248" s="88"/>
      <c r="E248" s="88"/>
      <c r="F248" s="89"/>
    </row>
    <row r="249" spans="1:6" x14ac:dyDescent="0.25">
      <c r="A249" s="86"/>
      <c r="B249" s="87"/>
      <c r="C249" s="86"/>
      <c r="D249" s="88"/>
      <c r="E249" s="88"/>
      <c r="F249" s="89"/>
    </row>
    <row r="250" spans="1:6" x14ac:dyDescent="0.25">
      <c r="A250" s="86"/>
      <c r="B250" s="87"/>
      <c r="C250" s="86"/>
      <c r="D250" s="88"/>
      <c r="E250" s="88"/>
      <c r="F250" s="89"/>
    </row>
    <row r="251" spans="1:6" x14ac:dyDescent="0.25">
      <c r="A251" s="86"/>
      <c r="B251" s="87"/>
      <c r="C251" s="86"/>
      <c r="D251" s="88"/>
      <c r="E251" s="88"/>
      <c r="F251" s="89"/>
    </row>
    <row r="252" spans="1:6" x14ac:dyDescent="0.25">
      <c r="A252" s="86"/>
      <c r="B252" s="87"/>
      <c r="C252" s="86"/>
      <c r="D252" s="88"/>
      <c r="E252" s="88"/>
      <c r="F252" s="89"/>
    </row>
    <row r="253" spans="1:6" x14ac:dyDescent="0.25">
      <c r="A253" s="86"/>
      <c r="B253" s="87"/>
      <c r="C253" s="86"/>
      <c r="D253" s="88"/>
      <c r="E253" s="88"/>
      <c r="F253" s="89"/>
    </row>
    <row r="254" spans="1:6" x14ac:dyDescent="0.25">
      <c r="A254" s="86"/>
      <c r="B254" s="87"/>
      <c r="C254" s="86"/>
      <c r="D254" s="88"/>
      <c r="E254" s="88"/>
      <c r="F254" s="89"/>
    </row>
    <row r="255" spans="1:6" x14ac:dyDescent="0.25">
      <c r="A255" s="86"/>
      <c r="B255" s="87"/>
      <c r="C255" s="86"/>
      <c r="D255" s="88"/>
      <c r="E255" s="88"/>
      <c r="F255" s="89"/>
    </row>
    <row r="256" spans="1:6" x14ac:dyDescent="0.25">
      <c r="A256" s="86"/>
      <c r="B256" s="87"/>
      <c r="C256" s="86"/>
      <c r="D256" s="88"/>
      <c r="E256" s="88"/>
      <c r="F256" s="89"/>
    </row>
    <row r="257" spans="1:6" x14ac:dyDescent="0.25">
      <c r="A257" s="86"/>
      <c r="B257" s="87"/>
      <c r="C257" s="86"/>
      <c r="D257" s="88"/>
      <c r="E257" s="88"/>
      <c r="F257" s="89"/>
    </row>
    <row r="258" spans="1:6" x14ac:dyDescent="0.25">
      <c r="A258" s="86"/>
      <c r="B258" s="87"/>
      <c r="C258" s="86"/>
      <c r="D258" s="88"/>
      <c r="E258" s="88"/>
      <c r="F258" s="89"/>
    </row>
    <row r="259" spans="1:6" x14ac:dyDescent="0.25">
      <c r="A259" s="86"/>
      <c r="B259" s="87"/>
      <c r="C259" s="86"/>
      <c r="D259" s="88"/>
      <c r="E259" s="88"/>
      <c r="F259" s="89"/>
    </row>
    <row r="260" spans="1:6" x14ac:dyDescent="0.25">
      <c r="A260" s="86"/>
      <c r="B260" s="87"/>
      <c r="C260" s="86"/>
      <c r="D260" s="88"/>
      <c r="E260" s="88"/>
      <c r="F260" s="89"/>
    </row>
    <row r="261" spans="1:6" x14ac:dyDescent="0.25">
      <c r="A261" s="86"/>
      <c r="B261" s="87"/>
      <c r="C261" s="86"/>
      <c r="D261" s="88"/>
      <c r="E261" s="88"/>
      <c r="F261" s="89"/>
    </row>
    <row r="262" spans="1:6" x14ac:dyDescent="0.25">
      <c r="A262" s="86"/>
      <c r="B262" s="87"/>
      <c r="C262" s="86"/>
      <c r="D262" s="88"/>
      <c r="E262" s="88"/>
      <c r="F262" s="89"/>
    </row>
    <row r="263" spans="1:6" x14ac:dyDescent="0.25">
      <c r="A263" s="86"/>
      <c r="B263" s="87"/>
      <c r="C263" s="86"/>
      <c r="D263" s="88"/>
      <c r="E263" s="88"/>
      <c r="F263" s="89"/>
    </row>
    <row r="264" spans="1:6" x14ac:dyDescent="0.25">
      <c r="A264" s="86"/>
      <c r="B264" s="87"/>
      <c r="C264" s="86"/>
      <c r="D264" s="88"/>
      <c r="E264" s="88"/>
      <c r="F264" s="89"/>
    </row>
    <row r="265" spans="1:6" x14ac:dyDescent="0.25">
      <c r="A265" s="86"/>
      <c r="B265" s="87"/>
      <c r="C265" s="86"/>
      <c r="D265" s="88"/>
      <c r="E265" s="88"/>
      <c r="F265" s="89"/>
    </row>
    <row r="266" spans="1:6" x14ac:dyDescent="0.25">
      <c r="A266" s="86"/>
      <c r="B266" s="87"/>
      <c r="C266" s="86"/>
      <c r="D266" s="88"/>
      <c r="E266" s="88"/>
      <c r="F266" s="89"/>
    </row>
    <row r="267" spans="1:6" x14ac:dyDescent="0.25">
      <c r="A267" s="86"/>
      <c r="B267" s="87"/>
      <c r="C267" s="86"/>
      <c r="D267" s="88"/>
      <c r="E267" s="88"/>
      <c r="F267" s="89"/>
    </row>
    <row r="268" spans="1:6" x14ac:dyDescent="0.25">
      <c r="A268" s="86"/>
      <c r="B268" s="87"/>
      <c r="C268" s="86"/>
      <c r="D268" s="88"/>
      <c r="E268" s="88"/>
      <c r="F268" s="89"/>
    </row>
    <row r="269" spans="1:6" x14ac:dyDescent="0.25">
      <c r="A269" s="86"/>
      <c r="B269" s="87"/>
      <c r="C269" s="86"/>
      <c r="D269" s="88"/>
      <c r="E269" s="88"/>
      <c r="F269" s="89"/>
    </row>
    <row r="270" spans="1:6" x14ac:dyDescent="0.25">
      <c r="A270" s="86"/>
      <c r="B270" s="87"/>
      <c r="C270" s="86"/>
      <c r="D270" s="88"/>
      <c r="E270" s="88"/>
      <c r="F270" s="89"/>
    </row>
    <row r="271" spans="1:6" x14ac:dyDescent="0.25">
      <c r="A271" s="86"/>
      <c r="B271" s="87"/>
      <c r="C271" s="86"/>
      <c r="D271" s="88"/>
      <c r="E271" s="88"/>
      <c r="F271" s="89"/>
    </row>
    <row r="272" spans="1:6" x14ac:dyDescent="0.25">
      <c r="A272" s="86"/>
      <c r="B272" s="87"/>
      <c r="C272" s="86"/>
      <c r="D272" s="88"/>
      <c r="E272" s="88"/>
      <c r="F272" s="89"/>
    </row>
    <row r="273" spans="1:6" x14ac:dyDescent="0.25">
      <c r="A273" s="86"/>
      <c r="B273" s="87"/>
      <c r="C273" s="86"/>
      <c r="D273" s="88"/>
      <c r="E273" s="88"/>
      <c r="F273" s="89"/>
    </row>
    <row r="274" spans="1:6" x14ac:dyDescent="0.25">
      <c r="A274" s="86"/>
      <c r="B274" s="87"/>
      <c r="C274" s="86"/>
      <c r="D274" s="88"/>
      <c r="E274" s="88"/>
      <c r="F274" s="89"/>
    </row>
    <row r="275" spans="1:6" x14ac:dyDescent="0.25">
      <c r="A275" s="86"/>
      <c r="B275" s="87"/>
      <c r="C275" s="86"/>
      <c r="D275" s="88"/>
      <c r="E275" s="88"/>
      <c r="F275" s="89"/>
    </row>
    <row r="276" spans="1:6" x14ac:dyDescent="0.25">
      <c r="A276" s="86"/>
      <c r="B276" s="87"/>
      <c r="C276" s="86"/>
      <c r="D276" s="88"/>
      <c r="E276" s="88"/>
      <c r="F276" s="89"/>
    </row>
    <row r="277" spans="1:6" x14ac:dyDescent="0.25">
      <c r="A277" s="86"/>
      <c r="B277" s="87"/>
      <c r="C277" s="86"/>
      <c r="D277" s="88"/>
      <c r="E277" s="88"/>
      <c r="F277" s="89"/>
    </row>
    <row r="278" spans="1:6" x14ac:dyDescent="0.25">
      <c r="A278" s="86"/>
      <c r="B278" s="87"/>
      <c r="C278" s="86"/>
      <c r="D278" s="88"/>
      <c r="E278" s="88"/>
      <c r="F278" s="89"/>
    </row>
    <row r="279" spans="1:6" x14ac:dyDescent="0.25">
      <c r="A279" s="86"/>
      <c r="B279" s="87"/>
      <c r="C279" s="86"/>
      <c r="D279" s="88"/>
      <c r="E279" s="88"/>
      <c r="F279" s="89"/>
    </row>
    <row r="280" spans="1:6" x14ac:dyDescent="0.25">
      <c r="A280" s="86"/>
      <c r="B280" s="87"/>
      <c r="C280" s="86"/>
      <c r="D280" s="88"/>
      <c r="E280" s="88"/>
      <c r="F280" s="89"/>
    </row>
    <row r="281" spans="1:6" x14ac:dyDescent="0.25">
      <c r="A281" s="86"/>
      <c r="B281" s="87"/>
      <c r="C281" s="86"/>
      <c r="D281" s="88"/>
      <c r="E281" s="88"/>
      <c r="F281" s="89"/>
    </row>
    <row r="282" spans="1:6" x14ac:dyDescent="0.25">
      <c r="A282" s="86"/>
      <c r="B282" s="87"/>
      <c r="C282" s="86"/>
      <c r="D282" s="88"/>
      <c r="E282" s="88"/>
      <c r="F282" s="89"/>
    </row>
    <row r="283" spans="1:6" x14ac:dyDescent="0.25">
      <c r="A283" s="86"/>
      <c r="B283" s="87"/>
      <c r="C283" s="86"/>
      <c r="D283" s="88"/>
      <c r="E283" s="88"/>
      <c r="F283" s="89"/>
    </row>
    <row r="284" spans="1:6" x14ac:dyDescent="0.25">
      <c r="A284" s="86"/>
      <c r="B284" s="87"/>
      <c r="C284" s="86"/>
      <c r="D284" s="88"/>
      <c r="E284" s="88"/>
      <c r="F284" s="89"/>
    </row>
    <row r="285" spans="1:6" x14ac:dyDescent="0.25">
      <c r="A285" s="86"/>
      <c r="B285" s="87"/>
      <c r="C285" s="86"/>
      <c r="D285" s="88"/>
      <c r="E285" s="88"/>
      <c r="F285" s="89"/>
    </row>
    <row r="286" spans="1:6" x14ac:dyDescent="0.25">
      <c r="A286" s="86"/>
      <c r="B286" s="87"/>
      <c r="C286" s="86"/>
      <c r="D286" s="88"/>
      <c r="E286" s="88"/>
      <c r="F286" s="89"/>
    </row>
    <row r="287" spans="1:6" x14ac:dyDescent="0.25">
      <c r="A287" s="86"/>
      <c r="B287" s="87"/>
      <c r="C287" s="86"/>
      <c r="D287" s="88"/>
      <c r="E287" s="88"/>
      <c r="F287" s="89"/>
    </row>
    <row r="288" spans="1:6" x14ac:dyDescent="0.25">
      <c r="A288" s="86"/>
      <c r="B288" s="87"/>
      <c r="C288" s="86"/>
      <c r="D288" s="88"/>
      <c r="E288" s="88"/>
      <c r="F288" s="89"/>
    </row>
    <row r="289" spans="1:6" x14ac:dyDescent="0.25">
      <c r="A289" s="86"/>
      <c r="B289" s="87"/>
      <c r="C289" s="86"/>
      <c r="D289" s="88"/>
      <c r="E289" s="88"/>
      <c r="F289" s="89"/>
    </row>
    <row r="290" spans="1:6" x14ac:dyDescent="0.25">
      <c r="A290" s="86"/>
      <c r="B290" s="87"/>
      <c r="C290" s="86"/>
      <c r="D290" s="88"/>
      <c r="E290" s="88"/>
      <c r="F290" s="89"/>
    </row>
    <row r="291" spans="1:6" x14ac:dyDescent="0.25">
      <c r="A291" s="86"/>
      <c r="B291" s="87"/>
      <c r="C291" s="86"/>
      <c r="D291" s="88"/>
      <c r="E291" s="88"/>
      <c r="F291" s="89"/>
    </row>
    <row r="292" spans="1:6" x14ac:dyDescent="0.25">
      <c r="A292" s="86"/>
      <c r="B292" s="87"/>
      <c r="C292" s="86"/>
      <c r="D292" s="88"/>
      <c r="E292" s="88"/>
      <c r="F292" s="89"/>
    </row>
    <row r="293" spans="1:6" x14ac:dyDescent="0.25">
      <c r="A293" s="86"/>
      <c r="B293" s="87"/>
      <c r="C293" s="86"/>
      <c r="D293" s="88"/>
      <c r="E293" s="88"/>
      <c r="F293" s="89"/>
    </row>
    <row r="294" spans="1:6" x14ac:dyDescent="0.25">
      <c r="A294" s="86"/>
      <c r="B294" s="87"/>
      <c r="C294" s="86"/>
      <c r="D294" s="88"/>
      <c r="E294" s="88"/>
      <c r="F294" s="89"/>
    </row>
    <row r="295" spans="1:6" x14ac:dyDescent="0.25">
      <c r="A295" s="86"/>
      <c r="B295" s="87"/>
      <c r="C295" s="86"/>
      <c r="D295" s="88"/>
      <c r="E295" s="88"/>
      <c r="F295" s="89"/>
    </row>
    <row r="296" spans="1:6" x14ac:dyDescent="0.25">
      <c r="A296" s="86"/>
      <c r="B296" s="87"/>
      <c r="C296" s="86"/>
      <c r="D296" s="88"/>
      <c r="E296" s="88"/>
      <c r="F296" s="89"/>
    </row>
    <row r="297" spans="1:6" x14ac:dyDescent="0.25">
      <c r="A297" s="86"/>
      <c r="B297" s="87"/>
      <c r="C297" s="86"/>
      <c r="D297" s="88"/>
      <c r="E297" s="88"/>
      <c r="F297" s="89"/>
    </row>
    <row r="298" spans="1:6" x14ac:dyDescent="0.25">
      <c r="A298" s="86"/>
      <c r="B298" s="87"/>
      <c r="C298" s="86"/>
      <c r="D298" s="88"/>
      <c r="E298" s="88"/>
      <c r="F298" s="89"/>
    </row>
    <row r="299" spans="1:6" x14ac:dyDescent="0.25">
      <c r="A299" s="86"/>
      <c r="B299" s="87"/>
      <c r="C299" s="86"/>
      <c r="D299" s="88"/>
      <c r="E299" s="88"/>
      <c r="F299" s="89"/>
    </row>
    <row r="300" spans="1:6" x14ac:dyDescent="0.25">
      <c r="A300" s="86"/>
      <c r="B300" s="87"/>
      <c r="C300" s="86"/>
      <c r="D300" s="88"/>
      <c r="E300" s="88"/>
      <c r="F300" s="89"/>
    </row>
    <row r="301" spans="1:6" x14ac:dyDescent="0.25">
      <c r="A301" s="86"/>
      <c r="B301" s="87"/>
      <c r="C301" s="86"/>
      <c r="D301" s="88"/>
      <c r="E301" s="88"/>
      <c r="F301" s="89"/>
    </row>
    <row r="302" spans="1:6" x14ac:dyDescent="0.25">
      <c r="A302" s="86"/>
      <c r="B302" s="87"/>
      <c r="C302" s="86"/>
      <c r="D302" s="88"/>
      <c r="E302" s="88"/>
      <c r="F302" s="89"/>
    </row>
    <row r="303" spans="1:6" x14ac:dyDescent="0.25">
      <c r="A303" s="86"/>
      <c r="B303" s="87"/>
      <c r="C303" s="86"/>
      <c r="D303" s="88"/>
      <c r="E303" s="88"/>
      <c r="F303" s="89"/>
    </row>
    <row r="304" spans="1:6" x14ac:dyDescent="0.25">
      <c r="A304" s="86"/>
      <c r="B304" s="87"/>
      <c r="C304" s="86"/>
      <c r="D304" s="88"/>
      <c r="E304" s="88"/>
      <c r="F304" s="89"/>
    </row>
    <row r="305" spans="1:6" x14ac:dyDescent="0.25">
      <c r="A305" s="86"/>
      <c r="B305" s="87"/>
      <c r="C305" s="86"/>
      <c r="D305" s="88"/>
      <c r="E305" s="88"/>
      <c r="F305" s="89"/>
    </row>
    <row r="306" spans="1:6" x14ac:dyDescent="0.25">
      <c r="A306" s="86"/>
      <c r="B306" s="87"/>
      <c r="C306" s="86"/>
      <c r="D306" s="88"/>
      <c r="E306" s="88"/>
      <c r="F306" s="89"/>
    </row>
    <row r="307" spans="1:6" x14ac:dyDescent="0.25">
      <c r="A307" s="86"/>
      <c r="B307" s="87"/>
      <c r="C307" s="86"/>
      <c r="D307" s="88"/>
      <c r="E307" s="88"/>
      <c r="F307" s="89"/>
    </row>
    <row r="308" spans="1:6" x14ac:dyDescent="0.25">
      <c r="A308" s="86"/>
      <c r="B308" s="87"/>
      <c r="C308" s="86"/>
      <c r="D308" s="88"/>
      <c r="E308" s="88"/>
      <c r="F308" s="89"/>
    </row>
    <row r="309" spans="1:6" x14ac:dyDescent="0.25">
      <c r="A309" s="86"/>
      <c r="B309" s="87"/>
      <c r="C309" s="86"/>
      <c r="D309" s="88"/>
      <c r="E309" s="88"/>
      <c r="F309" s="89"/>
    </row>
    <row r="310" spans="1:6" x14ac:dyDescent="0.25">
      <c r="A310" s="86"/>
      <c r="B310" s="87"/>
      <c r="C310" s="86"/>
      <c r="D310" s="88"/>
      <c r="E310" s="88"/>
      <c r="F310" s="89"/>
    </row>
    <row r="311" spans="1:6" x14ac:dyDescent="0.25">
      <c r="A311" s="86"/>
      <c r="B311" s="87"/>
      <c r="C311" s="86"/>
      <c r="D311" s="88"/>
      <c r="E311" s="88"/>
      <c r="F311" s="89"/>
    </row>
    <row r="312" spans="1:6" x14ac:dyDescent="0.25">
      <c r="A312" s="86"/>
      <c r="B312" s="87"/>
      <c r="C312" s="86"/>
      <c r="D312" s="88"/>
      <c r="E312" s="88"/>
      <c r="F312" s="89"/>
    </row>
    <row r="313" spans="1:6" x14ac:dyDescent="0.25">
      <c r="A313" s="86"/>
      <c r="B313" s="87"/>
      <c r="C313" s="86"/>
      <c r="D313" s="88"/>
      <c r="E313" s="88"/>
      <c r="F313" s="89"/>
    </row>
    <row r="314" spans="1:6" x14ac:dyDescent="0.25">
      <c r="A314" s="86"/>
      <c r="B314" s="87"/>
      <c r="C314" s="86"/>
      <c r="D314" s="88"/>
      <c r="E314" s="88"/>
      <c r="F314" s="89"/>
    </row>
    <row r="315" spans="1:6" x14ac:dyDescent="0.25">
      <c r="A315" s="86"/>
      <c r="B315" s="87"/>
      <c r="C315" s="86"/>
      <c r="D315" s="88"/>
      <c r="E315" s="88"/>
      <c r="F315" s="89"/>
    </row>
    <row r="316" spans="1:6" x14ac:dyDescent="0.25">
      <c r="A316" s="86"/>
      <c r="B316" s="87"/>
      <c r="C316" s="86"/>
      <c r="D316" s="88"/>
      <c r="E316" s="88"/>
      <c r="F316" s="89"/>
    </row>
    <row r="317" spans="1:6" x14ac:dyDescent="0.25">
      <c r="A317" s="86"/>
      <c r="B317" s="87"/>
      <c r="C317" s="86"/>
      <c r="D317" s="88"/>
      <c r="E317" s="88"/>
      <c r="F317" s="89"/>
    </row>
    <row r="318" spans="1:6" x14ac:dyDescent="0.25">
      <c r="A318" s="86"/>
      <c r="B318" s="87"/>
      <c r="C318" s="86"/>
      <c r="D318" s="88"/>
      <c r="E318" s="88"/>
      <c r="F318" s="89"/>
    </row>
    <row r="319" spans="1:6" x14ac:dyDescent="0.25">
      <c r="A319" s="86"/>
      <c r="B319" s="87"/>
      <c r="C319" s="86"/>
      <c r="D319" s="88"/>
      <c r="E319" s="88"/>
      <c r="F319" s="89"/>
    </row>
    <row r="320" spans="1:6" x14ac:dyDescent="0.25">
      <c r="A320" s="86"/>
      <c r="B320" s="87"/>
      <c r="C320" s="86"/>
      <c r="D320" s="88"/>
      <c r="E320" s="88"/>
      <c r="F320" s="89"/>
    </row>
    <row r="321" spans="1:6" x14ac:dyDescent="0.25">
      <c r="A321" s="86"/>
      <c r="B321" s="87"/>
      <c r="C321" s="86"/>
      <c r="D321" s="88"/>
      <c r="E321" s="88"/>
      <c r="F321" s="89"/>
    </row>
    <row r="322" spans="1:6" x14ac:dyDescent="0.25">
      <c r="A322" s="86"/>
      <c r="B322" s="87"/>
      <c r="C322" s="86"/>
      <c r="D322" s="88"/>
      <c r="E322" s="88"/>
      <c r="F322" s="89"/>
    </row>
    <row r="323" spans="1:6" x14ac:dyDescent="0.25">
      <c r="A323" s="86"/>
      <c r="B323" s="87"/>
      <c r="C323" s="86"/>
      <c r="D323" s="88"/>
      <c r="E323" s="88"/>
      <c r="F323" s="89"/>
    </row>
    <row r="324" spans="1:6" x14ac:dyDescent="0.25">
      <c r="A324" s="86"/>
      <c r="B324" s="87"/>
      <c r="C324" s="86"/>
      <c r="D324" s="88"/>
      <c r="E324" s="88"/>
      <c r="F324" s="89"/>
    </row>
    <row r="325" spans="1:6" x14ac:dyDescent="0.25">
      <c r="A325" s="86"/>
      <c r="B325" s="87"/>
      <c r="C325" s="86"/>
      <c r="D325" s="88"/>
      <c r="E325" s="88"/>
      <c r="F325" s="89"/>
    </row>
    <row r="326" spans="1:6" x14ac:dyDescent="0.25">
      <c r="A326" s="86"/>
      <c r="B326" s="87"/>
      <c r="C326" s="86"/>
      <c r="D326" s="88"/>
      <c r="E326" s="88"/>
      <c r="F326" s="89"/>
    </row>
    <row r="327" spans="1:6" x14ac:dyDescent="0.25">
      <c r="A327" s="86"/>
      <c r="B327" s="87"/>
      <c r="C327" s="86"/>
      <c r="D327" s="88"/>
      <c r="E327" s="88"/>
      <c r="F327" s="89"/>
    </row>
    <row r="328" spans="1:6" x14ac:dyDescent="0.25">
      <c r="A328" s="86"/>
      <c r="B328" s="87"/>
      <c r="C328" s="86"/>
      <c r="D328" s="88"/>
      <c r="E328" s="88"/>
      <c r="F328" s="89"/>
    </row>
    <row r="329" spans="1:6" x14ac:dyDescent="0.25">
      <c r="A329" s="86"/>
      <c r="B329" s="87"/>
      <c r="C329" s="86"/>
      <c r="D329" s="88"/>
      <c r="E329" s="88"/>
      <c r="F329" s="89"/>
    </row>
    <row r="330" spans="1:6" x14ac:dyDescent="0.25">
      <c r="A330" s="86"/>
      <c r="B330" s="87"/>
      <c r="C330" s="86"/>
      <c r="D330" s="88"/>
      <c r="E330" s="88"/>
      <c r="F330" s="89"/>
    </row>
    <row r="331" spans="1:6" x14ac:dyDescent="0.25">
      <c r="A331" s="86"/>
      <c r="B331" s="87"/>
      <c r="C331" s="86"/>
      <c r="D331" s="88"/>
      <c r="E331" s="88"/>
      <c r="F331" s="89"/>
    </row>
    <row r="332" spans="1:6" x14ac:dyDescent="0.25">
      <c r="A332" s="86"/>
      <c r="B332" s="87"/>
      <c r="C332" s="86"/>
      <c r="D332" s="88"/>
      <c r="E332" s="88"/>
      <c r="F332" s="89"/>
    </row>
    <row r="333" spans="1:6" x14ac:dyDescent="0.25">
      <c r="A333" s="86"/>
      <c r="B333" s="87"/>
      <c r="C333" s="86"/>
      <c r="D333" s="88"/>
      <c r="E333" s="88"/>
      <c r="F333" s="89"/>
    </row>
    <row r="334" spans="1:6" x14ac:dyDescent="0.25">
      <c r="A334" s="86"/>
      <c r="B334" s="87"/>
      <c r="C334" s="86"/>
      <c r="D334" s="88"/>
      <c r="E334" s="88"/>
      <c r="F334" s="89"/>
    </row>
    <row r="335" spans="1:6" x14ac:dyDescent="0.25">
      <c r="A335" s="86"/>
      <c r="B335" s="87"/>
      <c r="C335" s="86"/>
      <c r="D335" s="88"/>
      <c r="E335" s="88"/>
      <c r="F335" s="89"/>
    </row>
    <row r="336" spans="1:6" x14ac:dyDescent="0.25">
      <c r="A336" s="86"/>
      <c r="B336" s="87"/>
      <c r="C336" s="86"/>
      <c r="D336" s="88"/>
      <c r="E336" s="88"/>
      <c r="F336" s="89"/>
    </row>
    <row r="337" spans="1:6" x14ac:dyDescent="0.25">
      <c r="A337" s="86"/>
      <c r="B337" s="87"/>
      <c r="C337" s="86"/>
      <c r="D337" s="88"/>
      <c r="E337" s="88"/>
      <c r="F337" s="89"/>
    </row>
    <row r="338" spans="1:6" x14ac:dyDescent="0.25">
      <c r="A338" s="86"/>
      <c r="B338" s="87"/>
      <c r="C338" s="86"/>
      <c r="D338" s="88"/>
      <c r="E338" s="88"/>
      <c r="F338" s="89"/>
    </row>
    <row r="339" spans="1:6" x14ac:dyDescent="0.25">
      <c r="A339" s="86"/>
      <c r="B339" s="87"/>
      <c r="C339" s="86"/>
      <c r="D339" s="88"/>
      <c r="E339" s="88"/>
      <c r="F339" s="89"/>
    </row>
    <row r="340" spans="1:6" x14ac:dyDescent="0.25">
      <c r="A340" s="86"/>
      <c r="B340" s="87"/>
      <c r="C340" s="86"/>
      <c r="D340" s="88"/>
      <c r="E340" s="88"/>
      <c r="F340" s="89"/>
    </row>
    <row r="341" spans="1:6" x14ac:dyDescent="0.25">
      <c r="A341" s="86"/>
      <c r="B341" s="87"/>
      <c r="C341" s="86"/>
      <c r="D341" s="88"/>
      <c r="E341" s="88"/>
      <c r="F341" s="89"/>
    </row>
    <row r="342" spans="1:6" x14ac:dyDescent="0.25">
      <c r="A342" s="86"/>
      <c r="B342" s="87"/>
      <c r="C342" s="86"/>
      <c r="D342" s="88"/>
      <c r="E342" s="88"/>
      <c r="F342" s="89"/>
    </row>
    <row r="343" spans="1:6" x14ac:dyDescent="0.25">
      <c r="A343" s="86"/>
      <c r="B343" s="87"/>
      <c r="C343" s="86"/>
      <c r="D343" s="88"/>
      <c r="E343" s="88"/>
      <c r="F343" s="89"/>
    </row>
    <row r="344" spans="1:6" x14ac:dyDescent="0.25">
      <c r="A344" s="86"/>
      <c r="B344" s="87"/>
      <c r="C344" s="86"/>
      <c r="D344" s="88"/>
      <c r="E344" s="88"/>
      <c r="F344" s="89"/>
    </row>
    <row r="345" spans="1:6" x14ac:dyDescent="0.25">
      <c r="A345" s="86"/>
      <c r="B345" s="87"/>
      <c r="C345" s="86"/>
      <c r="D345" s="88"/>
      <c r="E345" s="88"/>
      <c r="F345" s="89"/>
    </row>
    <row r="346" spans="1:6" x14ac:dyDescent="0.25">
      <c r="A346" s="86"/>
      <c r="B346" s="87"/>
      <c r="C346" s="86"/>
      <c r="D346" s="88"/>
      <c r="E346" s="88"/>
      <c r="F346" s="89"/>
    </row>
    <row r="347" spans="1:6" x14ac:dyDescent="0.25">
      <c r="A347" s="86"/>
      <c r="B347" s="87"/>
      <c r="C347" s="86"/>
      <c r="D347" s="88"/>
      <c r="E347" s="88"/>
      <c r="F347" s="89"/>
    </row>
    <row r="348" spans="1:6" x14ac:dyDescent="0.25">
      <c r="A348" s="86"/>
      <c r="B348" s="87"/>
      <c r="C348" s="86"/>
      <c r="D348" s="88"/>
      <c r="E348" s="88"/>
      <c r="F348" s="89"/>
    </row>
    <row r="349" spans="1:6" x14ac:dyDescent="0.25">
      <c r="A349" s="86"/>
      <c r="B349" s="87"/>
      <c r="C349" s="86"/>
      <c r="D349" s="88"/>
      <c r="E349" s="88"/>
      <c r="F349" s="89"/>
    </row>
    <row r="350" spans="1:6" x14ac:dyDescent="0.25">
      <c r="A350" s="86"/>
      <c r="B350" s="87"/>
      <c r="C350" s="86"/>
      <c r="D350" s="88"/>
      <c r="E350" s="88"/>
      <c r="F350" s="89"/>
    </row>
    <row r="351" spans="1:6" x14ac:dyDescent="0.25">
      <c r="A351" s="86"/>
      <c r="B351" s="87"/>
      <c r="C351" s="86"/>
      <c r="D351" s="88"/>
      <c r="E351" s="88"/>
      <c r="F351" s="89"/>
    </row>
    <row r="352" spans="1:6" x14ac:dyDescent="0.25">
      <c r="A352" s="86"/>
      <c r="B352" s="87"/>
      <c r="C352" s="86"/>
      <c r="D352" s="88"/>
      <c r="E352" s="88"/>
      <c r="F352" s="89"/>
    </row>
    <row r="353" spans="1:6" x14ac:dyDescent="0.25">
      <c r="A353" s="86"/>
      <c r="B353" s="87"/>
      <c r="C353" s="86"/>
      <c r="D353" s="88"/>
      <c r="E353" s="88"/>
      <c r="F353" s="89"/>
    </row>
    <row r="354" spans="1:6" x14ac:dyDescent="0.25">
      <c r="A354" s="86"/>
      <c r="B354" s="87"/>
      <c r="C354" s="86"/>
      <c r="D354" s="88"/>
      <c r="E354" s="88"/>
      <c r="F354" s="89"/>
    </row>
    <row r="355" spans="1:6" x14ac:dyDescent="0.25">
      <c r="A355" s="86"/>
      <c r="B355" s="87"/>
      <c r="C355" s="86"/>
      <c r="D355" s="88"/>
      <c r="E355" s="88"/>
      <c r="F355" s="89"/>
    </row>
    <row r="356" spans="1:6" x14ac:dyDescent="0.25">
      <c r="A356" s="86"/>
      <c r="B356" s="87"/>
      <c r="C356" s="86"/>
      <c r="D356" s="88"/>
      <c r="E356" s="88"/>
      <c r="F356" s="89"/>
    </row>
    <row r="357" spans="1:6" x14ac:dyDescent="0.25">
      <c r="A357" s="86"/>
      <c r="B357" s="87"/>
      <c r="C357" s="86"/>
      <c r="D357" s="88"/>
      <c r="E357" s="88"/>
      <c r="F357" s="89"/>
    </row>
    <row r="358" spans="1:6" x14ac:dyDescent="0.25">
      <c r="A358" s="86"/>
      <c r="B358" s="87"/>
      <c r="C358" s="86"/>
      <c r="D358" s="88"/>
      <c r="E358" s="88"/>
      <c r="F358" s="89"/>
    </row>
    <row r="359" spans="1:6" x14ac:dyDescent="0.25">
      <c r="A359" s="92"/>
      <c r="B359" s="93"/>
      <c r="C359" s="92"/>
      <c r="D359" s="94"/>
      <c r="E359" s="94"/>
      <c r="F359" s="89"/>
    </row>
    <row r="360" spans="1:6" x14ac:dyDescent="0.25">
      <c r="A360" s="86"/>
      <c r="B360" s="87"/>
      <c r="C360" s="86"/>
      <c r="D360" s="88"/>
      <c r="E360" s="88"/>
      <c r="F360" s="89"/>
    </row>
    <row r="361" spans="1:6" x14ac:dyDescent="0.25">
      <c r="A361" s="86"/>
      <c r="B361" s="87"/>
      <c r="C361" s="86"/>
      <c r="D361" s="88"/>
      <c r="E361" s="88"/>
      <c r="F361" s="89"/>
    </row>
    <row r="362" spans="1:6" x14ac:dyDescent="0.25">
      <c r="A362" s="86"/>
      <c r="B362" s="87"/>
      <c r="C362" s="86"/>
      <c r="D362" s="88"/>
      <c r="E362" s="88"/>
      <c r="F362" s="89"/>
    </row>
    <row r="363" spans="1:6" ht="18.75" x14ac:dyDescent="0.3">
      <c r="A363" s="95"/>
      <c r="B363" s="96"/>
      <c r="C363" s="95"/>
      <c r="D363" s="97"/>
      <c r="E363" s="90"/>
      <c r="F363" s="91"/>
    </row>
    <row r="364" spans="1:6" x14ac:dyDescent="0.25">
      <c r="E364" s="65"/>
    </row>
    <row r="365" spans="1:6" x14ac:dyDescent="0.25">
      <c r="E365" s="65"/>
    </row>
    <row r="366" spans="1:6" x14ac:dyDescent="0.25">
      <c r="E366" s="65"/>
    </row>
    <row r="367" spans="1:6" x14ac:dyDescent="0.25">
      <c r="E367" s="65"/>
    </row>
    <row r="368" spans="1:6" x14ac:dyDescent="0.25">
      <c r="E368" s="65"/>
    </row>
    <row r="369" spans="5:5" x14ac:dyDescent="0.25">
      <c r="E369" s="65"/>
    </row>
    <row r="370" spans="5:5" x14ac:dyDescent="0.25">
      <c r="E370" s="65"/>
    </row>
    <row r="371" spans="5:5" x14ac:dyDescent="0.25">
      <c r="E371" s="65"/>
    </row>
    <row r="372" spans="5:5" x14ac:dyDescent="0.25">
      <c r="E372" s="65"/>
    </row>
    <row r="373" spans="5:5" x14ac:dyDescent="0.25">
      <c r="E373" s="65"/>
    </row>
    <row r="374" spans="5:5" x14ac:dyDescent="0.25">
      <c r="E374" s="65"/>
    </row>
    <row r="375" spans="5:5" x14ac:dyDescent="0.25">
      <c r="E375" s="65"/>
    </row>
    <row r="376" spans="5:5" x14ac:dyDescent="0.25">
      <c r="E376" s="65"/>
    </row>
    <row r="377" spans="5:5" x14ac:dyDescent="0.25">
      <c r="E377" s="65"/>
    </row>
    <row r="378" spans="5:5" x14ac:dyDescent="0.25">
      <c r="E378" s="65"/>
    </row>
    <row r="379" spans="5:5" x14ac:dyDescent="0.25">
      <c r="E379" s="65"/>
    </row>
    <row r="380" spans="5:5" x14ac:dyDescent="0.25">
      <c r="E380" s="65"/>
    </row>
    <row r="381" spans="5:5" x14ac:dyDescent="0.25">
      <c r="E381" s="65"/>
    </row>
    <row r="382" spans="5:5" x14ac:dyDescent="0.25">
      <c r="E382" s="65"/>
    </row>
    <row r="383" spans="5:5" x14ac:dyDescent="0.25">
      <c r="E383" s="65"/>
    </row>
    <row r="384" spans="5:5" x14ac:dyDescent="0.25">
      <c r="E384" s="65"/>
    </row>
    <row r="385" spans="5:5" x14ac:dyDescent="0.25">
      <c r="E385" s="65"/>
    </row>
    <row r="386" spans="5:5" x14ac:dyDescent="0.25">
      <c r="E386" s="65"/>
    </row>
    <row r="387" spans="5:5" x14ac:dyDescent="0.25">
      <c r="E387" s="65"/>
    </row>
    <row r="388" spans="5:5" x14ac:dyDescent="0.25">
      <c r="E388" s="65"/>
    </row>
    <row r="389" spans="5:5" x14ac:dyDescent="0.25">
      <c r="E389" s="65"/>
    </row>
    <row r="390" spans="5:5" x14ac:dyDescent="0.25">
      <c r="E390" s="65"/>
    </row>
    <row r="391" spans="5:5" x14ac:dyDescent="0.25">
      <c r="E391" s="65"/>
    </row>
    <row r="392" spans="5:5" x14ac:dyDescent="0.25">
      <c r="E392" s="65"/>
    </row>
    <row r="393" spans="5:5" x14ac:dyDescent="0.25">
      <c r="E393" s="65"/>
    </row>
    <row r="394" spans="5:5" x14ac:dyDescent="0.25">
      <c r="E394" s="65"/>
    </row>
    <row r="395" spans="5:5" x14ac:dyDescent="0.25">
      <c r="E395" s="65"/>
    </row>
    <row r="396" spans="5:5" x14ac:dyDescent="0.25">
      <c r="E396" s="65"/>
    </row>
    <row r="397" spans="5:5" x14ac:dyDescent="0.25">
      <c r="E397" s="65"/>
    </row>
    <row r="398" spans="5:5" x14ac:dyDescent="0.25">
      <c r="E398" s="65"/>
    </row>
    <row r="399" spans="5:5" x14ac:dyDescent="0.25">
      <c r="E399" s="65"/>
    </row>
    <row r="400" spans="5:5" x14ac:dyDescent="0.25">
      <c r="E400" s="65"/>
    </row>
    <row r="401" spans="5:5" x14ac:dyDescent="0.25">
      <c r="E401" s="65"/>
    </row>
    <row r="402" spans="5:5" x14ac:dyDescent="0.25">
      <c r="E402" s="65"/>
    </row>
    <row r="403" spans="5:5" x14ac:dyDescent="0.25">
      <c r="E403" s="65"/>
    </row>
    <row r="404" spans="5:5" x14ac:dyDescent="0.25">
      <c r="E404" s="65"/>
    </row>
    <row r="405" spans="5:5" x14ac:dyDescent="0.25">
      <c r="E405" s="65"/>
    </row>
    <row r="406" spans="5:5" x14ac:dyDescent="0.25">
      <c r="E406" s="65"/>
    </row>
    <row r="407" spans="5:5" x14ac:dyDescent="0.25">
      <c r="E407" s="65"/>
    </row>
    <row r="408" spans="5:5" x14ac:dyDescent="0.25">
      <c r="E408" s="65"/>
    </row>
    <row r="409" spans="5:5" x14ac:dyDescent="0.25">
      <c r="E409" s="65"/>
    </row>
    <row r="410" spans="5:5" x14ac:dyDescent="0.25">
      <c r="E410" s="65"/>
    </row>
    <row r="411" spans="5:5" x14ac:dyDescent="0.25">
      <c r="E411" s="65"/>
    </row>
    <row r="412" spans="5:5" x14ac:dyDescent="0.25">
      <c r="E412" s="65"/>
    </row>
    <row r="413" spans="5:5" x14ac:dyDescent="0.25">
      <c r="E413" s="65"/>
    </row>
    <row r="414" spans="5:5" x14ac:dyDescent="0.25">
      <c r="E414" s="65"/>
    </row>
    <row r="415" spans="5:5" x14ac:dyDescent="0.25">
      <c r="E415" s="65"/>
    </row>
    <row r="416" spans="5:5" x14ac:dyDescent="0.25">
      <c r="E416" s="65"/>
    </row>
    <row r="417" spans="5:5" x14ac:dyDescent="0.25">
      <c r="E417" s="65"/>
    </row>
    <row r="418" spans="5:5" x14ac:dyDescent="0.25">
      <c r="E418" s="65"/>
    </row>
    <row r="419" spans="5:5" x14ac:dyDescent="0.25">
      <c r="E419" s="65"/>
    </row>
    <row r="420" spans="5:5" x14ac:dyDescent="0.25">
      <c r="E420" s="65"/>
    </row>
    <row r="421" spans="5:5" x14ac:dyDescent="0.25">
      <c r="E421" s="65"/>
    </row>
    <row r="422" spans="5:5" x14ac:dyDescent="0.25">
      <c r="E422" s="65"/>
    </row>
    <row r="423" spans="5:5" x14ac:dyDescent="0.25">
      <c r="E423" s="65"/>
    </row>
    <row r="424" spans="5:5" x14ac:dyDescent="0.25">
      <c r="E424" s="65"/>
    </row>
    <row r="425" spans="5:5" x14ac:dyDescent="0.25">
      <c r="E425" s="65"/>
    </row>
    <row r="426" spans="5:5" x14ac:dyDescent="0.25">
      <c r="E426" s="65"/>
    </row>
    <row r="427" spans="5:5" x14ac:dyDescent="0.25">
      <c r="E427" s="65"/>
    </row>
    <row r="428" spans="5:5" x14ac:dyDescent="0.25">
      <c r="E428" s="65"/>
    </row>
    <row r="429" spans="5:5" x14ac:dyDescent="0.25">
      <c r="E429" s="65"/>
    </row>
    <row r="430" spans="5:5" x14ac:dyDescent="0.25">
      <c r="E430" s="65"/>
    </row>
    <row r="431" spans="5:5" x14ac:dyDescent="0.25">
      <c r="E431" s="65"/>
    </row>
    <row r="432" spans="5:5" x14ac:dyDescent="0.25">
      <c r="E432" s="65"/>
    </row>
    <row r="433" spans="5:5" x14ac:dyDescent="0.25">
      <c r="E433" s="65"/>
    </row>
    <row r="434" spans="5:5" x14ac:dyDescent="0.25">
      <c r="E434" s="65"/>
    </row>
    <row r="435" spans="5:5" x14ac:dyDescent="0.25">
      <c r="E435" s="65"/>
    </row>
    <row r="436" spans="5:5" x14ac:dyDescent="0.25">
      <c r="E436" s="65"/>
    </row>
    <row r="437" spans="5:5" x14ac:dyDescent="0.25">
      <c r="E437" s="65"/>
    </row>
    <row r="438" spans="5:5" x14ac:dyDescent="0.25">
      <c r="E438" s="65"/>
    </row>
    <row r="439" spans="5:5" x14ac:dyDescent="0.25">
      <c r="E439" s="65"/>
    </row>
    <row r="440" spans="5:5" x14ac:dyDescent="0.25">
      <c r="E440" s="65"/>
    </row>
    <row r="441" spans="5:5" x14ac:dyDescent="0.25">
      <c r="E441" s="65"/>
    </row>
    <row r="442" spans="5:5" x14ac:dyDescent="0.25">
      <c r="E442" s="65"/>
    </row>
    <row r="443" spans="5:5" x14ac:dyDescent="0.25">
      <c r="E443" s="65"/>
    </row>
    <row r="444" spans="5:5" x14ac:dyDescent="0.25">
      <c r="E444" s="65"/>
    </row>
    <row r="445" spans="5:5" x14ac:dyDescent="0.25">
      <c r="E445" s="65"/>
    </row>
    <row r="446" spans="5:5" x14ac:dyDescent="0.25">
      <c r="E446" s="65"/>
    </row>
    <row r="447" spans="5:5" x14ac:dyDescent="0.25">
      <c r="E447" s="65"/>
    </row>
    <row r="448" spans="5:5" x14ac:dyDescent="0.25">
      <c r="E448" s="65"/>
    </row>
    <row r="449" spans="5:5" x14ac:dyDescent="0.25">
      <c r="E449" s="65"/>
    </row>
    <row r="450" spans="5:5" x14ac:dyDescent="0.25">
      <c r="E450" s="65"/>
    </row>
    <row r="451" spans="5:5" x14ac:dyDescent="0.25">
      <c r="E451" s="65"/>
    </row>
    <row r="452" spans="5:5" x14ac:dyDescent="0.25">
      <c r="E452" s="65"/>
    </row>
    <row r="453" spans="5:5" x14ac:dyDescent="0.25">
      <c r="E453" s="65"/>
    </row>
    <row r="454" spans="5:5" x14ac:dyDescent="0.25">
      <c r="E454" s="65"/>
    </row>
    <row r="455" spans="5:5" x14ac:dyDescent="0.25">
      <c r="E455" s="65"/>
    </row>
    <row r="456" spans="5:5" x14ac:dyDescent="0.25">
      <c r="E456" s="65"/>
    </row>
    <row r="457" spans="5:5" x14ac:dyDescent="0.25">
      <c r="E457" s="65"/>
    </row>
    <row r="458" spans="5:5" x14ac:dyDescent="0.25">
      <c r="E458" s="65"/>
    </row>
    <row r="459" spans="5:5" x14ac:dyDescent="0.25">
      <c r="E459" s="65"/>
    </row>
    <row r="460" spans="5:5" x14ac:dyDescent="0.25">
      <c r="E460" s="65"/>
    </row>
    <row r="461" spans="5:5" x14ac:dyDescent="0.25">
      <c r="E461" s="65"/>
    </row>
    <row r="462" spans="5:5" x14ac:dyDescent="0.25">
      <c r="E462" s="65"/>
    </row>
    <row r="463" spans="5:5" x14ac:dyDescent="0.25">
      <c r="E463" s="65"/>
    </row>
    <row r="464" spans="5:5" x14ac:dyDescent="0.25">
      <c r="E464" s="65"/>
    </row>
    <row r="465" spans="5:5" x14ac:dyDescent="0.25">
      <c r="E465" s="65"/>
    </row>
    <row r="466" spans="5:5" x14ac:dyDescent="0.25">
      <c r="E466" s="65"/>
    </row>
    <row r="467" spans="5:5" x14ac:dyDescent="0.25">
      <c r="E467" s="65"/>
    </row>
    <row r="468" spans="5:5" x14ac:dyDescent="0.25">
      <c r="E468" s="65"/>
    </row>
    <row r="469" spans="5:5" x14ac:dyDescent="0.25">
      <c r="E469" s="65"/>
    </row>
    <row r="470" spans="5:5" x14ac:dyDescent="0.25">
      <c r="E470" s="65"/>
    </row>
    <row r="471" spans="5:5" x14ac:dyDescent="0.25">
      <c r="E471" s="65"/>
    </row>
    <row r="472" spans="5:5" x14ac:dyDescent="0.25">
      <c r="E472" s="65"/>
    </row>
    <row r="473" spans="5:5" x14ac:dyDescent="0.25">
      <c r="E473" s="65"/>
    </row>
    <row r="474" spans="5:5" x14ac:dyDescent="0.25">
      <c r="E474" s="65"/>
    </row>
    <row r="475" spans="5:5" x14ac:dyDescent="0.25">
      <c r="E475" s="65"/>
    </row>
    <row r="476" spans="5:5" x14ac:dyDescent="0.25">
      <c r="E476" s="65"/>
    </row>
    <row r="477" spans="5:5" x14ac:dyDescent="0.25">
      <c r="E477" s="65"/>
    </row>
    <row r="478" spans="5:5" x14ac:dyDescent="0.25">
      <c r="E478" s="65"/>
    </row>
    <row r="479" spans="5:5" x14ac:dyDescent="0.25">
      <c r="E479" s="65"/>
    </row>
    <row r="480" spans="5:5" x14ac:dyDescent="0.25">
      <c r="E480" s="65"/>
    </row>
    <row r="481" spans="5:5" x14ac:dyDescent="0.25">
      <c r="E481" s="65"/>
    </row>
    <row r="482" spans="5:5" x14ac:dyDescent="0.25">
      <c r="E482" s="65"/>
    </row>
    <row r="483" spans="5:5" x14ac:dyDescent="0.25">
      <c r="E483" s="65"/>
    </row>
    <row r="484" spans="5:5" x14ac:dyDescent="0.25">
      <c r="E484" s="65"/>
    </row>
    <row r="485" spans="5:5" x14ac:dyDescent="0.25">
      <c r="E485" s="65"/>
    </row>
    <row r="486" spans="5:5" x14ac:dyDescent="0.25">
      <c r="E486" s="65"/>
    </row>
    <row r="487" spans="5:5" x14ac:dyDescent="0.25">
      <c r="E487" s="65"/>
    </row>
    <row r="488" spans="5:5" x14ac:dyDescent="0.25">
      <c r="E488" s="65"/>
    </row>
    <row r="489" spans="5:5" x14ac:dyDescent="0.25">
      <c r="E489" s="65"/>
    </row>
    <row r="490" spans="5:5" x14ac:dyDescent="0.25">
      <c r="E490" s="65"/>
    </row>
    <row r="491" spans="5:5" x14ac:dyDescent="0.25">
      <c r="E491" s="65"/>
    </row>
    <row r="492" spans="5:5" x14ac:dyDescent="0.25">
      <c r="E492" s="65"/>
    </row>
    <row r="493" spans="5:5" x14ac:dyDescent="0.25">
      <c r="E493" s="65"/>
    </row>
    <row r="494" spans="5:5" x14ac:dyDescent="0.25">
      <c r="E494" s="65"/>
    </row>
    <row r="495" spans="5:5" x14ac:dyDescent="0.25">
      <c r="E495" s="65"/>
    </row>
    <row r="496" spans="5:5" x14ac:dyDescent="0.25">
      <c r="E496" s="65"/>
    </row>
    <row r="497" spans="5:5" x14ac:dyDescent="0.25">
      <c r="E497" s="65"/>
    </row>
    <row r="498" spans="5:5" x14ac:dyDescent="0.25">
      <c r="E498" s="65"/>
    </row>
    <row r="499" spans="5:5" x14ac:dyDescent="0.25">
      <c r="E499" s="65"/>
    </row>
    <row r="500" spans="5:5" x14ac:dyDescent="0.25">
      <c r="E500" s="65"/>
    </row>
    <row r="501" spans="5:5" x14ac:dyDescent="0.25">
      <c r="E501" s="65"/>
    </row>
    <row r="502" spans="5:5" x14ac:dyDescent="0.25">
      <c r="E502" s="65"/>
    </row>
    <row r="503" spans="5:5" x14ac:dyDescent="0.25">
      <c r="E503" s="65"/>
    </row>
    <row r="504" spans="5:5" x14ac:dyDescent="0.25">
      <c r="E504" s="65"/>
    </row>
    <row r="505" spans="5:5" x14ac:dyDescent="0.25">
      <c r="E505" s="65"/>
    </row>
    <row r="506" spans="5:5" x14ac:dyDescent="0.25">
      <c r="E506" s="65"/>
    </row>
    <row r="507" spans="5:5" x14ac:dyDescent="0.25">
      <c r="E507" s="65"/>
    </row>
    <row r="508" spans="5:5" x14ac:dyDescent="0.25">
      <c r="E508" s="65"/>
    </row>
    <row r="509" spans="5:5" x14ac:dyDescent="0.25">
      <c r="E509" s="65"/>
    </row>
    <row r="510" spans="5:5" x14ac:dyDescent="0.25">
      <c r="E510" s="65"/>
    </row>
    <row r="511" spans="5:5" x14ac:dyDescent="0.25">
      <c r="E511" s="65"/>
    </row>
    <row r="512" spans="5:5" x14ac:dyDescent="0.25">
      <c r="E512" s="65"/>
    </row>
    <row r="513" spans="5:5" x14ac:dyDescent="0.25">
      <c r="E513" s="65"/>
    </row>
    <row r="514" spans="5:5" x14ac:dyDescent="0.25">
      <c r="E514" s="65"/>
    </row>
    <row r="515" spans="5:5" x14ac:dyDescent="0.25">
      <c r="E515" s="65"/>
    </row>
    <row r="516" spans="5:5" x14ac:dyDescent="0.25">
      <c r="E516" s="65"/>
    </row>
    <row r="517" spans="5:5" x14ac:dyDescent="0.25">
      <c r="E517" s="65"/>
    </row>
    <row r="518" spans="5:5" x14ac:dyDescent="0.25">
      <c r="E518" s="65"/>
    </row>
    <row r="519" spans="5:5" x14ac:dyDescent="0.25">
      <c r="E519" s="65"/>
    </row>
    <row r="520" spans="5:5" x14ac:dyDescent="0.25">
      <c r="E520" s="65"/>
    </row>
    <row r="521" spans="5:5" x14ac:dyDescent="0.25">
      <c r="E521" s="65"/>
    </row>
    <row r="522" spans="5:5" x14ac:dyDescent="0.25">
      <c r="E522" s="65"/>
    </row>
    <row r="523" spans="5:5" x14ac:dyDescent="0.25">
      <c r="E523" s="65"/>
    </row>
    <row r="524" spans="5:5" x14ac:dyDescent="0.25">
      <c r="E524" s="65"/>
    </row>
    <row r="525" spans="5:5" x14ac:dyDescent="0.25">
      <c r="E525" s="65"/>
    </row>
    <row r="526" spans="5:5" x14ac:dyDescent="0.25">
      <c r="E526" s="65"/>
    </row>
    <row r="527" spans="5:5" x14ac:dyDescent="0.25">
      <c r="E527" s="65"/>
    </row>
    <row r="528" spans="5:5" x14ac:dyDescent="0.25">
      <c r="E528" s="65"/>
    </row>
    <row r="529" spans="5:5" x14ac:dyDescent="0.25">
      <c r="E529" s="65"/>
    </row>
    <row r="530" spans="5:5" x14ac:dyDescent="0.25">
      <c r="E530" s="65"/>
    </row>
    <row r="531" spans="5:5" x14ac:dyDescent="0.25">
      <c r="E531" s="65"/>
    </row>
    <row r="532" spans="5:5" x14ac:dyDescent="0.25">
      <c r="E532" s="65"/>
    </row>
    <row r="533" spans="5:5" x14ac:dyDescent="0.25">
      <c r="E533" s="65"/>
    </row>
    <row r="534" spans="5:5" x14ac:dyDescent="0.25">
      <c r="E534" s="65"/>
    </row>
    <row r="535" spans="5:5" x14ac:dyDescent="0.25">
      <c r="E535" s="65"/>
    </row>
    <row r="536" spans="5:5" x14ac:dyDescent="0.25">
      <c r="E536" s="65"/>
    </row>
    <row r="537" spans="5:5" x14ac:dyDescent="0.25">
      <c r="E537" s="65"/>
    </row>
    <row r="538" spans="5:5" x14ac:dyDescent="0.25">
      <c r="E538" s="65"/>
    </row>
    <row r="539" spans="5:5" x14ac:dyDescent="0.25">
      <c r="E539" s="65"/>
    </row>
    <row r="540" spans="5:5" x14ac:dyDescent="0.25">
      <c r="E540" s="65"/>
    </row>
    <row r="541" spans="5:5" x14ac:dyDescent="0.25">
      <c r="E541" s="65"/>
    </row>
    <row r="542" spans="5:5" x14ac:dyDescent="0.25">
      <c r="E542" s="65"/>
    </row>
    <row r="543" spans="5:5" x14ac:dyDescent="0.25">
      <c r="E543" s="65"/>
    </row>
    <row r="544" spans="5:5" x14ac:dyDescent="0.25">
      <c r="E544" s="65"/>
    </row>
    <row r="545" spans="5:5" x14ac:dyDescent="0.25">
      <c r="E545" s="65"/>
    </row>
    <row r="546" spans="5:5" x14ac:dyDescent="0.25">
      <c r="E546" s="65"/>
    </row>
    <row r="547" spans="5:5" x14ac:dyDescent="0.25">
      <c r="E547" s="65"/>
    </row>
    <row r="548" spans="5:5" x14ac:dyDescent="0.25">
      <c r="E548" s="65"/>
    </row>
    <row r="549" spans="5:5" x14ac:dyDescent="0.25">
      <c r="E549" s="65"/>
    </row>
    <row r="550" spans="5:5" x14ac:dyDescent="0.25">
      <c r="E550" s="65"/>
    </row>
    <row r="551" spans="5:5" x14ac:dyDescent="0.25">
      <c r="E551" s="65"/>
    </row>
    <row r="552" spans="5:5" x14ac:dyDescent="0.25">
      <c r="E552" s="65"/>
    </row>
    <row r="553" spans="5:5" x14ac:dyDescent="0.25">
      <c r="E553" s="65"/>
    </row>
    <row r="554" spans="5:5" x14ac:dyDescent="0.25">
      <c r="E554" s="65"/>
    </row>
    <row r="555" spans="5:5" x14ac:dyDescent="0.25">
      <c r="E555" s="65"/>
    </row>
    <row r="556" spans="5:5" x14ac:dyDescent="0.25">
      <c r="E556" s="65"/>
    </row>
    <row r="557" spans="5:5" x14ac:dyDescent="0.25">
      <c r="E557" s="65"/>
    </row>
    <row r="558" spans="5:5" x14ac:dyDescent="0.25">
      <c r="E558" s="65"/>
    </row>
    <row r="559" spans="5:5" x14ac:dyDescent="0.25">
      <c r="E559" s="65"/>
    </row>
    <row r="560" spans="5:5" x14ac:dyDescent="0.25">
      <c r="E560" s="65"/>
    </row>
    <row r="561" spans="5:5" x14ac:dyDescent="0.25">
      <c r="E561" s="65"/>
    </row>
    <row r="562" spans="5:5" x14ac:dyDescent="0.25">
      <c r="E562" s="65"/>
    </row>
    <row r="563" spans="5:5" x14ac:dyDescent="0.25">
      <c r="E563" s="65"/>
    </row>
    <row r="564" spans="5:5" x14ac:dyDescent="0.25">
      <c r="E564" s="65"/>
    </row>
    <row r="565" spans="5:5" x14ac:dyDescent="0.25">
      <c r="E565" s="65"/>
    </row>
    <row r="566" spans="5:5" x14ac:dyDescent="0.25">
      <c r="E566" s="65"/>
    </row>
    <row r="567" spans="5:5" x14ac:dyDescent="0.25">
      <c r="E567" s="65"/>
    </row>
    <row r="568" spans="5:5" x14ac:dyDescent="0.25">
      <c r="E568" s="65"/>
    </row>
    <row r="569" spans="5:5" x14ac:dyDescent="0.25">
      <c r="E569" s="65"/>
    </row>
    <row r="570" spans="5:5" x14ac:dyDescent="0.25">
      <c r="E570" s="65"/>
    </row>
    <row r="571" spans="5:5" x14ac:dyDescent="0.25">
      <c r="E571" s="65"/>
    </row>
    <row r="572" spans="5:5" x14ac:dyDescent="0.25">
      <c r="E572" s="65"/>
    </row>
    <row r="573" spans="5:5" x14ac:dyDescent="0.25">
      <c r="E573" s="65"/>
    </row>
    <row r="574" spans="5:5" x14ac:dyDescent="0.25">
      <c r="E574" s="65"/>
    </row>
    <row r="575" spans="5:5" x14ac:dyDescent="0.25">
      <c r="E575" s="65"/>
    </row>
    <row r="576" spans="5:5" x14ac:dyDescent="0.25">
      <c r="E576" s="65"/>
    </row>
    <row r="577" spans="5:5" x14ac:dyDescent="0.25">
      <c r="E577" s="65"/>
    </row>
    <row r="578" spans="5:5" x14ac:dyDescent="0.25">
      <c r="E578" s="65"/>
    </row>
    <row r="579" spans="5:5" x14ac:dyDescent="0.25">
      <c r="E579" s="65"/>
    </row>
    <row r="580" spans="5:5" x14ac:dyDescent="0.25">
      <c r="E580" s="65"/>
    </row>
    <row r="581" spans="5:5" x14ac:dyDescent="0.25">
      <c r="E581" s="65"/>
    </row>
    <row r="582" spans="5:5" x14ac:dyDescent="0.25">
      <c r="E582" s="65"/>
    </row>
    <row r="583" spans="5:5" x14ac:dyDescent="0.25">
      <c r="E583" s="65"/>
    </row>
    <row r="584" spans="5:5" x14ac:dyDescent="0.25">
      <c r="E584" s="65"/>
    </row>
    <row r="585" spans="5:5" x14ac:dyDescent="0.25">
      <c r="E585" s="65"/>
    </row>
    <row r="586" spans="5:5" x14ac:dyDescent="0.25">
      <c r="E586" s="65"/>
    </row>
    <row r="587" spans="5:5" x14ac:dyDescent="0.25">
      <c r="E587" s="65"/>
    </row>
    <row r="588" spans="5:5" x14ac:dyDescent="0.25">
      <c r="E588" s="65"/>
    </row>
    <row r="589" spans="5:5" x14ac:dyDescent="0.25">
      <c r="E589" s="65"/>
    </row>
    <row r="590" spans="5:5" x14ac:dyDescent="0.25">
      <c r="E590" s="65"/>
    </row>
    <row r="591" spans="5:5" x14ac:dyDescent="0.25">
      <c r="E591" s="65"/>
    </row>
    <row r="592" spans="5:5" x14ac:dyDescent="0.25">
      <c r="E592" s="65"/>
    </row>
    <row r="593" spans="5:5" x14ac:dyDescent="0.25">
      <c r="E593" s="65"/>
    </row>
    <row r="594" spans="5:5" x14ac:dyDescent="0.25">
      <c r="E594" s="65"/>
    </row>
    <row r="595" spans="5:5" x14ac:dyDescent="0.25">
      <c r="E595" s="65"/>
    </row>
    <row r="596" spans="5:5" x14ac:dyDescent="0.25">
      <c r="E596" s="65"/>
    </row>
    <row r="597" spans="5:5" x14ac:dyDescent="0.25">
      <c r="E597" s="65"/>
    </row>
    <row r="598" spans="5:5" x14ac:dyDescent="0.25">
      <c r="E598" s="65"/>
    </row>
    <row r="599" spans="5:5" x14ac:dyDescent="0.25">
      <c r="E599" s="65"/>
    </row>
    <row r="600" spans="5:5" x14ac:dyDescent="0.25">
      <c r="E600" s="65"/>
    </row>
    <row r="601" spans="5:5" x14ac:dyDescent="0.25">
      <c r="E601" s="65"/>
    </row>
    <row r="602" spans="5:5" x14ac:dyDescent="0.25">
      <c r="E602" s="65"/>
    </row>
    <row r="603" spans="5:5" x14ac:dyDescent="0.25">
      <c r="E603" s="65"/>
    </row>
    <row r="604" spans="5:5" x14ac:dyDescent="0.25">
      <c r="E604" s="65"/>
    </row>
    <row r="605" spans="5:5" x14ac:dyDescent="0.25">
      <c r="E605" s="65"/>
    </row>
    <row r="606" spans="5:5" x14ac:dyDescent="0.25">
      <c r="E606" s="65"/>
    </row>
    <row r="607" spans="5:5" x14ac:dyDescent="0.25">
      <c r="E607" s="65"/>
    </row>
    <row r="608" spans="5:5" x14ac:dyDescent="0.25">
      <c r="E608" s="65"/>
    </row>
    <row r="609" spans="5:5" x14ac:dyDescent="0.25">
      <c r="E609" s="65"/>
    </row>
    <row r="610" spans="5:5" x14ac:dyDescent="0.25">
      <c r="E610" s="65"/>
    </row>
    <row r="611" spans="5:5" x14ac:dyDescent="0.25">
      <c r="E611" s="65"/>
    </row>
    <row r="612" spans="5:5" x14ac:dyDescent="0.25">
      <c r="E612" s="65"/>
    </row>
    <row r="613" spans="5:5" x14ac:dyDescent="0.25">
      <c r="E613" s="65"/>
    </row>
    <row r="614" spans="5:5" x14ac:dyDescent="0.25">
      <c r="E614" s="65"/>
    </row>
    <row r="615" spans="5:5" x14ac:dyDescent="0.25">
      <c r="E615" s="65"/>
    </row>
    <row r="616" spans="5:5" x14ac:dyDescent="0.25">
      <c r="E616" s="65"/>
    </row>
    <row r="617" spans="5:5" x14ac:dyDescent="0.25">
      <c r="E617" s="65"/>
    </row>
    <row r="618" spans="5:5" x14ac:dyDescent="0.25">
      <c r="E618" s="65"/>
    </row>
    <row r="619" spans="5:5" x14ac:dyDescent="0.25">
      <c r="E619" s="65"/>
    </row>
    <row r="620" spans="5:5" x14ac:dyDescent="0.25">
      <c r="E620" s="65"/>
    </row>
    <row r="621" spans="5:5" x14ac:dyDescent="0.25">
      <c r="E621" s="65"/>
    </row>
    <row r="622" spans="5:5" x14ac:dyDescent="0.25">
      <c r="E622" s="65"/>
    </row>
    <row r="623" spans="5:5" x14ac:dyDescent="0.25">
      <c r="E623" s="65"/>
    </row>
    <row r="624" spans="5:5" x14ac:dyDescent="0.25">
      <c r="E624" s="65"/>
    </row>
    <row r="625" spans="5:5" x14ac:dyDescent="0.25">
      <c r="E625" s="65"/>
    </row>
    <row r="626" spans="5:5" x14ac:dyDescent="0.25">
      <c r="E626" s="65"/>
    </row>
    <row r="627" spans="5:5" x14ac:dyDescent="0.25">
      <c r="E627" s="65"/>
    </row>
    <row r="628" spans="5:5" x14ac:dyDescent="0.25">
      <c r="E628" s="65"/>
    </row>
    <row r="629" spans="5:5" x14ac:dyDescent="0.25">
      <c r="E629" s="65"/>
    </row>
    <row r="630" spans="5:5" x14ac:dyDescent="0.25">
      <c r="E630" s="65"/>
    </row>
    <row r="631" spans="5:5" x14ac:dyDescent="0.25">
      <c r="E631" s="65"/>
    </row>
    <row r="632" spans="5:5" x14ac:dyDescent="0.25">
      <c r="E632" s="65"/>
    </row>
    <row r="633" spans="5:5" x14ac:dyDescent="0.25">
      <c r="E633" s="65"/>
    </row>
    <row r="634" spans="5:5" x14ac:dyDescent="0.25">
      <c r="E634" s="65"/>
    </row>
    <row r="635" spans="5:5" x14ac:dyDescent="0.25">
      <c r="E635" s="65"/>
    </row>
    <row r="636" spans="5:5" x14ac:dyDescent="0.25">
      <c r="E636" s="65"/>
    </row>
    <row r="637" spans="5:5" x14ac:dyDescent="0.25">
      <c r="E637" s="65"/>
    </row>
    <row r="638" spans="5:5" x14ac:dyDescent="0.25">
      <c r="E638" s="65"/>
    </row>
    <row r="639" spans="5:5" x14ac:dyDescent="0.25">
      <c r="E639" s="65"/>
    </row>
    <row r="640" spans="5:5" x14ac:dyDescent="0.25">
      <c r="E640" s="65"/>
    </row>
    <row r="641" spans="5:5" x14ac:dyDescent="0.25">
      <c r="E641" s="65"/>
    </row>
    <row r="642" spans="5:5" x14ac:dyDescent="0.25">
      <c r="E642" s="65"/>
    </row>
    <row r="643" spans="5:5" x14ac:dyDescent="0.25">
      <c r="E643" s="65"/>
    </row>
    <row r="644" spans="5:5" x14ac:dyDescent="0.25">
      <c r="E644" s="65"/>
    </row>
    <row r="645" spans="5:5" x14ac:dyDescent="0.25">
      <c r="E645" s="65"/>
    </row>
    <row r="646" spans="5:5" x14ac:dyDescent="0.25">
      <c r="E646" s="65"/>
    </row>
    <row r="647" spans="5:5" x14ac:dyDescent="0.25">
      <c r="E647" s="65"/>
    </row>
    <row r="648" spans="5:5" x14ac:dyDescent="0.25">
      <c r="E648" s="65"/>
    </row>
    <row r="649" spans="5:5" x14ac:dyDescent="0.25">
      <c r="E649" s="65"/>
    </row>
    <row r="650" spans="5:5" x14ac:dyDescent="0.25">
      <c r="E650" s="65"/>
    </row>
    <row r="651" spans="5:5" x14ac:dyDescent="0.25">
      <c r="E651" s="65"/>
    </row>
    <row r="652" spans="5:5" x14ac:dyDescent="0.25">
      <c r="E652" s="65"/>
    </row>
    <row r="653" spans="5:5" x14ac:dyDescent="0.25">
      <c r="E653" s="65"/>
    </row>
    <row r="654" spans="5:5" x14ac:dyDescent="0.25">
      <c r="E654" s="65"/>
    </row>
    <row r="655" spans="5:5" x14ac:dyDescent="0.25">
      <c r="E655" s="65"/>
    </row>
    <row r="656" spans="5:5" x14ac:dyDescent="0.25">
      <c r="E656" s="65"/>
    </row>
    <row r="657" spans="5:5" x14ac:dyDescent="0.25">
      <c r="E657" s="65"/>
    </row>
    <row r="658" spans="5:5" x14ac:dyDescent="0.25">
      <c r="E658" s="65"/>
    </row>
    <row r="659" spans="5:5" x14ac:dyDescent="0.25">
      <c r="E659" s="65"/>
    </row>
    <row r="660" spans="5:5" x14ac:dyDescent="0.25">
      <c r="E660" s="65"/>
    </row>
    <row r="661" spans="5:5" x14ac:dyDescent="0.25">
      <c r="E661" s="65"/>
    </row>
    <row r="662" spans="5:5" x14ac:dyDescent="0.25">
      <c r="E662" s="65"/>
    </row>
    <row r="663" spans="5:5" x14ac:dyDescent="0.25">
      <c r="E663" s="65"/>
    </row>
    <row r="664" spans="5:5" x14ac:dyDescent="0.25">
      <c r="E664" s="65"/>
    </row>
    <row r="665" spans="5:5" x14ac:dyDescent="0.25">
      <c r="E665" s="65"/>
    </row>
    <row r="666" spans="5:5" x14ac:dyDescent="0.25">
      <c r="E666" s="65"/>
    </row>
    <row r="667" spans="5:5" x14ac:dyDescent="0.25">
      <c r="E667" s="65"/>
    </row>
    <row r="668" spans="5:5" x14ac:dyDescent="0.25">
      <c r="E668" s="65"/>
    </row>
    <row r="669" spans="5:5" x14ac:dyDescent="0.25">
      <c r="E669" s="65"/>
    </row>
    <row r="670" spans="5:5" x14ac:dyDescent="0.25">
      <c r="E670" s="65"/>
    </row>
    <row r="671" spans="5:5" x14ac:dyDescent="0.25">
      <c r="E671" s="65"/>
    </row>
    <row r="672" spans="5:5" x14ac:dyDescent="0.25">
      <c r="E672" s="65"/>
    </row>
    <row r="673" spans="5:5" x14ac:dyDescent="0.25">
      <c r="E673" s="65"/>
    </row>
    <row r="674" spans="5:5" x14ac:dyDescent="0.25">
      <c r="E674" s="65"/>
    </row>
    <row r="675" spans="5:5" x14ac:dyDescent="0.25">
      <c r="E675" s="65"/>
    </row>
    <row r="676" spans="5:5" x14ac:dyDescent="0.25">
      <c r="E676" s="65"/>
    </row>
    <row r="677" spans="5:5" x14ac:dyDescent="0.25">
      <c r="E677" s="65"/>
    </row>
    <row r="678" spans="5:5" x14ac:dyDescent="0.25">
      <c r="E678" s="65"/>
    </row>
    <row r="679" spans="5:5" x14ac:dyDescent="0.25">
      <c r="E679" s="65"/>
    </row>
    <row r="680" spans="5:5" x14ac:dyDescent="0.25">
      <c r="E680" s="65"/>
    </row>
    <row r="681" spans="5:5" x14ac:dyDescent="0.25">
      <c r="E681" s="65"/>
    </row>
    <row r="682" spans="5:5" x14ac:dyDescent="0.25">
      <c r="E682" s="65"/>
    </row>
    <row r="683" spans="5:5" x14ac:dyDescent="0.25">
      <c r="E683" s="65"/>
    </row>
    <row r="684" spans="5:5" x14ac:dyDescent="0.25">
      <c r="E684" s="65"/>
    </row>
    <row r="685" spans="5:5" x14ac:dyDescent="0.25">
      <c r="E685" s="65"/>
    </row>
    <row r="686" spans="5:5" x14ac:dyDescent="0.25">
      <c r="E686" s="65"/>
    </row>
    <row r="687" spans="5:5" x14ac:dyDescent="0.25">
      <c r="E687" s="65"/>
    </row>
    <row r="688" spans="5:5" x14ac:dyDescent="0.25">
      <c r="E688" s="65"/>
    </row>
    <row r="689" spans="5:5" x14ac:dyDescent="0.25">
      <c r="E689" s="65"/>
    </row>
    <row r="690" spans="5:5" x14ac:dyDescent="0.25">
      <c r="E690" s="65"/>
    </row>
    <row r="691" spans="5:5" x14ac:dyDescent="0.25">
      <c r="E691" s="65"/>
    </row>
    <row r="692" spans="5:5" x14ac:dyDescent="0.25">
      <c r="E692" s="65"/>
    </row>
    <row r="693" spans="5:5" x14ac:dyDescent="0.25">
      <c r="E693" s="65"/>
    </row>
    <row r="694" spans="5:5" x14ac:dyDescent="0.25">
      <c r="E694" s="65"/>
    </row>
    <row r="695" spans="5:5" x14ac:dyDescent="0.25">
      <c r="E695" s="65"/>
    </row>
    <row r="696" spans="5:5" x14ac:dyDescent="0.25">
      <c r="E696" s="65"/>
    </row>
    <row r="697" spans="5:5" x14ac:dyDescent="0.25">
      <c r="E697" s="65"/>
    </row>
    <row r="698" spans="5:5" x14ac:dyDescent="0.25">
      <c r="E698" s="65"/>
    </row>
    <row r="699" spans="5:5" x14ac:dyDescent="0.25">
      <c r="E699" s="65"/>
    </row>
    <row r="700" spans="5:5" x14ac:dyDescent="0.25">
      <c r="E700" s="65"/>
    </row>
    <row r="701" spans="5:5" x14ac:dyDescent="0.25">
      <c r="E701" s="65"/>
    </row>
    <row r="702" spans="5:5" x14ac:dyDescent="0.25">
      <c r="E702" s="65"/>
    </row>
    <row r="703" spans="5:5" x14ac:dyDescent="0.25">
      <c r="E703" s="65"/>
    </row>
    <row r="704" spans="5:5" x14ac:dyDescent="0.25">
      <c r="E704" s="65"/>
    </row>
    <row r="705" spans="5:5" x14ac:dyDescent="0.25">
      <c r="E705" s="65"/>
    </row>
    <row r="706" spans="5:5" x14ac:dyDescent="0.25">
      <c r="E706" s="65"/>
    </row>
    <row r="707" spans="5:5" x14ac:dyDescent="0.25">
      <c r="E707" s="65"/>
    </row>
    <row r="708" spans="5:5" x14ac:dyDescent="0.25">
      <c r="E708" s="65"/>
    </row>
    <row r="709" spans="5:5" x14ac:dyDescent="0.25">
      <c r="E709" s="65"/>
    </row>
    <row r="710" spans="5:5" x14ac:dyDescent="0.25">
      <c r="E710" s="65"/>
    </row>
    <row r="711" spans="5:5" x14ac:dyDescent="0.25">
      <c r="E711" s="65"/>
    </row>
    <row r="712" spans="5:5" x14ac:dyDescent="0.25">
      <c r="E712" s="65"/>
    </row>
    <row r="713" spans="5:5" x14ac:dyDescent="0.25">
      <c r="E713" s="65"/>
    </row>
    <row r="714" spans="5:5" x14ac:dyDescent="0.25">
      <c r="E714" s="65"/>
    </row>
    <row r="715" spans="5:5" x14ac:dyDescent="0.25">
      <c r="E715" s="65"/>
    </row>
    <row r="716" spans="5:5" x14ac:dyDescent="0.25">
      <c r="E716" s="65"/>
    </row>
    <row r="717" spans="5:5" x14ac:dyDescent="0.25">
      <c r="E717" s="65"/>
    </row>
    <row r="718" spans="5:5" x14ac:dyDescent="0.25">
      <c r="E718" s="65"/>
    </row>
    <row r="719" spans="5:5" x14ac:dyDescent="0.25">
      <c r="E719" s="65"/>
    </row>
    <row r="720" spans="5:5" x14ac:dyDescent="0.25">
      <c r="E720" s="65"/>
    </row>
    <row r="721" spans="5:5" x14ac:dyDescent="0.25">
      <c r="E721" s="65"/>
    </row>
    <row r="722" spans="5:5" x14ac:dyDescent="0.25">
      <c r="E722" s="65"/>
    </row>
    <row r="723" spans="5:5" x14ac:dyDescent="0.25">
      <c r="E723" s="65"/>
    </row>
    <row r="724" spans="5:5" x14ac:dyDescent="0.25">
      <c r="E724" s="65"/>
    </row>
    <row r="725" spans="5:5" x14ac:dyDescent="0.25">
      <c r="E725" s="65"/>
    </row>
    <row r="726" spans="5:5" x14ac:dyDescent="0.25">
      <c r="E726" s="65"/>
    </row>
    <row r="727" spans="5:5" x14ac:dyDescent="0.25">
      <c r="E727" s="65"/>
    </row>
    <row r="728" spans="5:5" x14ac:dyDescent="0.25">
      <c r="E728" s="65"/>
    </row>
    <row r="729" spans="5:5" x14ac:dyDescent="0.25">
      <c r="E729" s="65"/>
    </row>
    <row r="730" spans="5:5" x14ac:dyDescent="0.25">
      <c r="E730" s="65"/>
    </row>
    <row r="731" spans="5:5" x14ac:dyDescent="0.25">
      <c r="E731" s="65"/>
    </row>
    <row r="732" spans="5:5" x14ac:dyDescent="0.25">
      <c r="E732" s="65"/>
    </row>
    <row r="733" spans="5:5" x14ac:dyDescent="0.25">
      <c r="E733" s="65"/>
    </row>
    <row r="734" spans="5:5" x14ac:dyDescent="0.25">
      <c r="E734" s="65"/>
    </row>
    <row r="735" spans="5:5" x14ac:dyDescent="0.25">
      <c r="E735" s="65"/>
    </row>
    <row r="736" spans="5:5" x14ac:dyDescent="0.25">
      <c r="E736" s="65"/>
    </row>
    <row r="737" spans="5:5" x14ac:dyDescent="0.25">
      <c r="E737" s="65"/>
    </row>
    <row r="738" spans="5:5" x14ac:dyDescent="0.25">
      <c r="E738" s="65"/>
    </row>
    <row r="739" spans="5:5" x14ac:dyDescent="0.25">
      <c r="E739" s="65"/>
    </row>
    <row r="740" spans="5:5" x14ac:dyDescent="0.25">
      <c r="E740" s="65"/>
    </row>
    <row r="741" spans="5:5" x14ac:dyDescent="0.25">
      <c r="E741" s="65"/>
    </row>
    <row r="742" spans="5:5" x14ac:dyDescent="0.25">
      <c r="E742" s="65"/>
    </row>
    <row r="743" spans="5:5" x14ac:dyDescent="0.25">
      <c r="E743" s="65"/>
    </row>
    <row r="744" spans="5:5" x14ac:dyDescent="0.25">
      <c r="E744" s="65"/>
    </row>
    <row r="745" spans="5:5" x14ac:dyDescent="0.25">
      <c r="E745" s="65"/>
    </row>
    <row r="746" spans="5:5" x14ac:dyDescent="0.25">
      <c r="E746" s="65"/>
    </row>
    <row r="747" spans="5:5" x14ac:dyDescent="0.25">
      <c r="E747" s="65"/>
    </row>
    <row r="748" spans="5:5" x14ac:dyDescent="0.25">
      <c r="E748" s="65"/>
    </row>
    <row r="749" spans="5:5" x14ac:dyDescent="0.25">
      <c r="E749" s="65"/>
    </row>
    <row r="750" spans="5:5" x14ac:dyDescent="0.25">
      <c r="E750" s="65"/>
    </row>
    <row r="751" spans="5:5" x14ac:dyDescent="0.25">
      <c r="E751" s="65"/>
    </row>
    <row r="752" spans="5:5" x14ac:dyDescent="0.25">
      <c r="E752" s="65"/>
    </row>
    <row r="753" spans="5:5" x14ac:dyDescent="0.25">
      <c r="E753" s="65"/>
    </row>
    <row r="754" spans="5:5" x14ac:dyDescent="0.25">
      <c r="E754" s="65"/>
    </row>
    <row r="755" spans="5:5" x14ac:dyDescent="0.25">
      <c r="E755" s="65"/>
    </row>
    <row r="756" spans="5:5" x14ac:dyDescent="0.25">
      <c r="E756" s="65"/>
    </row>
    <row r="757" spans="5:5" x14ac:dyDescent="0.25">
      <c r="E757" s="65"/>
    </row>
    <row r="758" spans="5:5" x14ac:dyDescent="0.25">
      <c r="E758" s="65"/>
    </row>
    <row r="759" spans="5:5" x14ac:dyDescent="0.25">
      <c r="E759" s="65"/>
    </row>
    <row r="760" spans="5:5" x14ac:dyDescent="0.25">
      <c r="E760" s="65"/>
    </row>
    <row r="761" spans="5:5" x14ac:dyDescent="0.25">
      <c r="E761" s="65"/>
    </row>
    <row r="762" spans="5:5" x14ac:dyDescent="0.25">
      <c r="E762" s="65"/>
    </row>
    <row r="763" spans="5:5" x14ac:dyDescent="0.25">
      <c r="E763" s="65"/>
    </row>
    <row r="764" spans="5:5" x14ac:dyDescent="0.25">
      <c r="E764" s="65"/>
    </row>
    <row r="765" spans="5:5" x14ac:dyDescent="0.25">
      <c r="E765" s="65"/>
    </row>
    <row r="766" spans="5:5" x14ac:dyDescent="0.25">
      <c r="E766" s="65"/>
    </row>
    <row r="767" spans="5:5" x14ac:dyDescent="0.25">
      <c r="E767" s="65"/>
    </row>
    <row r="768" spans="5:5" x14ac:dyDescent="0.25">
      <c r="E768" s="65"/>
    </row>
    <row r="769" spans="5:5" x14ac:dyDescent="0.25">
      <c r="E769" s="65"/>
    </row>
    <row r="770" spans="5:5" x14ac:dyDescent="0.25">
      <c r="E770" s="65"/>
    </row>
    <row r="771" spans="5:5" x14ac:dyDescent="0.25">
      <c r="E771" s="65"/>
    </row>
    <row r="772" spans="5:5" x14ac:dyDescent="0.25">
      <c r="E772" s="65"/>
    </row>
    <row r="773" spans="5:5" x14ac:dyDescent="0.25">
      <c r="E773" s="65"/>
    </row>
    <row r="774" spans="5:5" x14ac:dyDescent="0.25">
      <c r="E774" s="65"/>
    </row>
    <row r="775" spans="5:5" x14ac:dyDescent="0.25">
      <c r="E775" s="65"/>
    </row>
    <row r="776" spans="5:5" x14ac:dyDescent="0.25">
      <c r="E776" s="65"/>
    </row>
    <row r="777" spans="5:5" x14ac:dyDescent="0.25">
      <c r="E777" s="65"/>
    </row>
    <row r="778" spans="5:5" x14ac:dyDescent="0.25">
      <c r="E778" s="65"/>
    </row>
    <row r="779" spans="5:5" x14ac:dyDescent="0.25">
      <c r="E779" s="65"/>
    </row>
    <row r="780" spans="5:5" x14ac:dyDescent="0.25">
      <c r="E780" s="65"/>
    </row>
    <row r="781" spans="5:5" x14ac:dyDescent="0.25">
      <c r="E781" s="65"/>
    </row>
    <row r="782" spans="5:5" x14ac:dyDescent="0.25">
      <c r="E782" s="65"/>
    </row>
    <row r="783" spans="5:5" x14ac:dyDescent="0.25">
      <c r="E783" s="65"/>
    </row>
    <row r="784" spans="5:5" x14ac:dyDescent="0.25">
      <c r="E784" s="65"/>
    </row>
    <row r="785" spans="5:5" x14ac:dyDescent="0.25">
      <c r="E785" s="65"/>
    </row>
    <row r="786" spans="5:5" x14ac:dyDescent="0.25">
      <c r="E786" s="65"/>
    </row>
    <row r="787" spans="5:5" x14ac:dyDescent="0.25">
      <c r="E787" s="65"/>
    </row>
    <row r="788" spans="5:5" x14ac:dyDescent="0.25">
      <c r="E788" s="65"/>
    </row>
    <row r="789" spans="5:5" x14ac:dyDescent="0.25">
      <c r="E789" s="65"/>
    </row>
    <row r="790" spans="5:5" x14ac:dyDescent="0.25">
      <c r="E790" s="65"/>
    </row>
    <row r="791" spans="5:5" x14ac:dyDescent="0.25">
      <c r="E791" s="65"/>
    </row>
    <row r="792" spans="5:5" x14ac:dyDescent="0.25">
      <c r="E792" s="65"/>
    </row>
    <row r="793" spans="5:5" x14ac:dyDescent="0.25">
      <c r="E793" s="65"/>
    </row>
    <row r="794" spans="5:5" x14ac:dyDescent="0.25">
      <c r="E794" s="65"/>
    </row>
    <row r="795" spans="5:5" x14ac:dyDescent="0.25">
      <c r="E795" s="65"/>
    </row>
    <row r="796" spans="5:5" x14ac:dyDescent="0.25">
      <c r="E796" s="65"/>
    </row>
    <row r="797" spans="5:5" x14ac:dyDescent="0.25">
      <c r="E797" s="65"/>
    </row>
    <row r="798" spans="5:5" x14ac:dyDescent="0.25">
      <c r="E798" s="65"/>
    </row>
    <row r="799" spans="5:5" x14ac:dyDescent="0.25">
      <c r="E799" s="65"/>
    </row>
    <row r="800" spans="5:5" x14ac:dyDescent="0.25">
      <c r="E800" s="65"/>
    </row>
    <row r="801" spans="5:5" x14ac:dyDescent="0.25">
      <c r="E801" s="65"/>
    </row>
    <row r="802" spans="5:5" x14ac:dyDescent="0.25">
      <c r="E802" s="65"/>
    </row>
    <row r="803" spans="5:5" x14ac:dyDescent="0.25">
      <c r="E803" s="65"/>
    </row>
    <row r="804" spans="5:5" x14ac:dyDescent="0.25">
      <c r="E804" s="65"/>
    </row>
    <row r="805" spans="5:5" x14ac:dyDescent="0.25">
      <c r="E805" s="65"/>
    </row>
    <row r="806" spans="5:5" x14ac:dyDescent="0.25">
      <c r="E806" s="65"/>
    </row>
    <row r="807" spans="5:5" x14ac:dyDescent="0.25">
      <c r="E807" s="65"/>
    </row>
    <row r="808" spans="5:5" x14ac:dyDescent="0.25">
      <c r="E808" s="65"/>
    </row>
    <row r="809" spans="5:5" x14ac:dyDescent="0.25">
      <c r="E809" s="65"/>
    </row>
    <row r="810" spans="5:5" x14ac:dyDescent="0.25">
      <c r="E810" s="65"/>
    </row>
    <row r="811" spans="5:5" x14ac:dyDescent="0.25">
      <c r="E811" s="65"/>
    </row>
    <row r="812" spans="5:5" x14ac:dyDescent="0.25">
      <c r="E812" s="65"/>
    </row>
    <row r="813" spans="5:5" x14ac:dyDescent="0.25">
      <c r="E813" s="65"/>
    </row>
    <row r="814" spans="5:5" x14ac:dyDescent="0.25">
      <c r="E814" s="65"/>
    </row>
    <row r="815" spans="5:5" x14ac:dyDescent="0.25">
      <c r="E815" s="65"/>
    </row>
  </sheetData>
  <mergeCells count="2">
    <mergeCell ref="A2:F2"/>
    <mergeCell ref="A3:F3"/>
  </mergeCells>
  <phoneticPr fontId="5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7AF28-389B-430C-B4D8-4F62DF5DF656}">
  <sheetPr codeName="Sheet8"/>
  <dimension ref="A1:G2"/>
  <sheetViews>
    <sheetView tabSelected="1" zoomScale="115" zoomScaleNormal="115" workbookViewId="0">
      <selection activeCell="C2" sqref="C2"/>
    </sheetView>
  </sheetViews>
  <sheetFormatPr defaultRowHeight="15" x14ac:dyDescent="0.25"/>
  <cols>
    <col min="1" max="1" width="18" style="37" customWidth="1"/>
    <col min="2" max="2" width="20.5703125" style="37" bestFit="1" customWidth="1"/>
    <col min="3" max="3" width="18.42578125" style="37" bestFit="1" customWidth="1"/>
    <col min="4" max="4" width="9.140625" style="37"/>
    <col min="5" max="5" width="25.5703125" bestFit="1" customWidth="1"/>
    <col min="7" max="7" width="9.140625" style="63"/>
  </cols>
  <sheetData>
    <row r="1" spans="1:5" ht="23.25" x14ac:dyDescent="0.25">
      <c r="A1" s="37">
        <v>1234567</v>
      </c>
      <c r="B1" s="37" t="s">
        <v>138</v>
      </c>
      <c r="C1" s="37" t="s">
        <v>139</v>
      </c>
      <c r="D1" s="37" t="s">
        <v>71</v>
      </c>
      <c r="E1" s="38" t="s">
        <v>117</v>
      </c>
    </row>
    <row r="2" spans="1:5" ht="21" x14ac:dyDescent="0.35">
      <c r="A2" s="37">
        <v>1234568</v>
      </c>
      <c r="B2" s="37" t="s">
        <v>138</v>
      </c>
      <c r="C2" s="37" t="s">
        <v>139</v>
      </c>
      <c r="D2" s="37" t="s">
        <v>71</v>
      </c>
      <c r="E2" s="39">
        <f>COUNTA(A:A)</f>
        <v>2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A7704-4B5C-4CE7-AD5D-8C5AE669ABF8}">
  <dimension ref="A1:Z1"/>
  <sheetViews>
    <sheetView zoomScale="70" zoomScaleNormal="70" workbookViewId="0">
      <selection activeCell="A2" sqref="A2:Z585"/>
    </sheetView>
  </sheetViews>
  <sheetFormatPr defaultRowHeight="15" x14ac:dyDescent="0.25"/>
  <cols>
    <col min="2" max="2" width="11.42578125" bestFit="1" customWidth="1"/>
    <col min="3" max="3" width="11.5703125" bestFit="1" customWidth="1"/>
    <col min="4" max="4" width="23.85546875" bestFit="1" customWidth="1"/>
    <col min="5" max="5" width="20" bestFit="1" customWidth="1"/>
    <col min="6" max="6" width="13.42578125" bestFit="1" customWidth="1"/>
    <col min="7" max="7" width="10.7109375" bestFit="1" customWidth="1"/>
    <col min="8" max="8" width="27.85546875" bestFit="1" customWidth="1"/>
    <col min="9" max="9" width="10.7109375" bestFit="1" customWidth="1"/>
    <col min="10" max="10" width="18.5703125" bestFit="1" customWidth="1"/>
    <col min="11" max="11" width="17.42578125" bestFit="1" customWidth="1"/>
    <col min="12" max="12" width="7.42578125" bestFit="1" customWidth="1"/>
    <col min="14" max="14" width="7.28515625" bestFit="1" customWidth="1"/>
    <col min="15" max="15" width="14.28515625" bestFit="1" customWidth="1"/>
    <col min="16" max="16" width="7.42578125" bestFit="1" customWidth="1"/>
    <col min="17" max="17" width="11.140625" bestFit="1" customWidth="1"/>
    <col min="18" max="18" width="18.140625" bestFit="1" customWidth="1"/>
    <col min="19" max="19" width="12.140625" bestFit="1" customWidth="1"/>
    <col min="20" max="20" width="12.42578125" bestFit="1" customWidth="1"/>
    <col min="21" max="21" width="11.140625" bestFit="1" customWidth="1"/>
    <col min="22" max="22" width="5.85546875" bestFit="1" customWidth="1"/>
    <col min="23" max="23" width="13" bestFit="1" customWidth="1"/>
    <col min="24" max="24" width="10" bestFit="1" customWidth="1"/>
    <col min="25" max="25" width="8.5703125" bestFit="1" customWidth="1"/>
  </cols>
  <sheetData>
    <row r="1" spans="1:26" x14ac:dyDescent="0.25">
      <c r="A1" t="s">
        <v>48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70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</row>
  </sheetData>
  <sortState xmlns:xlrd2="http://schemas.microsoft.com/office/spreadsheetml/2017/richdata2" ref="A2:Z587">
    <sortCondition ref="A1:A58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invoice</vt:lpstr>
      <vt:lpstr>asosiy</vt:lpstr>
      <vt:lpstr>tovar</vt:lpstr>
      <vt:lpstr>MANIFEST</vt:lpstr>
      <vt:lpstr>passport</vt:lpstr>
      <vt:lpstr>Sheet1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bekzod qodirov</dc:creator>
  <cp:lastModifiedBy>bekzod</cp:lastModifiedBy>
  <cp:lastPrinted>2020-10-22T12:38:57Z</cp:lastPrinted>
  <dcterms:created xsi:type="dcterms:W3CDTF">2015-06-05T18:17:20Z</dcterms:created>
  <dcterms:modified xsi:type="dcterms:W3CDTF">2021-07-04T13:15:07Z</dcterms:modified>
</cp:coreProperties>
</file>