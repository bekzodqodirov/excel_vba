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kzod\Desktop\"/>
    </mc:Choice>
  </mc:AlternateContent>
  <xr:revisionPtr revIDLastSave="0" documentId="13_ncr:1_{3EAEBCC3-2100-48B2-AA54-A0C29F21368B}" xr6:coauthVersionLast="45" xr6:coauthVersionMax="45" xr10:uidLastSave="{00000000-0000-0000-0000-000000000000}"/>
  <bookViews>
    <workbookView xWindow="-120" yWindow="-120" windowWidth="29040" windowHeight="15840" tabRatio="757" xr2:uid="{00000000-000D-0000-FFFF-FFFF00000000}"/>
  </bookViews>
  <sheets>
    <sheet name="raspakovka invoice" sheetId="1" r:id="rId1"/>
    <sheet name="price" sheetId="2" r:id="rId2"/>
    <sheet name="print" sheetId="5" r:id="rId3"/>
    <sheet name="passports" sheetId="8" r:id="rId4"/>
    <sheet name="toza price" sheetId="10" r:id="rId5"/>
    <sheet name="toza_invocie" sheetId="9" r:id="rId6"/>
  </sheets>
  <definedNames>
    <definedName name="_xlnm.Print_Area" localSheetId="2">print!$A$1:$E$48</definedName>
    <definedName name="_xlnm.Print_Area" localSheetId="0">'raspakovka invoice'!$B$1:$F$43</definedName>
    <definedName name="_xlnm.Print_Area" localSheetId="5">toza_invocie!$A$1:$G$44</definedName>
    <definedName name="region">#REF!</definedName>
    <definedName name="UserName">#REF!</definedName>
    <definedName name="UserTabl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1" i="1" l="1"/>
  <c r="E2" i="8" l="1"/>
  <c r="L23" i="1" l="1"/>
  <c r="L15" i="1"/>
  <c r="L13" i="1" s="1"/>
  <c r="L16" i="1"/>
  <c r="L9" i="1"/>
  <c r="C8" i="5" s="1"/>
  <c r="C19" i="5"/>
  <c r="C18" i="5"/>
  <c r="C20" i="5"/>
  <c r="D34" i="5"/>
  <c r="D33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17" i="5"/>
  <c r="C21" i="5"/>
  <c r="C22" i="5"/>
  <c r="C23" i="5"/>
  <c r="C24" i="5"/>
  <c r="C25" i="5"/>
  <c r="C26" i="5"/>
  <c r="C27" i="5"/>
  <c r="C28" i="5"/>
  <c r="C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16" i="5"/>
  <c r="L14" i="1" l="1"/>
  <c r="F12" i="1"/>
  <c r="F13" i="1"/>
  <c r="F14" i="1"/>
  <c r="F15" i="1"/>
  <c r="F16" i="1"/>
  <c r="D39" i="1" l="1"/>
  <c r="C46" i="5" s="1"/>
  <c r="L32" i="1"/>
  <c r="P15" i="9"/>
  <c r="P14" i="9"/>
  <c r="P13" i="9" l="1"/>
  <c r="P11" i="9"/>
  <c r="P10" i="9"/>
  <c r="P9" i="9"/>
  <c r="P7" i="9"/>
  <c r="P6" i="9"/>
  <c r="G39" i="9" l="1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40" i="9" l="1"/>
  <c r="C10" i="5" l="1"/>
  <c r="L25" i="1" l="1"/>
  <c r="L27" i="1"/>
  <c r="L8" i="1" l="1"/>
  <c r="D4" i="5" s="1"/>
  <c r="F30" i="1"/>
  <c r="F31" i="1"/>
  <c r="F32" i="1"/>
  <c r="F33" i="1"/>
  <c r="F34" i="1"/>
  <c r="F35" i="1"/>
  <c r="F36" i="1"/>
  <c r="F37" i="1"/>
  <c r="F38" i="1"/>
  <c r="C13" i="5"/>
  <c r="L21" i="1"/>
  <c r="L18" i="1"/>
  <c r="L19" i="1"/>
  <c r="M14" i="1" l="1"/>
  <c r="C11" i="5" s="1"/>
  <c r="C12" i="5"/>
  <c r="F8" i="1"/>
  <c r="E16" i="5" s="1"/>
  <c r="F9" i="1"/>
  <c r="F10" i="1"/>
  <c r="F11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9" i="1" l="1"/>
  <c r="D26" i="5" l="1"/>
  <c r="D27" i="5"/>
  <c r="D17" i="5"/>
  <c r="D18" i="5"/>
  <c r="D19" i="5"/>
  <c r="D20" i="5"/>
  <c r="D21" i="5"/>
  <c r="D22" i="5"/>
  <c r="D23" i="5"/>
  <c r="D24" i="5"/>
  <c r="D25" i="5"/>
  <c r="D28" i="5"/>
  <c r="D29" i="5"/>
  <c r="D30" i="5"/>
  <c r="D31" i="5"/>
  <c r="D32" i="5"/>
  <c r="D35" i="5"/>
  <c r="D36" i="5"/>
  <c r="D37" i="5"/>
  <c r="D38" i="5"/>
  <c r="D39" i="5"/>
  <c r="D40" i="5"/>
  <c r="D41" i="5"/>
  <c r="D42" i="5"/>
  <c r="D43" i="5"/>
  <c r="D44" i="5"/>
  <c r="D45" i="5"/>
  <c r="D16" i="5"/>
  <c r="E26" i="5" l="1"/>
  <c r="E18" i="5" l="1"/>
  <c r="E19" i="5"/>
  <c r="E20" i="5"/>
  <c r="E21" i="5"/>
  <c r="E22" i="5"/>
  <c r="E23" i="5"/>
  <c r="E24" i="5"/>
  <c r="E25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17" i="5" l="1"/>
  <c r="E46" i="5" s="1"/>
</calcChain>
</file>

<file path=xl/sharedStrings.xml><?xml version="1.0" encoding="utf-8"?>
<sst xmlns="http://schemas.openxmlformats.org/spreadsheetml/2006/main" count="136" uniqueCount="89">
  <si>
    <t>#</t>
  </si>
  <si>
    <t>name of items for cargo manifest submission</t>
  </si>
  <si>
    <t>Ф.И.О ОТПРАВИТЕЛЯ :</t>
  </si>
  <si>
    <t>ПОЧТА ОТПРАВЛЯЕТСЯ К:</t>
  </si>
  <si>
    <t>Ф.И.О ПОЛУЧИТЕЛЯ:</t>
  </si>
  <si>
    <t>ПАССПОРТ No:</t>
  </si>
  <si>
    <t>АДРЕС ПОЛУЧАТЕЛЯ  (ОБЛАСТЬ):</t>
  </si>
  <si>
    <t>ТЕЛЕФОН НОМЕР:</t>
  </si>
  <si>
    <t>КОЛИЧЕСТВО</t>
  </si>
  <si>
    <t>НАИМОВАНИЯ</t>
  </si>
  <si>
    <t>ЦЕНА</t>
  </si>
  <si>
    <t>ОБЩАЯ ЦЕНА</t>
  </si>
  <si>
    <t>INVOICE No</t>
  </si>
  <si>
    <t>NAME/                                                                               НАИМОВАНИЯ</t>
  </si>
  <si>
    <t>TOTAL/                                СУММАРНЫЙ</t>
  </si>
  <si>
    <t>SENDER NAME</t>
  </si>
  <si>
    <t>SENDER PHONE</t>
  </si>
  <si>
    <t>RECIVER NAME</t>
  </si>
  <si>
    <t>REC PASSWORD SER</t>
  </si>
  <si>
    <t>REC PASSWORD NUM</t>
  </si>
  <si>
    <t>REC PHONE 1</t>
  </si>
  <si>
    <t>REC PHONE 2</t>
  </si>
  <si>
    <t xml:space="preserve">QUANTITY </t>
  </si>
  <si>
    <t>TOSHKENT SHAXAR</t>
  </si>
  <si>
    <t>TOSHKENT VILOYAT</t>
  </si>
  <si>
    <t>OG`IRLIGI(KG)</t>
  </si>
  <si>
    <t>INVOICE No_</t>
  </si>
  <si>
    <t>AC</t>
  </si>
  <si>
    <t>passportlar soni</t>
  </si>
  <si>
    <t>COPYA SONI:</t>
  </si>
  <si>
    <t>KILO(KG)</t>
  </si>
  <si>
    <t>RASPAKOVKA:</t>
  </si>
  <si>
    <t>today data</t>
  </si>
  <si>
    <t>karobka soni</t>
  </si>
  <si>
    <t>raspakovka nomi</t>
  </si>
  <si>
    <t>copya soni</t>
  </si>
  <si>
    <t>ANDIJON VIOYATI</t>
  </si>
  <si>
    <t>BUXORO VIOYATI</t>
  </si>
  <si>
    <t>JIZZAX VIOYATI</t>
  </si>
  <si>
    <t>QASHQADARYO VIOYATI</t>
  </si>
  <si>
    <t>NAVOIY VIOYATI</t>
  </si>
  <si>
    <t>NAMANGAN VIOYATI</t>
  </si>
  <si>
    <t>SAMARQAND VIOYATI</t>
  </si>
  <si>
    <t>SURXONDARYO VIOYATI</t>
  </si>
  <si>
    <t>SIRDARYO VIOYATI</t>
  </si>
  <si>
    <t>FARGONA VIOYATI</t>
  </si>
  <si>
    <t>XORAZM VIOYATI</t>
  </si>
  <si>
    <t>QORAQALPOQ VIOYATI</t>
  </si>
  <si>
    <t>REC REGION</t>
  </si>
  <si>
    <t>SENDER PASS NUM</t>
  </si>
  <si>
    <t>weight</t>
  </si>
  <si>
    <t>kg</t>
  </si>
  <si>
    <t>ADRES</t>
  </si>
  <si>
    <t>raspakovka</t>
  </si>
  <si>
    <t>date</t>
  </si>
  <si>
    <t>ТЕЛЕФОН НОМЕР :</t>
  </si>
  <si>
    <t>ПОЛНЫЙ АДРЕС:</t>
  </si>
  <si>
    <t>УСЛОВИЯ ПОСТАВКИ</t>
  </si>
  <si>
    <t>ВЕС БРУТТО</t>
  </si>
  <si>
    <t>СУММАРНЫЙ</t>
  </si>
  <si>
    <t>turkey name</t>
  </si>
  <si>
    <t>turkeynumber</t>
  </si>
  <si>
    <t>uzb name</t>
  </si>
  <si>
    <t>uzb phone</t>
  </si>
  <si>
    <t>uzb adress</t>
  </si>
  <si>
    <t>invoice</t>
  </si>
  <si>
    <t>adress</t>
  </si>
  <si>
    <t>isim familiya</t>
  </si>
  <si>
    <t>qarshi odama</t>
  </si>
  <si>
    <t>telefon nomer</t>
  </si>
  <si>
    <t>invoice  yozilgan kun</t>
  </si>
  <si>
    <t>No</t>
  </si>
  <si>
    <r>
      <rPr>
        <b/>
        <sz val="11"/>
        <color theme="1"/>
        <rFont val="Calibri"/>
        <family val="2"/>
        <scheme val="minor"/>
      </rPr>
      <t>SHIPPER’S or SENDER’S SIGNATURE AND STAMP/ПОДПИСЬ И ПЕЧАТЬ ОТПРАВИТЕЛЯ</t>
    </r>
    <r>
      <rPr>
        <sz val="10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>DATE/ДАТА</t>
    </r>
    <r>
      <rPr>
        <sz val="10"/>
        <color theme="1"/>
        <rFont val="Calibri"/>
        <family val="2"/>
        <scheme val="minor"/>
      </rPr>
      <t xml:space="preserve">   ____________________________________________________________________________Declaration Statement: I hereby certify that the information on this invoice is true and correct and the contents and value of this 
</t>
    </r>
  </si>
  <si>
    <t>nargiza</t>
  </si>
  <si>
    <t>obiv</t>
  </si>
  <si>
    <t>mayka</t>
  </si>
  <si>
    <t>shim</t>
  </si>
  <si>
    <t>dvoyka</t>
  </si>
  <si>
    <t>det rubashka</t>
  </si>
  <si>
    <t>today`s date</t>
  </si>
  <si>
    <t>Thu, 19 Nov 2020 22:47:35 GMT</t>
  </si>
  <si>
    <t>1234567</t>
  </si>
  <si>
    <t>kimdurova</t>
  </si>
  <si>
    <t>kimdur</t>
  </si>
  <si>
    <t>1234568</t>
  </si>
  <si>
    <t>1234569</t>
  </si>
  <si>
    <t>1234570</t>
  </si>
  <si>
    <t>1234571</t>
  </si>
  <si>
    <t xml:space="preserve">toshektn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</si>
</sst>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"/>
    <numFmt numFmtId="165" formatCode="[$-409]d\-mmm;@"/>
    <numFmt numFmtId="166" formatCode="&quot;$&quot;#,##0.0"/>
    <numFmt numFmtId="167" formatCode="[$-409]mmmm\ d\,\ yyyy;@"/>
    <numFmt numFmtId="168" formatCode="[$-409]m/d/yy\ h:mm\ AM/PM;@"/>
    <numFmt numFmtId="169" formatCode="[$-F800]dddd\,\ mmmm\ dd\,\ yyyy"/>
  </numFmts>
  <fonts count="4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34"/>
      <name val="Calibri"/>
      <family val="2"/>
      <scheme val="minor"/>
    </font>
    <font>
      <sz val="8"/>
      <name val="Calibri"/>
      <family val="2"/>
      <scheme val="minor"/>
    </font>
    <font>
      <sz val="10"/>
      <color indexed="8"/>
      <name val="Arial"/>
      <family val="2"/>
    </font>
    <font>
      <b/>
      <sz val="34"/>
      <color rgb="FFFF0000"/>
      <name val="Baskerville Old Face"/>
      <family val="1"/>
    </font>
    <font>
      <b/>
      <sz val="14"/>
      <color theme="1"/>
      <name val="Bahnschrift SemiBold SemiConden"/>
      <family val="2"/>
    </font>
    <font>
      <b/>
      <sz val="12"/>
      <color theme="1"/>
      <name val="Bahnschrift SemiBold SemiConden"/>
      <family val="2"/>
    </font>
    <font>
      <b/>
      <sz val="14"/>
      <color rgb="FFFF0000"/>
      <name val="Bahnschrift SemiBold SemiConden"/>
      <family val="2"/>
    </font>
    <font>
      <b/>
      <sz val="12"/>
      <color rgb="FFFF00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72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4"/>
      <color theme="1"/>
      <name val="Calibri"/>
      <family val="2"/>
      <scheme val="minor"/>
    </font>
    <font>
      <b/>
      <sz val="24"/>
      <color theme="1"/>
      <name val="Calibri Light"/>
      <family val="2"/>
      <scheme val="major"/>
    </font>
    <font>
      <b/>
      <i/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8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ourier New"/>
      <family val="3"/>
    </font>
    <font>
      <sz val="11"/>
      <name val="Calibri"/>
      <family val="2"/>
    </font>
    <font>
      <b/>
      <sz val="11"/>
      <name val="Calibri"/>
      <family val="2"/>
      <scheme val="minor"/>
    </font>
    <font>
      <b/>
      <sz val="35"/>
      <color rgb="FFFF0000"/>
      <name val="Century"/>
      <family val="1"/>
    </font>
    <font>
      <b/>
      <sz val="48"/>
      <color rgb="FFFF0000"/>
      <name val="Baskerville Old Face"/>
      <family val="1"/>
    </font>
    <font>
      <b/>
      <sz val="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/>
    <xf numFmtId="0" fontId="13" fillId="3" borderId="5" applyNumberFormat="0" applyAlignment="0" applyProtection="0"/>
  </cellStyleXfs>
  <cellXfs count="146">
    <xf numFmtId="0" fontId="0" fillId="0" borderId="0" xfId="0"/>
    <xf numFmtId="0" fontId="0" fillId="0" borderId="0" xfId="0" applyAlignment="1" applyProtection="1">
      <alignment horizontal="center" vertical="center"/>
    </xf>
    <xf numFmtId="0" fontId="0" fillId="0" borderId="0" xfId="0" applyProtection="1"/>
    <xf numFmtId="0" fontId="0" fillId="0" borderId="0" xfId="0" applyBorder="1" applyAlignment="1" applyProtection="1">
      <alignment horizontal="center" vertical="center"/>
    </xf>
    <xf numFmtId="0" fontId="5" fillId="0" borderId="0" xfId="0" applyFont="1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0" xfId="0" applyAlignment="1" applyProtection="1"/>
    <xf numFmtId="0" fontId="0" fillId="0" borderId="1" xfId="0" applyBorder="1" applyAlignment="1" applyProtection="1">
      <alignment vertical="center"/>
    </xf>
    <xf numFmtId="0" fontId="9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center" vertical="center" wrapText="1"/>
    </xf>
    <xf numFmtId="165" fontId="0" fillId="0" borderId="1" xfId="0" applyNumberFormat="1" applyBorder="1" applyAlignment="1">
      <alignment horizontal="center" vertical="center" wrapText="1"/>
    </xf>
    <xf numFmtId="165" fontId="10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2" fontId="10" fillId="0" borderId="1" xfId="0" applyNumberFormat="1" applyFon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15" fillId="0" borderId="0" xfId="0" applyFont="1"/>
    <xf numFmtId="0" fontId="15" fillId="4" borderId="0" xfId="0" applyFont="1" applyFill="1"/>
    <xf numFmtId="0" fontId="15" fillId="5" borderId="0" xfId="0" applyFont="1" applyFill="1"/>
    <xf numFmtId="0" fontId="17" fillId="0" borderId="0" xfId="0" applyFont="1" applyProtection="1"/>
    <xf numFmtId="0" fontId="0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5" fillId="0" borderId="0" xfId="0" applyFont="1" applyAlignment="1" applyProtection="1">
      <alignment horizontal="center" vertical="center"/>
      <protection locked="0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Fill="1" applyBorder="1" applyAlignment="1">
      <alignment horizontal="left" vertical="center"/>
    </xf>
    <xf numFmtId="0" fontId="22" fillId="2" borderId="1" xfId="2" applyFont="1" applyFill="1" applyBorder="1" applyAlignment="1" applyProtection="1">
      <alignment horizontal="center" vertical="center" wrapText="1"/>
    </xf>
    <xf numFmtId="0" fontId="22" fillId="2" borderId="11" xfId="2" applyFont="1" applyFill="1" applyBorder="1" applyAlignment="1" applyProtection="1">
      <alignment horizontal="center" vertical="center"/>
    </xf>
    <xf numFmtId="0" fontId="23" fillId="2" borderId="11" xfId="2" applyFont="1" applyFill="1" applyBorder="1" applyAlignment="1" applyProtection="1">
      <alignment horizontal="center" vertical="center"/>
      <protection locked="0"/>
    </xf>
    <xf numFmtId="1" fontId="22" fillId="2" borderId="11" xfId="2" applyNumberFormat="1" applyFont="1" applyFill="1" applyBorder="1" applyAlignment="1" applyProtection="1">
      <alignment horizontal="center" vertical="center"/>
      <protection locked="0"/>
    </xf>
    <xf numFmtId="0" fontId="22" fillId="2" borderId="5" xfId="2" applyFont="1" applyFill="1" applyAlignment="1" applyProtection="1">
      <alignment horizontal="center" vertical="center"/>
    </xf>
    <xf numFmtId="0" fontId="22" fillId="2" borderId="5" xfId="2" applyFont="1" applyFill="1" applyAlignment="1" applyProtection="1">
      <alignment horizontal="center" vertical="center"/>
      <protection locked="0"/>
    </xf>
    <xf numFmtId="0" fontId="22" fillId="2" borderId="5" xfId="2" applyFont="1" applyFill="1" applyAlignment="1" applyProtection="1">
      <alignment horizontal="center" vertical="center" wrapText="1"/>
    </xf>
    <xf numFmtId="2" fontId="24" fillId="2" borderId="5" xfId="2" applyNumberFormat="1" applyFont="1" applyFill="1" applyAlignment="1" applyProtection="1">
      <alignment horizontal="center" vertical="center"/>
    </xf>
    <xf numFmtId="164" fontId="22" fillId="2" borderId="5" xfId="2" applyNumberFormat="1" applyFont="1" applyFill="1" applyAlignment="1" applyProtection="1">
      <alignment horizontal="center" vertical="center"/>
    </xf>
    <xf numFmtId="164" fontId="23" fillId="2" borderId="5" xfId="2" applyNumberFormat="1" applyFont="1" applyFill="1" applyAlignment="1" applyProtection="1">
      <alignment horizontal="center" vertical="center"/>
    </xf>
    <xf numFmtId="0" fontId="21" fillId="0" borderId="0" xfId="0" applyFont="1" applyAlignment="1">
      <alignment horizontal="center" vertical="center"/>
    </xf>
    <xf numFmtId="14" fontId="22" fillId="0" borderId="0" xfId="0" applyNumberFormat="1" applyFont="1" applyAlignment="1">
      <alignment horizontal="center" vertical="center"/>
    </xf>
    <xf numFmtId="167" fontId="25" fillId="0" borderId="0" xfId="0" applyNumberFormat="1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49" fontId="26" fillId="0" borderId="0" xfId="0" applyNumberFormat="1" applyFont="1" applyFill="1" applyBorder="1" applyAlignment="1">
      <alignment horizontal="center"/>
    </xf>
    <xf numFmtId="0" fontId="3" fillId="0" borderId="1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27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2" fillId="0" borderId="1" xfId="0" applyFont="1" applyBorder="1" applyAlignment="1" applyProtection="1">
      <alignment horizontal="center" vertical="center" wrapText="1"/>
    </xf>
    <xf numFmtId="0" fontId="26" fillId="0" borderId="0" xfId="0" applyFont="1" applyProtection="1"/>
    <xf numFmtId="0" fontId="26" fillId="0" borderId="0" xfId="0" applyFont="1" applyAlignment="1" applyProtection="1">
      <alignment horizontal="center" vertical="center"/>
    </xf>
    <xf numFmtId="0" fontId="28" fillId="0" borderId="0" xfId="0" applyFont="1" applyBorder="1" applyAlignment="1" applyProtection="1">
      <alignment vertical="center" wrapText="1"/>
    </xf>
    <xf numFmtId="0" fontId="26" fillId="0" borderId="0" xfId="0" applyFont="1" applyBorder="1" applyAlignment="1" applyProtection="1">
      <alignment horizontal="center" vertical="center"/>
    </xf>
    <xf numFmtId="0" fontId="26" fillId="0" borderId="1" xfId="0" applyFont="1" applyBorder="1" applyAlignment="1" applyProtection="1">
      <alignment horizontal="center" vertical="center"/>
    </xf>
    <xf numFmtId="0" fontId="31" fillId="0" borderId="1" xfId="0" applyFont="1" applyBorder="1" applyAlignment="1" applyProtection="1">
      <alignment horizontal="center" vertical="center"/>
    </xf>
    <xf numFmtId="0" fontId="26" fillId="0" borderId="0" xfId="0" applyFont="1" applyBorder="1" applyAlignment="1" applyProtection="1"/>
    <xf numFmtId="0" fontId="26" fillId="0" borderId="1" xfId="0" applyFont="1" applyBorder="1" applyAlignment="1" applyProtection="1">
      <alignment horizontal="center"/>
    </xf>
    <xf numFmtId="164" fontId="3" fillId="0" borderId="1" xfId="0" applyNumberFormat="1" applyFont="1" applyBorder="1" applyAlignment="1" applyProtection="1">
      <alignment horizontal="center" vertical="center"/>
    </xf>
    <xf numFmtId="0" fontId="26" fillId="0" borderId="0" xfId="0" applyFont="1" applyFill="1" applyBorder="1" applyAlignment="1">
      <alignment horizontal="center"/>
    </xf>
    <xf numFmtId="0" fontId="26" fillId="0" borderId="0" xfId="0" applyFont="1" applyBorder="1" applyAlignment="1" applyProtection="1">
      <alignment horizontal="right" vertical="center"/>
    </xf>
    <xf numFmtId="0" fontId="30" fillId="0" borderId="0" xfId="1" applyFont="1" applyFill="1" applyBorder="1" applyAlignment="1" applyProtection="1">
      <alignment horizontal="center" vertical="center" wrapText="1"/>
    </xf>
    <xf numFmtId="0" fontId="26" fillId="0" borderId="0" xfId="0" applyFont="1" applyFill="1" applyBorder="1" applyAlignment="1" applyProtection="1">
      <alignment horizontal="center" vertical="center"/>
    </xf>
    <xf numFmtId="2" fontId="3" fillId="0" borderId="1" xfId="0" applyNumberFormat="1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</xf>
    <xf numFmtId="0" fontId="5" fillId="0" borderId="0" xfId="0" applyFont="1" applyAlignment="1" applyProtection="1">
      <alignment vertical="center"/>
    </xf>
    <xf numFmtId="0" fontId="0" fillId="0" borderId="0" xfId="0" applyAlignment="1" applyProtection="1">
      <alignment vertical="center"/>
    </xf>
    <xf numFmtId="0" fontId="32" fillId="0" borderId="0" xfId="0" applyFont="1" applyAlignment="1" applyProtection="1">
      <alignment vertical="center"/>
    </xf>
    <xf numFmtId="0" fontId="0" fillId="0" borderId="1" xfId="0" applyBorder="1" applyProtection="1"/>
    <xf numFmtId="0" fontId="34" fillId="0" borderId="1" xfId="0" applyFont="1" applyBorder="1" applyAlignment="1" applyProtection="1">
      <alignment horizontal="center" vertical="center" wrapText="1"/>
    </xf>
    <xf numFmtId="0" fontId="0" fillId="6" borderId="1" xfId="0" applyFill="1" applyBorder="1" applyAlignment="1" applyProtection="1">
      <alignment vertical="center"/>
    </xf>
    <xf numFmtId="0" fontId="2" fillId="6" borderId="1" xfId="0" applyFont="1" applyFill="1" applyBorder="1" applyAlignment="1" applyProtection="1">
      <alignment horizontal="center" vertical="center" wrapText="1"/>
    </xf>
    <xf numFmtId="0" fontId="3" fillId="6" borderId="1" xfId="0" applyFont="1" applyFill="1" applyBorder="1" applyAlignment="1" applyProtection="1">
      <alignment horizontal="center" vertical="center"/>
    </xf>
    <xf numFmtId="0" fontId="36" fillId="0" borderId="0" xfId="0" applyFont="1" applyAlignment="1">
      <alignment horizontal="center" vertical="center"/>
    </xf>
    <xf numFmtId="0" fontId="35" fillId="0" borderId="14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2" fillId="0" borderId="1" xfId="0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6" xfId="0" applyFill="1" applyBorder="1" applyProtection="1"/>
    <xf numFmtId="0" fontId="0" fillId="0" borderId="1" xfId="0" applyFill="1" applyBorder="1" applyProtection="1"/>
    <xf numFmtId="14" fontId="0" fillId="0" borderId="0" xfId="0" applyNumberFormat="1" applyProtection="1"/>
    <xf numFmtId="14" fontId="35" fillId="0" borderId="15" xfId="0" applyNumberFormat="1" applyFont="1" applyBorder="1" applyAlignment="1">
      <alignment horizontal="center" vertical="center" wrapText="1"/>
    </xf>
    <xf numFmtId="1" fontId="0" fillId="0" borderId="1" xfId="0" applyNumberFormat="1" applyBorder="1" applyProtection="1"/>
    <xf numFmtId="2" fontId="0" fillId="0" borderId="1" xfId="0" applyNumberFormat="1" applyBorder="1" applyProtection="1"/>
    <xf numFmtId="49" fontId="35" fillId="0" borderId="15" xfId="0" applyNumberFormat="1" applyFont="1" applyBorder="1" applyAlignment="1">
      <alignment horizontal="center" vertical="center" wrapText="1"/>
    </xf>
    <xf numFmtId="0" fontId="26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1" applyFont="1" applyFill="1" applyBorder="1" applyAlignment="1" applyProtection="1">
      <alignment horizontal="center" vertical="center" wrapText="1"/>
      <protection locked="0"/>
    </xf>
    <xf numFmtId="14" fontId="30" fillId="0" borderId="1" xfId="1" applyNumberFormat="1" applyFont="1" applyFill="1" applyBorder="1" applyAlignment="1" applyProtection="1">
      <alignment horizontal="center" vertical="center" wrapText="1"/>
      <protection locked="0"/>
    </xf>
    <xf numFmtId="166" fontId="30" fillId="0" borderId="1" xfId="1" applyNumberFormat="1" applyFont="1" applyFill="1" applyBorder="1" applyAlignment="1" applyProtection="1">
      <alignment horizontal="center" vertical="center" wrapText="1"/>
      <protection locked="0"/>
    </xf>
    <xf numFmtId="2" fontId="30" fillId="0" borderId="1" xfId="1" applyNumberFormat="1" applyFont="1" applyFill="1" applyBorder="1" applyAlignment="1" applyProtection="1">
      <alignment horizontal="center" vertical="center" wrapText="1"/>
      <protection locked="0"/>
    </xf>
    <xf numFmtId="3" fontId="30" fillId="0" borderId="1" xfId="1" applyNumberFormat="1" applyFont="1" applyFill="1" applyBorder="1" applyAlignment="1" applyProtection="1">
      <alignment horizontal="center" vertical="center" wrapText="1"/>
      <protection locked="0"/>
    </xf>
    <xf numFmtId="1" fontId="30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39" fillId="0" borderId="1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8" fontId="0" fillId="0" borderId="0" xfId="0" applyNumberFormat="1"/>
    <xf numFmtId="169" fontId="27" fillId="0" borderId="0" xfId="0" applyNumberFormat="1" applyFont="1" applyFill="1" applyBorder="1" applyAlignment="1">
      <alignment horizontal="center" vertical="center"/>
    </xf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15" fillId="0" borderId="0" xfId="0" applyFont="1" applyAlignment="1" applyProtection="1">
      <alignment horizontal="center" vertical="center"/>
    </xf>
    <xf numFmtId="0" fontId="15" fillId="0" borderId="6" xfId="0" applyFont="1" applyBorder="1" applyAlignment="1" applyProtection="1">
      <alignment horizontal="center" vertical="center"/>
    </xf>
    <xf numFmtId="0" fontId="15" fillId="0" borderId="4" xfId="0" applyFont="1" applyBorder="1" applyAlignment="1" applyProtection="1">
      <alignment horizontal="center" vertical="center"/>
    </xf>
    <xf numFmtId="0" fontId="15" fillId="0" borderId="7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center" vertical="center"/>
      <protection locked="0"/>
    </xf>
    <xf numFmtId="0" fontId="8" fillId="0" borderId="12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8" fillId="0" borderId="10" xfId="0" applyFont="1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13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2" fontId="3" fillId="0" borderId="2" xfId="0" applyNumberFormat="1" applyFont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15" fillId="0" borderId="1" xfId="0" applyFont="1" applyBorder="1" applyAlignment="1" applyProtection="1">
      <alignment horizontal="center" vertical="center"/>
      <protection locked="0"/>
    </xf>
    <xf numFmtId="0" fontId="16" fillId="0" borderId="0" xfId="0" applyFont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0" fillId="0" borderId="1" xfId="0" applyFont="1" applyBorder="1" applyAlignment="1">
      <alignment horizontal="center" vertical="center" wrapText="1"/>
    </xf>
    <xf numFmtId="1" fontId="1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15" fillId="0" borderId="2" xfId="0" applyFont="1" applyFill="1" applyBorder="1" applyAlignment="1" applyProtection="1">
      <alignment horizontal="center" vertical="center"/>
      <protection locked="0"/>
    </xf>
    <xf numFmtId="0" fontId="15" fillId="0" borderId="13" xfId="0" applyFont="1" applyFill="1" applyBorder="1" applyAlignment="1" applyProtection="1">
      <alignment horizontal="center" vertical="center"/>
      <protection locked="0"/>
    </xf>
    <xf numFmtId="0" fontId="15" fillId="0" borderId="3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left" vertical="center"/>
    </xf>
    <xf numFmtId="2" fontId="37" fillId="6" borderId="2" xfId="0" applyNumberFormat="1" applyFont="1" applyFill="1" applyBorder="1" applyAlignment="1" applyProtection="1">
      <alignment horizontal="center" vertical="center"/>
      <protection locked="0"/>
    </xf>
    <xf numFmtId="2" fontId="37" fillId="6" borderId="13" xfId="0" applyNumberFormat="1" applyFont="1" applyFill="1" applyBorder="1" applyAlignment="1" applyProtection="1">
      <alignment horizontal="center" vertical="center"/>
      <protection locked="0"/>
    </xf>
    <xf numFmtId="2" fontId="37" fillId="6" borderId="3" xfId="0" applyNumberFormat="1" applyFont="1" applyFill="1" applyBorder="1" applyAlignment="1" applyProtection="1">
      <alignment horizontal="center" vertical="center"/>
      <protection locked="0"/>
    </xf>
    <xf numFmtId="0" fontId="2" fillId="6" borderId="1" xfId="0" applyFont="1" applyFill="1" applyBorder="1" applyAlignment="1" applyProtection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38" fillId="0" borderId="12" xfId="0" applyFont="1" applyBorder="1" applyAlignment="1" applyProtection="1">
      <alignment horizontal="center" wrapText="1"/>
    </xf>
    <xf numFmtId="0" fontId="0" fillId="0" borderId="12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33" fillId="0" borderId="0" xfId="0" applyFont="1" applyAlignment="1" applyProtection="1">
      <alignment horizontal="center" vertical="center"/>
      <protection locked="0"/>
    </xf>
    <xf numFmtId="0" fontId="2" fillId="6" borderId="2" xfId="0" applyFont="1" applyFill="1" applyBorder="1" applyAlignment="1" applyProtection="1">
      <alignment horizontal="center" vertical="center" wrapText="1"/>
    </xf>
    <xf numFmtId="0" fontId="2" fillId="6" borderId="13" xfId="0" applyFont="1" applyFill="1" applyBorder="1" applyAlignment="1" applyProtection="1">
      <alignment horizontal="center" vertical="center" wrapText="1"/>
    </xf>
    <xf numFmtId="0" fontId="2" fillId="6" borderId="3" xfId="0" applyFont="1" applyFill="1" applyBorder="1" applyAlignment="1" applyProtection="1">
      <alignment horizontal="center" vertical="center" wrapText="1"/>
    </xf>
  </cellXfs>
  <cellStyles count="3">
    <cellStyle name="Normal" xfId="0" builtinId="0"/>
    <cellStyle name="Normal_invoice_1" xfId="1" xr:uid="{3F7608A7-80EA-471E-ADD6-5A3CAE0E807A}"/>
    <cellStyle name="Output" xfId="2" builtinId="21"/>
  </cellStyles>
  <dxfs count="8"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E1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annyadam.com/blog/2011/10/os-x-finder-shortcuts/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dannyadam.com/blog/2011/10/os-x-finder-shortcuts/" TargetMode="External"/><Relationship Id="rId1" Type="http://schemas.openxmlformats.org/officeDocument/2006/relationships/image" Target="../media/image1.png"/><Relationship Id="rId4" Type="http://schemas.openxmlformats.org/officeDocument/2006/relationships/hyperlink" Target="https://commons.wikimedia.org/wiki/File:Power_Clean_Ico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407102</xdr:colOff>
      <xdr:row>1</xdr:row>
      <xdr:rowOff>4558</xdr:rowOff>
    </xdr:from>
    <xdr:to>
      <xdr:col>9</xdr:col>
      <xdr:colOff>64068</xdr:colOff>
      <xdr:row>4</xdr:row>
      <xdr:rowOff>27474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B13A01F-736B-444B-838C-2F11D2A9179E}"/>
            </a:ext>
          </a:extLst>
        </xdr:cNvPr>
        <xdr:cNvGrpSpPr/>
      </xdr:nvGrpSpPr>
      <xdr:grpSpPr>
        <a:xfrm>
          <a:off x="7836602" y="129116"/>
          <a:ext cx="1466716" cy="645704"/>
          <a:chOff x="6410325" y="1895475"/>
          <a:chExt cx="1323975" cy="476250"/>
        </a:xfrm>
      </xdr:grpSpPr>
      <xdr:sp macro="[0]!new_list" textlink="">
        <xdr:nvSpPr>
          <xdr:cNvPr id="30" name="Rectangle 29">
            <a:extLst>
              <a:ext uri="{FF2B5EF4-FFF2-40B4-BE49-F238E27FC236}">
                <a16:creationId xmlns:a16="http://schemas.microsoft.com/office/drawing/2014/main" id="{4EBEB7C0-8D32-465E-ACC8-EC0EF5FCF404}"/>
              </a:ext>
            </a:extLst>
          </xdr:cNvPr>
          <xdr:cNvSpPr/>
        </xdr:nvSpPr>
        <xdr:spPr>
          <a:xfrm>
            <a:off x="6410325" y="1895475"/>
            <a:ext cx="1323975" cy="476250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0">
                <a:latin typeface="Cambria" panose="02040503050406030204" pitchFamily="18" charset="0"/>
                <a:ea typeface="Cambria" panose="02040503050406030204" pitchFamily="18" charset="0"/>
              </a:rPr>
              <a:t>YANGIDAN</a:t>
            </a:r>
          </a:p>
        </xdr:txBody>
      </xdr:sp>
      <xdr:pic macro="[0]!new_list">
        <xdr:nvPicPr>
          <xdr:cNvPr id="32" name="Picture 31">
            <a:extLst>
              <a:ext uri="{FF2B5EF4-FFF2-40B4-BE49-F238E27FC236}">
                <a16:creationId xmlns:a16="http://schemas.microsoft.com/office/drawing/2014/main" id="{A5AC5391-CB46-4A3D-9358-9B6202CF07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2"/>
              </a:ext>
            </a:extLst>
          </a:blip>
          <a:stretch>
            <a:fillRect/>
          </a:stretch>
        </xdr:blipFill>
        <xdr:spPr>
          <a:xfrm>
            <a:off x="6429376" y="1955393"/>
            <a:ext cx="419584" cy="381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1125682</xdr:colOff>
      <xdr:row>1</xdr:row>
      <xdr:rowOff>86592</xdr:rowOff>
    </xdr:from>
    <xdr:to>
      <xdr:col>3</xdr:col>
      <xdr:colOff>1444337</xdr:colOff>
      <xdr:row>7</xdr:row>
      <xdr:rowOff>294410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2E9A2E5-FDCD-472A-9A74-6C7027E5816A}"/>
            </a:ext>
          </a:extLst>
        </xdr:cNvPr>
        <xdr:cNvSpPr/>
      </xdr:nvSpPr>
      <xdr:spPr>
        <a:xfrm>
          <a:off x="1939637" y="432956"/>
          <a:ext cx="8648700" cy="188768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200" b="1">
              <a:solidFill>
                <a:srgbClr val="FF0000"/>
              </a:solidFill>
              <a:latin typeface="Javanese Text" panose="02000000000000000000" pitchFamily="2" charset="0"/>
            </a:rPr>
            <a:t>INVOICE</a:t>
          </a:r>
        </a:p>
      </xdr:txBody>
    </xdr:sp>
    <xdr:clientData/>
  </xdr:twoCellAnchor>
  <xdr:oneCellAnchor>
    <xdr:from>
      <xdr:col>0</xdr:col>
      <xdr:colOff>0</xdr:colOff>
      <xdr:row>45</xdr:row>
      <xdr:rowOff>952501</xdr:rowOff>
    </xdr:from>
    <xdr:ext cx="13057909" cy="115310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E0A39547-4253-4F79-99DE-DAF0FF684665}"/>
            </a:ext>
          </a:extLst>
        </xdr:cNvPr>
        <xdr:cNvSpPr txBox="1"/>
      </xdr:nvSpPr>
      <xdr:spPr>
        <a:xfrm>
          <a:off x="0" y="16764001"/>
          <a:ext cx="13057909" cy="11531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SHIPPER’S or SENDER’S SIGNATURE</a:t>
          </a:r>
          <a:r>
            <a:rPr lang="uz-Cyrl-UZ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 STAMP</a:t>
          </a:r>
          <a:r>
            <a:rPr lang="en-US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ru-RU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ПОДПИСЬ И ПЕЧАТЬ ОТПРАВИТЕЛЯ</a:t>
          </a:r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DATE</a:t>
          </a:r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ru-RU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ДАТА</a:t>
          </a:r>
          <a:r>
            <a:rPr lang="en-US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 _______________________________________________________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Declaration Statement:</a:t>
          </a: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 hereby certify that the information on this invoice is true and correct and the contents and value of this shipment is as stated above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1164398</xdr:colOff>
      <xdr:row>0</xdr:row>
      <xdr:rowOff>0</xdr:rowOff>
    </xdr:from>
    <xdr:to>
      <xdr:col>4</xdr:col>
      <xdr:colOff>8283</xdr:colOff>
      <xdr:row>2</xdr:row>
      <xdr:rowOff>190501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568FB06-F330-4BF7-8048-B1B7ED9985E6}"/>
            </a:ext>
          </a:extLst>
        </xdr:cNvPr>
        <xdr:cNvSpPr/>
      </xdr:nvSpPr>
      <xdr:spPr>
        <a:xfrm>
          <a:off x="1628224" y="0"/>
          <a:ext cx="2339146" cy="654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600" b="1">
              <a:solidFill>
                <a:sysClr val="windowText" lastClr="000000"/>
              </a:solidFill>
              <a:latin typeface="Javanese Text" panose="02000000000000000000" pitchFamily="2" charset="0"/>
            </a:rPr>
            <a:t>INVOICE</a:t>
          </a:r>
        </a:p>
      </xdr:txBody>
    </xdr:sp>
    <xdr:clientData/>
  </xdr:twoCellAnchor>
  <xdr:twoCellAnchor>
    <xdr:from>
      <xdr:col>7</xdr:col>
      <xdr:colOff>571499</xdr:colOff>
      <xdr:row>4</xdr:row>
      <xdr:rowOff>16565</xdr:rowOff>
    </xdr:from>
    <xdr:to>
      <xdr:col>10</xdr:col>
      <xdr:colOff>447954</xdr:colOff>
      <xdr:row>7</xdr:row>
      <xdr:rowOff>49695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223CBD8F-8323-4D82-A954-F39D797B895A}"/>
            </a:ext>
          </a:extLst>
        </xdr:cNvPr>
        <xdr:cNvGrpSpPr/>
      </xdr:nvGrpSpPr>
      <xdr:grpSpPr>
        <a:xfrm>
          <a:off x="7023651" y="861391"/>
          <a:ext cx="1715194" cy="828261"/>
          <a:chOff x="6410325" y="1895475"/>
          <a:chExt cx="1323975" cy="476250"/>
        </a:xfrm>
      </xdr:grpSpPr>
      <xdr:sp macro="[0]!Sheet6.toza_new" textlink="">
        <xdr:nvSpPr>
          <xdr:cNvPr id="6" name="Rectangle 5">
            <a:extLst>
              <a:ext uri="{FF2B5EF4-FFF2-40B4-BE49-F238E27FC236}">
                <a16:creationId xmlns:a16="http://schemas.microsoft.com/office/drawing/2014/main" id="{5078CF37-74D7-4A1D-8180-846E06E8AAB2}"/>
              </a:ext>
            </a:extLst>
          </xdr:cNvPr>
          <xdr:cNvSpPr/>
        </xdr:nvSpPr>
        <xdr:spPr>
          <a:xfrm>
            <a:off x="6410325" y="1895475"/>
            <a:ext cx="1323975" cy="476250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0">
                <a:latin typeface="Cambria" panose="02040503050406030204" pitchFamily="18" charset="0"/>
                <a:ea typeface="Cambria" panose="02040503050406030204" pitchFamily="18" charset="0"/>
              </a:rPr>
              <a:t>YANGIDAN</a:t>
            </a:r>
          </a:p>
        </xdr:txBody>
      </xdr:sp>
      <xdr:pic macro="[0]!Sheet6.toza_new">
        <xdr:nvPicPr>
          <xdr:cNvPr id="7" name="Picture 6">
            <a:extLst>
              <a:ext uri="{FF2B5EF4-FFF2-40B4-BE49-F238E27FC236}">
                <a16:creationId xmlns:a16="http://schemas.microsoft.com/office/drawing/2014/main" id="{10AB71EE-1138-4F28-AC6B-60F498B555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2"/>
              </a:ext>
            </a:extLst>
          </a:blip>
          <a:stretch>
            <a:fillRect/>
          </a:stretch>
        </xdr:blipFill>
        <xdr:spPr>
          <a:xfrm>
            <a:off x="6429376" y="1955393"/>
            <a:ext cx="419584" cy="381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160681</xdr:colOff>
      <xdr:row>4</xdr:row>
      <xdr:rowOff>11595</xdr:rowOff>
    </xdr:from>
    <xdr:to>
      <xdr:col>16</xdr:col>
      <xdr:colOff>37136</xdr:colOff>
      <xdr:row>7</xdr:row>
      <xdr:rowOff>44725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AEE875D0-A267-41AC-8AF7-B1D0F606A99E}"/>
            </a:ext>
          </a:extLst>
        </xdr:cNvPr>
        <xdr:cNvGrpSpPr/>
      </xdr:nvGrpSpPr>
      <xdr:grpSpPr>
        <a:xfrm>
          <a:off x="9064485" y="856421"/>
          <a:ext cx="1715194" cy="828261"/>
          <a:chOff x="9064485" y="856421"/>
          <a:chExt cx="1715194" cy="828261"/>
        </a:xfrm>
      </xdr:grpSpPr>
      <xdr:sp macro="[0]!Sheet6.toza_clear" textlink="">
        <xdr:nvSpPr>
          <xdr:cNvPr id="9" name="Rectangle 8">
            <a:extLst>
              <a:ext uri="{FF2B5EF4-FFF2-40B4-BE49-F238E27FC236}">
                <a16:creationId xmlns:a16="http://schemas.microsoft.com/office/drawing/2014/main" id="{682D0E69-80FF-4163-9F11-434077F8C536}"/>
              </a:ext>
            </a:extLst>
          </xdr:cNvPr>
          <xdr:cNvSpPr/>
        </xdr:nvSpPr>
        <xdr:spPr>
          <a:xfrm>
            <a:off x="9064485" y="856421"/>
            <a:ext cx="1715194" cy="828261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0">
                <a:latin typeface="Cambria" panose="02040503050406030204" pitchFamily="18" charset="0"/>
                <a:ea typeface="Cambria" panose="02040503050406030204" pitchFamily="18" charset="0"/>
              </a:rPr>
              <a:t>clear</a:t>
            </a:r>
            <a:r>
              <a:rPr lang="en-US" sz="1400" b="0" baseline="0">
                <a:latin typeface="Cambria" panose="02040503050406030204" pitchFamily="18" charset="0"/>
                <a:ea typeface="Cambria" panose="02040503050406030204" pitchFamily="18" charset="0"/>
              </a:rPr>
              <a:t> invoice</a:t>
            </a:r>
            <a:endParaRPr lang="en-US" sz="1200" b="0">
              <a:latin typeface="Cambria" panose="02040503050406030204" pitchFamily="18" charset="0"/>
              <a:ea typeface="Cambria" panose="02040503050406030204" pitchFamily="18" charset="0"/>
            </a:endParaRPr>
          </a:p>
        </xdr:txBody>
      </xdr:sp>
      <xdr:pic macro="[0]!Sheet6.toza_clear">
        <xdr:nvPicPr>
          <xdr:cNvPr id="12" name="Picture 11">
            <a:extLst>
              <a:ext uri="{FF2B5EF4-FFF2-40B4-BE49-F238E27FC236}">
                <a16:creationId xmlns:a16="http://schemas.microsoft.com/office/drawing/2014/main" id="{367F1391-67BA-47A9-9BDC-56E4D87C2E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4"/>
              </a:ext>
            </a:extLst>
          </a:blip>
          <a:stretch>
            <a:fillRect/>
          </a:stretch>
        </xdr:blipFill>
        <xdr:spPr>
          <a:xfrm>
            <a:off x="9152283" y="969065"/>
            <a:ext cx="578126" cy="578126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BFF9DD-C187-4CC9-98F5-6FEEB7F4A32C}" name="Table3" displayName="Table3" ref="A15:E46" totalsRowShown="0" headerRowDxfId="7" dataDxfId="5" headerRowBorderDxfId="6">
  <tableColumns count="5">
    <tableColumn id="1" xr3:uid="{EE733A65-E599-40C3-91E7-FB63FEF42D18}" name="#" dataDxfId="4"/>
    <tableColumn id="2" xr3:uid="{27094B73-1828-436C-B20F-585A895D3FB1}" name="NAME/                                                                               НАИМОВАНИЯ" dataDxfId="3"/>
    <tableColumn id="3" xr3:uid="{161A4D76-D31E-49A4-AA72-7F1DEA287C16}" name="QUANTITY " dataDxfId="2">
      <calculatedColumnFormula>SUBTOTAL(109,C5:C15)</calculatedColumnFormula>
    </tableColumn>
    <tableColumn id="6" xr3:uid="{672DD281-60FA-4791-BCF1-2D310063E3EA}" name="ЦЕНА" dataDxfId="1"/>
    <tableColumn id="7" xr3:uid="{B1D68FDA-10FB-40D2-8D98-7CC196C5540C}" name="ОБЩАЯ ЦЕНА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 algn="l"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F8D2B153-7727-4AA9-9B2F-E876F46D9C27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8463B099-C2B5-4442-B856-9027D68C1B49}">
  <we:reference id="wa200001673" version="1.0.0.4" store="en-US" storeType="OMEX"/>
  <we:alternateReferences>
    <we:reference id="wa200001673" version="1.0.0.4" store="WA20000167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H263"/>
  <sheetViews>
    <sheetView showGridLines="0" tabSelected="1" zoomScale="130" zoomScaleNormal="130" zoomScaleSheetLayoutView="100" workbookViewId="0">
      <selection activeCell="J7" sqref="J7"/>
    </sheetView>
  </sheetViews>
  <sheetFormatPr defaultRowHeight="15" x14ac:dyDescent="0.25"/>
  <cols>
    <col min="1" max="1" width="36.5703125" style="25" customWidth="1"/>
    <col min="2" max="2" width="3.5703125" style="1" customWidth="1"/>
    <col min="3" max="3" width="38.5703125" style="1" customWidth="1"/>
    <col min="4" max="4" width="12.140625" style="1" customWidth="1"/>
    <col min="5" max="5" width="7.28515625" style="1" customWidth="1"/>
    <col min="6" max="6" width="13.140625" style="1" customWidth="1"/>
    <col min="7" max="7" width="7.5703125" style="1" customWidth="1"/>
    <col min="8" max="8" width="7.7109375" style="6" customWidth="1"/>
    <col min="9" max="9" width="11.85546875" style="6" customWidth="1"/>
    <col min="10" max="10" width="8.140625" style="53" customWidth="1"/>
    <col min="11" max="11" width="22.85546875" style="54" hidden="1" customWidth="1"/>
    <col min="12" max="12" width="29.7109375" style="54" hidden="1" customWidth="1"/>
    <col min="13" max="13" width="9.140625" style="53" hidden="1" customWidth="1"/>
    <col min="14" max="34" width="9.140625" style="2"/>
  </cols>
  <sheetData>
    <row r="1" spans="2:13" ht="9.75" customHeight="1" x14ac:dyDescent="0.25">
      <c r="C1" s="3"/>
      <c r="D1" s="3"/>
      <c r="E1" s="4"/>
      <c r="F1" s="4"/>
      <c r="G1" s="3"/>
    </row>
    <row r="2" spans="2:13" ht="17.25" customHeight="1" x14ac:dyDescent="0.25">
      <c r="B2" s="104" t="s">
        <v>26</v>
      </c>
      <c r="C2" s="105"/>
      <c r="D2" s="108">
        <v>1166</v>
      </c>
      <c r="E2" s="109"/>
      <c r="F2" s="110"/>
      <c r="G2" s="3"/>
    </row>
    <row r="3" spans="2:13" ht="11.25" customHeight="1" x14ac:dyDescent="0.25">
      <c r="B3" s="106"/>
      <c r="C3" s="107"/>
      <c r="D3" s="111"/>
      <c r="E3" s="112"/>
      <c r="F3" s="113"/>
    </row>
    <row r="4" spans="2:13" ht="20.25" customHeight="1" x14ac:dyDescent="0.25">
      <c r="B4" s="120" t="s">
        <v>31</v>
      </c>
      <c r="C4" s="120"/>
      <c r="D4" s="114">
        <v>1</v>
      </c>
      <c r="E4" s="115"/>
      <c r="F4" s="116"/>
      <c r="G4" s="48"/>
      <c r="H4" s="48"/>
      <c r="I4" s="48"/>
      <c r="J4" s="55"/>
      <c r="K4" s="59"/>
      <c r="L4" s="56"/>
    </row>
    <row r="5" spans="2:13" ht="20.25" customHeight="1" x14ac:dyDescent="0.25">
      <c r="B5" s="121" t="s">
        <v>29</v>
      </c>
      <c r="C5" s="122"/>
      <c r="D5" s="114">
        <v>1</v>
      </c>
      <c r="E5" s="115"/>
      <c r="F5" s="116"/>
      <c r="G5" s="48"/>
      <c r="H5" s="48"/>
      <c r="I5" s="48"/>
      <c r="J5" s="55"/>
      <c r="K5" s="59"/>
      <c r="L5" s="56"/>
    </row>
    <row r="6" spans="2:13" ht="18.75" customHeight="1" x14ac:dyDescent="0.25">
      <c r="B6" s="5"/>
      <c r="C6" s="5"/>
      <c r="D6" s="5"/>
      <c r="E6" s="5"/>
      <c r="F6" s="5"/>
      <c r="G6" s="48"/>
      <c r="H6" s="119" t="s">
        <v>30</v>
      </c>
      <c r="I6" s="119"/>
      <c r="J6" s="55"/>
      <c r="K6" s="59"/>
      <c r="L6" s="56"/>
    </row>
    <row r="7" spans="2:13" ht="15.75" customHeight="1" x14ac:dyDescent="0.25">
      <c r="B7" s="52" t="s">
        <v>0</v>
      </c>
      <c r="C7" s="52" t="s">
        <v>9</v>
      </c>
      <c r="D7" s="15" t="s">
        <v>8</v>
      </c>
      <c r="E7" s="15" t="s">
        <v>10</v>
      </c>
      <c r="F7" s="15" t="s">
        <v>11</v>
      </c>
      <c r="G7" s="48"/>
      <c r="H7" s="47">
        <v>1</v>
      </c>
      <c r="I7" s="66"/>
      <c r="J7" s="55"/>
      <c r="K7" s="59"/>
      <c r="L7" s="56"/>
    </row>
    <row r="8" spans="2:13" ht="13.5" customHeight="1" x14ac:dyDescent="0.25">
      <c r="B8" s="19">
        <v>1</v>
      </c>
      <c r="C8" s="14" t="s">
        <v>74</v>
      </c>
      <c r="D8" s="45">
        <v>1</v>
      </c>
      <c r="E8" s="18">
        <v>1</v>
      </c>
      <c r="F8" s="18">
        <f>E8*D8</f>
        <v>1</v>
      </c>
      <c r="G8" s="48"/>
      <c r="H8" s="47">
        <v>2</v>
      </c>
      <c r="I8" s="66"/>
      <c r="J8" s="55"/>
      <c r="K8" s="60" t="s">
        <v>12</v>
      </c>
      <c r="L8" s="88">
        <f>D2</f>
        <v>1166</v>
      </c>
    </row>
    <row r="9" spans="2:13" ht="13.5" customHeight="1" x14ac:dyDescent="0.25">
      <c r="B9" s="19">
        <v>2</v>
      </c>
      <c r="C9" s="14" t="s">
        <v>76</v>
      </c>
      <c r="D9" s="45">
        <v>1</v>
      </c>
      <c r="E9" s="18">
        <v>1</v>
      </c>
      <c r="F9" s="18">
        <f t="shared" ref="F9:F29" si="0">E9*D9</f>
        <v>1</v>
      </c>
      <c r="G9" s="48"/>
      <c r="H9" s="47">
        <v>3</v>
      </c>
      <c r="I9" s="66"/>
      <c r="J9" s="63"/>
      <c r="K9" s="60" t="s">
        <v>15</v>
      </c>
      <c r="L9" s="88" t="e">
        <f ca="1">VLOOKUP(L11,passports!A:D,2,0)&amp;" "&amp;VLOOKUP(L11,passports!A:D,3,0)</f>
        <v>#N/A</v>
      </c>
    </row>
    <row r="10" spans="2:13" ht="13.5" customHeight="1" x14ac:dyDescent="0.25">
      <c r="B10" s="19">
        <v>3</v>
      </c>
      <c r="C10" s="14" t="s">
        <v>77</v>
      </c>
      <c r="D10" s="45">
        <v>1</v>
      </c>
      <c r="E10" s="18">
        <v>1</v>
      </c>
      <c r="F10" s="18">
        <f t="shared" si="0"/>
        <v>1</v>
      </c>
      <c r="G10" s="48"/>
      <c r="H10" s="47">
        <v>4</v>
      </c>
      <c r="I10" s="66"/>
      <c r="J10" s="55"/>
      <c r="K10" s="60" t="s">
        <v>16</v>
      </c>
      <c r="L10" s="88"/>
    </row>
    <row r="11" spans="2:13" ht="13.5" customHeight="1" x14ac:dyDescent="0.25">
      <c r="B11" s="19">
        <v>4</v>
      </c>
      <c r="C11" s="14" t="s">
        <v>75</v>
      </c>
      <c r="D11" s="45">
        <v>1</v>
      </c>
      <c r="E11" s="18">
        <v>1</v>
      </c>
      <c r="F11" s="18">
        <f t="shared" ref="F11:F16" si="1">E11*D11</f>
        <v>1</v>
      </c>
      <c r="G11" s="48"/>
      <c r="H11" s="47">
        <v>5</v>
      </c>
      <c r="I11" s="66"/>
      <c r="J11" s="55"/>
      <c r="K11" s="60" t="s">
        <v>49</v>
      </c>
      <c r="L11" s="88">
        <f ca="1">INDEX(passports!A1:A920, RANDBETWEEN(1,920))</f>
        <v>0</v>
      </c>
    </row>
    <row r="12" spans="2:13" ht="13.5" customHeight="1" x14ac:dyDescent="0.25">
      <c r="B12" s="19">
        <v>5</v>
      </c>
      <c r="C12" s="14" t="s">
        <v>78</v>
      </c>
      <c r="D12" s="45">
        <v>1</v>
      </c>
      <c r="E12" s="18">
        <v>1</v>
      </c>
      <c r="F12" s="18">
        <f t="shared" si="1"/>
        <v>1</v>
      </c>
      <c r="G12" s="48"/>
      <c r="H12" s="47">
        <v>6</v>
      </c>
      <c r="I12" s="66"/>
      <c r="J12" s="55"/>
      <c r="K12" s="60"/>
      <c r="L12" s="89"/>
    </row>
    <row r="13" spans="2:13" ht="13.5" customHeight="1" x14ac:dyDescent="0.25">
      <c r="B13" s="19">
        <v>6</v>
      </c>
      <c r="C13" s="14"/>
      <c r="D13" s="45">
        <v>1</v>
      </c>
      <c r="E13" s="18">
        <v>1</v>
      </c>
      <c r="F13" s="18">
        <f t="shared" si="1"/>
        <v>1</v>
      </c>
      <c r="G13" s="48"/>
      <c r="H13" s="47">
        <v>7</v>
      </c>
      <c r="I13" s="66"/>
      <c r="J13" s="55"/>
      <c r="K13" s="60" t="s">
        <v>17</v>
      </c>
      <c r="L13" s="88" t="e">
        <f ca="1">VLOOKUP(L15,passports!A:D,2,0)&amp;" "&amp;VLOOKUP(L15,passports!A:D,3,0)</f>
        <v>#N/A</v>
      </c>
    </row>
    <row r="14" spans="2:13" ht="13.5" customHeight="1" x14ac:dyDescent="0.25">
      <c r="B14" s="19">
        <v>7</v>
      </c>
      <c r="C14" s="14"/>
      <c r="D14" s="45"/>
      <c r="E14" s="18">
        <v>1</v>
      </c>
      <c r="F14" s="18">
        <f t="shared" si="1"/>
        <v>0</v>
      </c>
      <c r="G14" s="48"/>
      <c r="H14" s="47">
        <v>8</v>
      </c>
      <c r="I14" s="66"/>
      <c r="J14" s="55"/>
      <c r="K14" s="60" t="s">
        <v>18</v>
      </c>
      <c r="L14" s="88" t="e">
        <f ca="1">VLOOKUP(L15,passports!A:D,4,0)</f>
        <v>#N/A</v>
      </c>
      <c r="M14" s="53" t="e">
        <f ca="1">L14&amp;L15</f>
        <v>#N/A</v>
      </c>
    </row>
    <row r="15" spans="2:13" ht="13.5" customHeight="1" x14ac:dyDescent="0.25">
      <c r="B15" s="19">
        <v>8</v>
      </c>
      <c r="C15" s="14"/>
      <c r="D15" s="45"/>
      <c r="E15" s="18">
        <v>1</v>
      </c>
      <c r="F15" s="18">
        <f t="shared" si="1"/>
        <v>0</v>
      </c>
      <c r="G15" s="48"/>
      <c r="H15" s="47">
        <v>9</v>
      </c>
      <c r="I15" s="66"/>
      <c r="J15" s="55"/>
      <c r="K15" s="60" t="s">
        <v>19</v>
      </c>
      <c r="L15" s="88">
        <f ca="1">INDEX(passports!A1:A920, RANDBETWEEN(1,925))</f>
        <v>0</v>
      </c>
    </row>
    <row r="16" spans="2:13" ht="13.5" customHeight="1" x14ac:dyDescent="0.25">
      <c r="B16" s="19">
        <v>9</v>
      </c>
      <c r="C16" s="14"/>
      <c r="D16" s="45"/>
      <c r="E16" s="18">
        <v>1</v>
      </c>
      <c r="F16" s="18">
        <f t="shared" si="1"/>
        <v>0</v>
      </c>
      <c r="G16" s="48"/>
      <c r="H16" s="47">
        <v>10</v>
      </c>
      <c r="I16" s="66"/>
      <c r="J16" s="55"/>
      <c r="K16" s="60" t="s">
        <v>48</v>
      </c>
      <c r="L16" s="88" t="str">
        <f ca="1">INDEX(K42:K55, RANDBETWEEN(1,8))</f>
        <v>NAMANGAN VIOYATI</v>
      </c>
    </row>
    <row r="17" spans="2:12" ht="13.5" customHeight="1" x14ac:dyDescent="0.25">
      <c r="B17" s="19">
        <v>10</v>
      </c>
      <c r="C17" s="14"/>
      <c r="D17" s="45"/>
      <c r="E17" s="18">
        <v>1</v>
      </c>
      <c r="F17" s="18">
        <f t="shared" si="0"/>
        <v>0</v>
      </c>
      <c r="G17" s="48"/>
      <c r="H17" s="47">
        <v>11</v>
      </c>
      <c r="I17" s="66"/>
      <c r="J17" s="55"/>
      <c r="K17" s="57"/>
      <c r="L17" s="90"/>
    </row>
    <row r="18" spans="2:12" ht="13.5" customHeight="1" x14ac:dyDescent="0.25">
      <c r="B18" s="19">
        <v>11</v>
      </c>
      <c r="C18" s="14"/>
      <c r="D18" s="45"/>
      <c r="E18" s="18">
        <v>1</v>
      </c>
      <c r="F18" s="18">
        <f>E18*D18</f>
        <v>0</v>
      </c>
      <c r="G18" s="48"/>
      <c r="H18" s="47">
        <v>12</v>
      </c>
      <c r="I18" s="66"/>
      <c r="J18" s="55"/>
      <c r="K18" s="57" t="s">
        <v>20</v>
      </c>
      <c r="L18" s="90" t="str">
        <f ca="1">"+998"&amp;" "&amp;RANDBETWEEN(90,99)&amp;" "&amp;RANDBETWEEN(100,999)&amp;" "&amp;RANDBETWEEN(1000,9999)</f>
        <v>+998 91 190 1169</v>
      </c>
    </row>
    <row r="19" spans="2:12" ht="13.5" customHeight="1" x14ac:dyDescent="0.25">
      <c r="B19" s="19">
        <v>12</v>
      </c>
      <c r="C19" s="14"/>
      <c r="D19" s="14"/>
      <c r="E19" s="18">
        <v>1</v>
      </c>
      <c r="F19" s="18">
        <f t="shared" si="0"/>
        <v>0</v>
      </c>
      <c r="G19" s="48"/>
      <c r="H19" s="47">
        <v>13</v>
      </c>
      <c r="I19" s="66"/>
      <c r="J19" s="55"/>
      <c r="K19" s="57" t="s">
        <v>21</v>
      </c>
      <c r="L19" s="90" t="str">
        <f ca="1">"+998"&amp;" "&amp;RANDBETWEEN(90,99)&amp;" "&amp;RANDBETWEEN(100,999)&amp;" "&amp;RANDBETWEEN(1000,9999)</f>
        <v>+998 92 391 6600</v>
      </c>
    </row>
    <row r="20" spans="2:12" ht="13.5" customHeight="1" x14ac:dyDescent="0.25">
      <c r="B20" s="19">
        <v>13</v>
      </c>
      <c r="C20" s="14"/>
      <c r="D20" s="14"/>
      <c r="E20" s="18">
        <v>1</v>
      </c>
      <c r="F20" s="18">
        <f t="shared" si="0"/>
        <v>0</v>
      </c>
      <c r="G20" s="48"/>
      <c r="H20" s="47">
        <v>14</v>
      </c>
      <c r="I20" s="66"/>
      <c r="J20" s="55"/>
      <c r="K20" s="57"/>
      <c r="L20" s="90"/>
    </row>
    <row r="21" spans="2:12" ht="13.5" customHeight="1" x14ac:dyDescent="0.25">
      <c r="B21" s="19">
        <v>14</v>
      </c>
      <c r="C21" s="14"/>
      <c r="D21" s="14"/>
      <c r="E21" s="18">
        <v>1</v>
      </c>
      <c r="F21" s="18">
        <f t="shared" si="0"/>
        <v>0</v>
      </c>
      <c r="G21" s="48"/>
      <c r="H21" s="47">
        <v>15</v>
      </c>
      <c r="I21" s="66"/>
      <c r="J21" s="55"/>
      <c r="K21" s="57" t="s">
        <v>32</v>
      </c>
      <c r="L21" s="91">
        <f ca="1">TODAY()</f>
        <v>44381</v>
      </c>
    </row>
    <row r="22" spans="2:12" ht="13.5" customHeight="1" x14ac:dyDescent="0.25">
      <c r="B22" s="19">
        <v>15</v>
      </c>
      <c r="C22" s="14"/>
      <c r="D22" s="14"/>
      <c r="E22" s="18">
        <v>1</v>
      </c>
      <c r="F22" s="18">
        <f t="shared" si="0"/>
        <v>0</v>
      </c>
      <c r="G22" s="48"/>
      <c r="H22" s="47">
        <v>16</v>
      </c>
      <c r="I22" s="66"/>
      <c r="J22" s="55"/>
      <c r="K22" s="57"/>
      <c r="L22" s="91"/>
    </row>
    <row r="23" spans="2:12" ht="13.5" customHeight="1" x14ac:dyDescent="0.25">
      <c r="B23" s="19">
        <v>16</v>
      </c>
      <c r="C23" s="14"/>
      <c r="D23" s="14"/>
      <c r="E23" s="18">
        <v>1</v>
      </c>
      <c r="F23" s="18">
        <f t="shared" si="0"/>
        <v>0</v>
      </c>
      <c r="G23" s="48"/>
      <c r="H23" s="47">
        <v>17</v>
      </c>
      <c r="I23" s="66"/>
      <c r="J23" s="55"/>
      <c r="K23" s="57" t="s">
        <v>33</v>
      </c>
      <c r="L23" s="90">
        <f>COUNT(I7:I62)</f>
        <v>0</v>
      </c>
    </row>
    <row r="24" spans="2:12" ht="13.5" customHeight="1" x14ac:dyDescent="0.25">
      <c r="B24" s="19">
        <v>17</v>
      </c>
      <c r="C24" s="14"/>
      <c r="D24" s="14"/>
      <c r="E24" s="18">
        <v>1</v>
      </c>
      <c r="F24" s="18">
        <f t="shared" si="0"/>
        <v>0</v>
      </c>
      <c r="G24" s="48"/>
      <c r="H24" s="47">
        <v>18</v>
      </c>
      <c r="I24" s="66"/>
      <c r="J24" s="55"/>
      <c r="K24" s="57"/>
      <c r="L24" s="92"/>
    </row>
    <row r="25" spans="2:12" ht="13.5" customHeight="1" x14ac:dyDescent="0.25">
      <c r="B25" s="19">
        <v>18</v>
      </c>
      <c r="C25" s="14"/>
      <c r="D25" s="14"/>
      <c r="E25" s="18">
        <v>1</v>
      </c>
      <c r="F25" s="18">
        <f t="shared" si="0"/>
        <v>0</v>
      </c>
      <c r="G25" s="48"/>
      <c r="H25" s="47">
        <v>19</v>
      </c>
      <c r="I25" s="66"/>
      <c r="J25" s="55"/>
      <c r="K25" s="57" t="s">
        <v>34</v>
      </c>
      <c r="L25" s="90">
        <f>D4</f>
        <v>1</v>
      </c>
    </row>
    <row r="26" spans="2:12" ht="13.5" customHeight="1" x14ac:dyDescent="0.25">
      <c r="B26" s="19">
        <v>19</v>
      </c>
      <c r="C26" s="14"/>
      <c r="D26" s="14"/>
      <c r="E26" s="18">
        <v>1</v>
      </c>
      <c r="F26" s="18">
        <f t="shared" si="0"/>
        <v>0</v>
      </c>
      <c r="G26" s="48"/>
      <c r="H26" s="47">
        <v>20</v>
      </c>
      <c r="I26" s="66"/>
      <c r="J26" s="55"/>
      <c r="K26" s="57"/>
      <c r="L26" s="93"/>
    </row>
    <row r="27" spans="2:12" ht="13.5" customHeight="1" x14ac:dyDescent="0.25">
      <c r="B27" s="19">
        <v>20</v>
      </c>
      <c r="C27" s="14"/>
      <c r="D27" s="14"/>
      <c r="E27" s="18">
        <v>1</v>
      </c>
      <c r="F27" s="18">
        <f t="shared" si="0"/>
        <v>0</v>
      </c>
      <c r="G27" s="48"/>
      <c r="H27" s="47">
        <v>21</v>
      </c>
      <c r="I27" s="66"/>
      <c r="J27" s="55"/>
      <c r="K27" s="57" t="s">
        <v>35</v>
      </c>
      <c r="L27" s="94">
        <f>D5</f>
        <v>1</v>
      </c>
    </row>
    <row r="28" spans="2:12" ht="13.5" customHeight="1" x14ac:dyDescent="0.25">
      <c r="B28" s="19">
        <v>21</v>
      </c>
      <c r="C28" s="14"/>
      <c r="D28" s="14"/>
      <c r="E28" s="18">
        <v>1</v>
      </c>
      <c r="F28" s="18">
        <f t="shared" si="0"/>
        <v>0</v>
      </c>
      <c r="G28" s="48"/>
      <c r="H28" s="47">
        <v>22</v>
      </c>
      <c r="I28" s="66"/>
      <c r="J28" s="55"/>
      <c r="K28" s="57"/>
      <c r="L28" s="90"/>
    </row>
    <row r="29" spans="2:12" ht="13.5" customHeight="1" x14ac:dyDescent="0.25">
      <c r="B29" s="19">
        <v>22</v>
      </c>
      <c r="C29" s="14"/>
      <c r="D29" s="14"/>
      <c r="E29" s="18">
        <v>1</v>
      </c>
      <c r="F29" s="18">
        <f t="shared" si="0"/>
        <v>0</v>
      </c>
      <c r="G29" s="48"/>
      <c r="H29" s="47">
        <v>23</v>
      </c>
      <c r="I29" s="66"/>
      <c r="J29" s="55"/>
      <c r="K29" s="57" t="s">
        <v>50</v>
      </c>
      <c r="L29" s="93">
        <v>6.7</v>
      </c>
    </row>
    <row r="30" spans="2:12" ht="13.5" customHeight="1" x14ac:dyDescent="0.25">
      <c r="B30" s="19">
        <v>23</v>
      </c>
      <c r="C30" s="14"/>
      <c r="D30" s="14"/>
      <c r="E30" s="18">
        <v>1</v>
      </c>
      <c r="F30" s="18">
        <f t="shared" ref="F30:F38" si="2">E30*D30</f>
        <v>0</v>
      </c>
      <c r="G30" s="48"/>
      <c r="H30" s="47">
        <v>24</v>
      </c>
      <c r="I30" s="66"/>
      <c r="J30" s="55"/>
      <c r="K30" s="57"/>
      <c r="L30" s="93"/>
    </row>
    <row r="31" spans="2:12" ht="13.5" customHeight="1" x14ac:dyDescent="0.25">
      <c r="B31" s="19">
        <v>24</v>
      </c>
      <c r="C31" s="14"/>
      <c r="D31" s="14"/>
      <c r="E31" s="18">
        <v>1</v>
      </c>
      <c r="F31" s="18">
        <f t="shared" si="2"/>
        <v>0</v>
      </c>
      <c r="G31" s="48"/>
      <c r="H31" s="47">
        <v>25</v>
      </c>
      <c r="I31" s="66"/>
      <c r="J31" s="55"/>
      <c r="K31" s="57"/>
      <c r="L31" s="93"/>
    </row>
    <row r="32" spans="2:12" ht="13.5" customHeight="1" x14ac:dyDescent="0.25">
      <c r="B32" s="19">
        <v>25</v>
      </c>
      <c r="C32" s="14"/>
      <c r="D32" s="14"/>
      <c r="E32" s="18">
        <v>1</v>
      </c>
      <c r="F32" s="18">
        <f t="shared" si="2"/>
        <v>0</v>
      </c>
      <c r="G32" s="48"/>
      <c r="H32" s="47">
        <v>26</v>
      </c>
      <c r="I32" s="66"/>
      <c r="J32" s="55"/>
      <c r="K32" s="57" t="s">
        <v>65</v>
      </c>
      <c r="L32" s="95">
        <f>D2</f>
        <v>1166</v>
      </c>
    </row>
    <row r="33" spans="2:12" ht="13.5" customHeight="1" x14ac:dyDescent="0.25">
      <c r="B33" s="19">
        <v>26</v>
      </c>
      <c r="C33" s="14"/>
      <c r="D33" s="14"/>
      <c r="E33" s="18">
        <v>1</v>
      </c>
      <c r="F33" s="18">
        <f t="shared" si="2"/>
        <v>0</v>
      </c>
      <c r="G33" s="48"/>
      <c r="H33" s="47">
        <v>27</v>
      </c>
      <c r="I33" s="66"/>
      <c r="J33" s="55"/>
      <c r="K33" s="57"/>
      <c r="L33" s="93"/>
    </row>
    <row r="34" spans="2:12" ht="13.5" customHeight="1" x14ac:dyDescent="0.25">
      <c r="B34" s="19">
        <v>27</v>
      </c>
      <c r="C34" s="14"/>
      <c r="D34" s="14"/>
      <c r="E34" s="18">
        <v>1</v>
      </c>
      <c r="F34" s="18">
        <f t="shared" si="2"/>
        <v>0</v>
      </c>
      <c r="G34" s="48"/>
      <c r="H34" s="47">
        <v>28</v>
      </c>
      <c r="I34" s="66"/>
      <c r="J34" s="55"/>
      <c r="K34" s="57"/>
      <c r="L34" s="93"/>
    </row>
    <row r="35" spans="2:12" ht="13.5" customHeight="1" x14ac:dyDescent="0.25">
      <c r="B35" s="19">
        <v>28</v>
      </c>
      <c r="C35" s="14"/>
      <c r="D35" s="14"/>
      <c r="E35" s="18">
        <v>1</v>
      </c>
      <c r="F35" s="18">
        <f t="shared" si="2"/>
        <v>0</v>
      </c>
      <c r="G35" s="48"/>
      <c r="H35" s="47">
        <v>29</v>
      </c>
      <c r="I35" s="66"/>
      <c r="J35" s="55"/>
      <c r="K35" s="57"/>
      <c r="L35" s="93"/>
    </row>
    <row r="36" spans="2:12" ht="13.5" customHeight="1" x14ac:dyDescent="0.25">
      <c r="B36" s="19">
        <v>29</v>
      </c>
      <c r="C36" s="14"/>
      <c r="D36" s="14"/>
      <c r="E36" s="18">
        <v>1</v>
      </c>
      <c r="F36" s="18">
        <f t="shared" si="2"/>
        <v>0</v>
      </c>
      <c r="G36" s="48"/>
      <c r="H36" s="47">
        <v>30</v>
      </c>
      <c r="I36" s="66"/>
      <c r="J36" s="55"/>
      <c r="K36" s="57"/>
      <c r="L36" s="93"/>
    </row>
    <row r="37" spans="2:12" ht="13.5" customHeight="1" x14ac:dyDescent="0.25">
      <c r="B37" s="19">
        <v>30</v>
      </c>
      <c r="C37" s="14"/>
      <c r="D37" s="14"/>
      <c r="E37" s="18">
        <v>1</v>
      </c>
      <c r="F37" s="18">
        <f t="shared" si="2"/>
        <v>0</v>
      </c>
      <c r="G37" s="48"/>
      <c r="H37" s="47">
        <v>31</v>
      </c>
      <c r="I37" s="66"/>
      <c r="J37" s="55"/>
      <c r="K37" s="57"/>
      <c r="L37" s="90"/>
    </row>
    <row r="38" spans="2:12" ht="13.5" customHeight="1" x14ac:dyDescent="0.25">
      <c r="B38" s="19">
        <v>31</v>
      </c>
      <c r="C38" s="14"/>
      <c r="D38" s="14"/>
      <c r="E38" s="18">
        <v>1</v>
      </c>
      <c r="F38" s="18">
        <f t="shared" si="2"/>
        <v>0</v>
      </c>
      <c r="G38" s="48"/>
      <c r="H38" s="47">
        <v>32</v>
      </c>
      <c r="I38" s="66"/>
      <c r="J38" s="55"/>
      <c r="K38" s="57"/>
      <c r="L38" s="92"/>
    </row>
    <row r="39" spans="2:12" ht="16.5" customHeight="1" x14ac:dyDescent="0.25">
      <c r="B39" s="7"/>
      <c r="C39" s="52" t="s">
        <v>25</v>
      </c>
      <c r="D39" s="117">
        <f>L29</f>
        <v>6.7</v>
      </c>
      <c r="E39" s="118"/>
      <c r="F39" s="61">
        <f>SUM(F8:F38)</f>
        <v>6</v>
      </c>
      <c r="G39" s="48"/>
      <c r="H39" s="47">
        <v>33</v>
      </c>
      <c r="I39" s="66"/>
      <c r="J39" s="55"/>
      <c r="K39" s="57"/>
      <c r="L39" s="90"/>
    </row>
    <row r="40" spans="2:12" ht="15" customHeight="1" x14ac:dyDescent="0.25">
      <c r="B40" s="5"/>
      <c r="G40" s="48"/>
      <c r="H40" s="47">
        <v>34</v>
      </c>
      <c r="I40" s="66"/>
      <c r="J40" s="55"/>
      <c r="K40" s="58"/>
      <c r="L40" s="90"/>
    </row>
    <row r="41" spans="2:12" ht="15" customHeight="1" x14ac:dyDescent="0.25">
      <c r="B41" s="5"/>
      <c r="G41" s="48"/>
      <c r="H41" s="47">
        <v>35</v>
      </c>
      <c r="I41" s="66"/>
      <c r="J41" s="55"/>
      <c r="K41" s="57"/>
      <c r="L41" s="90"/>
    </row>
    <row r="42" spans="2:12" ht="15" customHeight="1" x14ac:dyDescent="0.25">
      <c r="G42" s="48"/>
      <c r="H42" s="47">
        <v>36</v>
      </c>
      <c r="I42" s="66"/>
      <c r="J42" s="55"/>
      <c r="K42" s="57" t="s">
        <v>36</v>
      </c>
      <c r="L42" s="90">
        <v>703</v>
      </c>
    </row>
    <row r="43" spans="2:12" ht="15" customHeight="1" x14ac:dyDescent="0.25">
      <c r="G43" s="48"/>
      <c r="H43" s="47">
        <v>37</v>
      </c>
      <c r="I43" s="66"/>
      <c r="J43" s="55"/>
      <c r="K43" s="57" t="s">
        <v>37</v>
      </c>
      <c r="L43" s="90">
        <v>706</v>
      </c>
    </row>
    <row r="44" spans="2:12" ht="15" customHeight="1" x14ac:dyDescent="0.25">
      <c r="G44" s="48"/>
      <c r="H44" s="47">
        <v>38</v>
      </c>
      <c r="I44" s="66"/>
      <c r="J44" s="55"/>
      <c r="K44" s="57" t="s">
        <v>38</v>
      </c>
      <c r="L44" s="90">
        <v>708</v>
      </c>
    </row>
    <row r="45" spans="2:12" ht="15" customHeight="1" x14ac:dyDescent="0.25">
      <c r="G45" s="48"/>
      <c r="H45" s="47">
        <v>39</v>
      </c>
      <c r="I45" s="66"/>
      <c r="J45" s="55"/>
      <c r="K45" s="57" t="s">
        <v>39</v>
      </c>
      <c r="L45" s="90">
        <v>710</v>
      </c>
    </row>
    <row r="46" spans="2:12" ht="15" customHeight="1" x14ac:dyDescent="0.25">
      <c r="G46" s="48"/>
      <c r="H46" s="47">
        <v>40</v>
      </c>
      <c r="I46" s="66"/>
      <c r="J46" s="55"/>
      <c r="K46" s="57" t="s">
        <v>40</v>
      </c>
      <c r="L46" s="90">
        <v>712</v>
      </c>
    </row>
    <row r="47" spans="2:12" ht="15" customHeight="1" x14ac:dyDescent="0.25">
      <c r="G47" s="48"/>
      <c r="H47" s="47">
        <v>41</v>
      </c>
      <c r="I47" s="66"/>
      <c r="J47" s="55"/>
      <c r="K47" s="57" t="s">
        <v>41</v>
      </c>
      <c r="L47" s="90">
        <v>714</v>
      </c>
    </row>
    <row r="48" spans="2:12" ht="15" customHeight="1" x14ac:dyDescent="0.25">
      <c r="G48" s="48"/>
      <c r="H48" s="47">
        <v>42</v>
      </c>
      <c r="I48" s="66"/>
      <c r="J48" s="55"/>
      <c r="K48" s="57" t="s">
        <v>42</v>
      </c>
      <c r="L48" s="90">
        <v>718</v>
      </c>
    </row>
    <row r="49" spans="7:12" ht="15" customHeight="1" x14ac:dyDescent="0.25">
      <c r="G49" s="48"/>
      <c r="H49" s="47">
        <v>43</v>
      </c>
      <c r="I49" s="66"/>
      <c r="J49" s="55"/>
      <c r="K49" s="57" t="s">
        <v>43</v>
      </c>
      <c r="L49" s="90">
        <v>722</v>
      </c>
    </row>
    <row r="50" spans="7:12" ht="15" customHeight="1" x14ac:dyDescent="0.25">
      <c r="G50" s="48"/>
      <c r="H50" s="47">
        <v>44</v>
      </c>
      <c r="I50" s="66"/>
      <c r="J50" s="55"/>
      <c r="K50" s="57" t="s">
        <v>44</v>
      </c>
      <c r="L50" s="90">
        <v>724</v>
      </c>
    </row>
    <row r="51" spans="7:12" ht="15" customHeight="1" x14ac:dyDescent="0.25">
      <c r="G51" s="48"/>
      <c r="H51" s="47">
        <v>45</v>
      </c>
      <c r="I51" s="66"/>
      <c r="J51" s="55"/>
      <c r="K51" s="57" t="s">
        <v>23</v>
      </c>
      <c r="L51" s="90">
        <v>726</v>
      </c>
    </row>
    <row r="52" spans="7:12" ht="15" customHeight="1" x14ac:dyDescent="0.25">
      <c r="G52" s="48"/>
      <c r="H52" s="47">
        <v>46</v>
      </c>
      <c r="I52" s="66"/>
      <c r="J52" s="55"/>
      <c r="K52" s="57" t="s">
        <v>24</v>
      </c>
      <c r="L52" s="90">
        <v>727</v>
      </c>
    </row>
    <row r="53" spans="7:12" ht="15" customHeight="1" x14ac:dyDescent="0.25">
      <c r="G53" s="48"/>
      <c r="H53" s="47">
        <v>47</v>
      </c>
      <c r="I53" s="66"/>
      <c r="J53" s="55"/>
      <c r="K53" s="57" t="s">
        <v>45</v>
      </c>
      <c r="L53" s="90">
        <v>730</v>
      </c>
    </row>
    <row r="54" spans="7:12" ht="15" customHeight="1" x14ac:dyDescent="0.25">
      <c r="G54" s="48"/>
      <c r="H54" s="47">
        <v>48</v>
      </c>
      <c r="I54" s="66"/>
      <c r="J54" s="55"/>
      <c r="K54" s="57" t="s">
        <v>46</v>
      </c>
      <c r="L54" s="90">
        <v>733</v>
      </c>
    </row>
    <row r="55" spans="7:12" ht="15" customHeight="1" x14ac:dyDescent="0.25">
      <c r="G55" s="48"/>
      <c r="H55" s="47">
        <v>49</v>
      </c>
      <c r="I55" s="66"/>
      <c r="J55" s="55"/>
      <c r="K55" s="57" t="s">
        <v>47</v>
      </c>
      <c r="L55" s="90">
        <v>735</v>
      </c>
    </row>
    <row r="56" spans="7:12" ht="15" customHeight="1" x14ac:dyDescent="0.25">
      <c r="G56" s="48"/>
      <c r="H56" s="47">
        <v>50</v>
      </c>
      <c r="I56" s="66"/>
      <c r="J56" s="55"/>
    </row>
    <row r="57" spans="7:12" ht="15" customHeight="1" x14ac:dyDescent="0.25">
      <c r="G57" s="48"/>
      <c r="H57" s="48"/>
      <c r="I57" s="48"/>
      <c r="J57" s="55"/>
      <c r="L57" s="64"/>
    </row>
    <row r="58" spans="7:12" ht="15" customHeight="1" x14ac:dyDescent="0.25">
      <c r="G58" s="48"/>
      <c r="H58" s="48"/>
      <c r="I58" s="48"/>
      <c r="J58" s="55"/>
      <c r="L58" s="64"/>
    </row>
    <row r="59" spans="7:12" ht="15" customHeight="1" x14ac:dyDescent="0.25">
      <c r="G59" s="48"/>
      <c r="H59" s="48"/>
      <c r="I59" s="48"/>
      <c r="J59" s="55"/>
      <c r="L59" s="64"/>
    </row>
    <row r="60" spans="7:12" ht="15" customHeight="1" x14ac:dyDescent="0.25">
      <c r="G60" s="48"/>
      <c r="H60" s="48"/>
      <c r="I60" s="48"/>
      <c r="J60" s="55"/>
      <c r="L60" s="64"/>
    </row>
    <row r="61" spans="7:12" ht="15" customHeight="1" x14ac:dyDescent="0.25">
      <c r="G61" s="48"/>
      <c r="H61" s="48"/>
      <c r="I61" s="48"/>
      <c r="J61" s="55"/>
      <c r="L61" s="64"/>
    </row>
    <row r="62" spans="7:12" ht="15" customHeight="1" x14ac:dyDescent="0.25">
      <c r="G62" s="48"/>
      <c r="H62" s="48"/>
      <c r="I62" s="48"/>
      <c r="J62" s="55"/>
      <c r="L62" s="64"/>
    </row>
    <row r="63" spans="7:12" ht="15" customHeight="1" x14ac:dyDescent="0.25">
      <c r="G63" s="48"/>
      <c r="H63" s="48"/>
      <c r="I63" s="48"/>
      <c r="J63" s="55"/>
      <c r="L63" s="64"/>
    </row>
    <row r="64" spans="7:12" ht="15" customHeight="1" x14ac:dyDescent="0.25">
      <c r="G64" s="48"/>
      <c r="H64" s="48"/>
      <c r="I64" s="48"/>
      <c r="J64" s="55"/>
      <c r="L64" s="64"/>
    </row>
    <row r="65" spans="12:12" x14ac:dyDescent="0.25">
      <c r="L65" s="64"/>
    </row>
    <row r="66" spans="12:12" x14ac:dyDescent="0.25">
      <c r="L66" s="64"/>
    </row>
    <row r="67" spans="12:12" x14ac:dyDescent="0.25">
      <c r="L67" s="64"/>
    </row>
    <row r="68" spans="12:12" x14ac:dyDescent="0.25">
      <c r="L68" s="64"/>
    </row>
    <row r="69" spans="12:12" x14ac:dyDescent="0.25">
      <c r="L69" s="64"/>
    </row>
    <row r="70" spans="12:12" x14ac:dyDescent="0.25">
      <c r="L70" s="64"/>
    </row>
    <row r="71" spans="12:12" x14ac:dyDescent="0.25">
      <c r="L71" s="64"/>
    </row>
    <row r="72" spans="12:12" x14ac:dyDescent="0.25">
      <c r="L72" s="64"/>
    </row>
    <row r="73" spans="12:12" x14ac:dyDescent="0.25">
      <c r="L73" s="64"/>
    </row>
    <row r="74" spans="12:12" x14ac:dyDescent="0.25">
      <c r="L74" s="64"/>
    </row>
    <row r="75" spans="12:12" x14ac:dyDescent="0.25">
      <c r="L75" s="64"/>
    </row>
    <row r="76" spans="12:12" x14ac:dyDescent="0.25">
      <c r="L76" s="64"/>
    </row>
    <row r="77" spans="12:12" x14ac:dyDescent="0.25">
      <c r="L77" s="64"/>
    </row>
    <row r="78" spans="12:12" x14ac:dyDescent="0.25">
      <c r="L78" s="64"/>
    </row>
    <row r="79" spans="12:12" x14ac:dyDescent="0.25">
      <c r="L79" s="64"/>
    </row>
    <row r="80" spans="12:12" x14ac:dyDescent="0.25">
      <c r="L80" s="64"/>
    </row>
    <row r="81" spans="12:12" x14ac:dyDescent="0.25">
      <c r="L81" s="64"/>
    </row>
    <row r="82" spans="12:12" x14ac:dyDescent="0.25">
      <c r="L82" s="64"/>
    </row>
    <row r="83" spans="12:12" x14ac:dyDescent="0.25">
      <c r="L83" s="64"/>
    </row>
    <row r="84" spans="12:12" x14ac:dyDescent="0.25">
      <c r="L84" s="64"/>
    </row>
    <row r="85" spans="12:12" x14ac:dyDescent="0.25">
      <c r="L85" s="64"/>
    </row>
    <row r="86" spans="12:12" x14ac:dyDescent="0.25">
      <c r="L86" s="64"/>
    </row>
    <row r="87" spans="12:12" x14ac:dyDescent="0.25">
      <c r="L87" s="64"/>
    </row>
    <row r="88" spans="12:12" x14ac:dyDescent="0.25">
      <c r="L88" s="64"/>
    </row>
    <row r="89" spans="12:12" x14ac:dyDescent="0.25">
      <c r="L89" s="64"/>
    </row>
    <row r="90" spans="12:12" x14ac:dyDescent="0.25">
      <c r="L90" s="64"/>
    </row>
    <row r="91" spans="12:12" x14ac:dyDescent="0.25">
      <c r="L91" s="64"/>
    </row>
    <row r="92" spans="12:12" x14ac:dyDescent="0.25">
      <c r="L92" s="64"/>
    </row>
    <row r="93" spans="12:12" x14ac:dyDescent="0.25">
      <c r="L93" s="64"/>
    </row>
    <row r="94" spans="12:12" x14ac:dyDescent="0.25">
      <c r="L94" s="64"/>
    </row>
    <row r="95" spans="12:12" x14ac:dyDescent="0.25">
      <c r="L95" s="64"/>
    </row>
    <row r="96" spans="12:12" x14ac:dyDescent="0.25">
      <c r="L96" s="64"/>
    </row>
    <row r="97" spans="12:12" x14ac:dyDescent="0.25">
      <c r="L97" s="64"/>
    </row>
    <row r="98" spans="12:12" x14ac:dyDescent="0.25">
      <c r="L98" s="64"/>
    </row>
    <row r="99" spans="12:12" x14ac:dyDescent="0.25">
      <c r="L99" s="64"/>
    </row>
    <row r="100" spans="12:12" x14ac:dyDescent="0.25">
      <c r="L100" s="64"/>
    </row>
    <row r="101" spans="12:12" x14ac:dyDescent="0.25">
      <c r="L101" s="64"/>
    </row>
    <row r="102" spans="12:12" x14ac:dyDescent="0.25">
      <c r="L102" s="64"/>
    </row>
    <row r="103" spans="12:12" x14ac:dyDescent="0.25">
      <c r="L103" s="64"/>
    </row>
    <row r="104" spans="12:12" x14ac:dyDescent="0.25">
      <c r="L104" s="64"/>
    </row>
    <row r="105" spans="12:12" x14ac:dyDescent="0.25">
      <c r="L105" s="64"/>
    </row>
    <row r="106" spans="12:12" x14ac:dyDescent="0.25">
      <c r="L106" s="64"/>
    </row>
    <row r="107" spans="12:12" x14ac:dyDescent="0.25">
      <c r="L107" s="64"/>
    </row>
    <row r="108" spans="12:12" x14ac:dyDescent="0.25">
      <c r="L108" s="64"/>
    </row>
    <row r="109" spans="12:12" x14ac:dyDescent="0.25">
      <c r="L109" s="64"/>
    </row>
    <row r="110" spans="12:12" x14ac:dyDescent="0.25">
      <c r="L110" s="64"/>
    </row>
    <row r="111" spans="12:12" x14ac:dyDescent="0.25">
      <c r="L111" s="64"/>
    </row>
    <row r="112" spans="12:12" x14ac:dyDescent="0.25">
      <c r="L112" s="64"/>
    </row>
    <row r="113" spans="12:12" x14ac:dyDescent="0.25">
      <c r="L113" s="64"/>
    </row>
    <row r="114" spans="12:12" x14ac:dyDescent="0.25">
      <c r="L114" s="64"/>
    </row>
    <row r="115" spans="12:12" x14ac:dyDescent="0.25">
      <c r="L115" s="64"/>
    </row>
    <row r="116" spans="12:12" x14ac:dyDescent="0.25">
      <c r="L116" s="64"/>
    </row>
    <row r="117" spans="12:12" x14ac:dyDescent="0.25">
      <c r="L117" s="64"/>
    </row>
    <row r="118" spans="12:12" x14ac:dyDescent="0.25">
      <c r="L118" s="64"/>
    </row>
    <row r="119" spans="12:12" x14ac:dyDescent="0.25">
      <c r="L119" s="64"/>
    </row>
    <row r="120" spans="12:12" x14ac:dyDescent="0.25">
      <c r="L120" s="64"/>
    </row>
    <row r="121" spans="12:12" x14ac:dyDescent="0.25">
      <c r="L121" s="64"/>
    </row>
    <row r="122" spans="12:12" x14ac:dyDescent="0.25">
      <c r="L122" s="64"/>
    </row>
    <row r="123" spans="12:12" x14ac:dyDescent="0.25">
      <c r="L123" s="64"/>
    </row>
    <row r="124" spans="12:12" x14ac:dyDescent="0.25">
      <c r="L124" s="64"/>
    </row>
    <row r="125" spans="12:12" x14ac:dyDescent="0.25">
      <c r="L125" s="64"/>
    </row>
    <row r="126" spans="12:12" x14ac:dyDescent="0.25">
      <c r="L126" s="64"/>
    </row>
    <row r="127" spans="12:12" x14ac:dyDescent="0.25">
      <c r="L127" s="64"/>
    </row>
    <row r="128" spans="12:12" x14ac:dyDescent="0.25">
      <c r="L128" s="64"/>
    </row>
    <row r="129" spans="12:12" x14ac:dyDescent="0.25">
      <c r="L129" s="64"/>
    </row>
    <row r="130" spans="12:12" x14ac:dyDescent="0.25">
      <c r="L130" s="64"/>
    </row>
    <row r="131" spans="12:12" x14ac:dyDescent="0.25">
      <c r="L131" s="64"/>
    </row>
    <row r="132" spans="12:12" x14ac:dyDescent="0.25">
      <c r="L132" s="64"/>
    </row>
    <row r="133" spans="12:12" x14ac:dyDescent="0.25">
      <c r="L133" s="64"/>
    </row>
    <row r="134" spans="12:12" x14ac:dyDescent="0.25">
      <c r="L134" s="64"/>
    </row>
    <row r="135" spans="12:12" x14ac:dyDescent="0.25">
      <c r="L135" s="64"/>
    </row>
    <row r="136" spans="12:12" x14ac:dyDescent="0.25">
      <c r="L136" s="64"/>
    </row>
    <row r="137" spans="12:12" x14ac:dyDescent="0.25">
      <c r="L137" s="64"/>
    </row>
    <row r="138" spans="12:12" x14ac:dyDescent="0.25">
      <c r="L138" s="64"/>
    </row>
    <row r="139" spans="12:12" x14ac:dyDescent="0.25">
      <c r="L139" s="64"/>
    </row>
    <row r="140" spans="12:12" x14ac:dyDescent="0.25">
      <c r="L140" s="64"/>
    </row>
    <row r="141" spans="12:12" x14ac:dyDescent="0.25">
      <c r="L141" s="64"/>
    </row>
    <row r="142" spans="12:12" x14ac:dyDescent="0.25">
      <c r="L142" s="64"/>
    </row>
    <row r="143" spans="12:12" x14ac:dyDescent="0.25">
      <c r="L143" s="64"/>
    </row>
    <row r="144" spans="12:12" x14ac:dyDescent="0.25">
      <c r="L144" s="64"/>
    </row>
    <row r="145" spans="12:12" x14ac:dyDescent="0.25">
      <c r="L145" s="64"/>
    </row>
    <row r="146" spans="12:12" x14ac:dyDescent="0.25">
      <c r="L146" s="64"/>
    </row>
    <row r="147" spans="12:12" x14ac:dyDescent="0.25">
      <c r="L147" s="64"/>
    </row>
    <row r="148" spans="12:12" x14ac:dyDescent="0.25">
      <c r="L148" s="64"/>
    </row>
    <row r="149" spans="12:12" x14ac:dyDescent="0.25">
      <c r="L149" s="64"/>
    </row>
    <row r="150" spans="12:12" x14ac:dyDescent="0.25">
      <c r="L150" s="64"/>
    </row>
    <row r="151" spans="12:12" x14ac:dyDescent="0.25">
      <c r="L151" s="64"/>
    </row>
    <row r="152" spans="12:12" x14ac:dyDescent="0.25">
      <c r="L152" s="64"/>
    </row>
    <row r="153" spans="12:12" x14ac:dyDescent="0.25">
      <c r="L153" s="64"/>
    </row>
    <row r="154" spans="12:12" x14ac:dyDescent="0.25">
      <c r="L154" s="64"/>
    </row>
    <row r="155" spans="12:12" x14ac:dyDescent="0.25">
      <c r="L155" s="64"/>
    </row>
    <row r="156" spans="12:12" x14ac:dyDescent="0.25">
      <c r="L156" s="64"/>
    </row>
    <row r="157" spans="12:12" x14ac:dyDescent="0.25">
      <c r="L157" s="64"/>
    </row>
    <row r="158" spans="12:12" x14ac:dyDescent="0.25">
      <c r="L158" s="64"/>
    </row>
    <row r="159" spans="12:12" x14ac:dyDescent="0.25">
      <c r="L159" s="64"/>
    </row>
    <row r="160" spans="12:12" x14ac:dyDescent="0.25">
      <c r="L160" s="64"/>
    </row>
    <row r="161" spans="12:12" x14ac:dyDescent="0.25">
      <c r="L161" s="64"/>
    </row>
    <row r="162" spans="12:12" x14ac:dyDescent="0.25">
      <c r="L162" s="64"/>
    </row>
    <row r="163" spans="12:12" x14ac:dyDescent="0.25">
      <c r="L163" s="64"/>
    </row>
    <row r="164" spans="12:12" x14ac:dyDescent="0.25">
      <c r="L164" s="64"/>
    </row>
    <row r="165" spans="12:12" x14ac:dyDescent="0.25">
      <c r="L165" s="64"/>
    </row>
    <row r="166" spans="12:12" x14ac:dyDescent="0.25">
      <c r="L166" s="64"/>
    </row>
    <row r="167" spans="12:12" x14ac:dyDescent="0.25">
      <c r="L167" s="64"/>
    </row>
    <row r="168" spans="12:12" x14ac:dyDescent="0.25">
      <c r="L168" s="64"/>
    </row>
    <row r="169" spans="12:12" x14ac:dyDescent="0.25">
      <c r="L169" s="64"/>
    </row>
    <row r="170" spans="12:12" x14ac:dyDescent="0.25">
      <c r="L170" s="64"/>
    </row>
    <row r="171" spans="12:12" x14ac:dyDescent="0.25">
      <c r="L171" s="64"/>
    </row>
    <row r="172" spans="12:12" x14ac:dyDescent="0.25">
      <c r="L172" s="64"/>
    </row>
    <row r="173" spans="12:12" x14ac:dyDescent="0.25">
      <c r="L173" s="64"/>
    </row>
    <row r="174" spans="12:12" x14ac:dyDescent="0.25">
      <c r="L174" s="64"/>
    </row>
    <row r="175" spans="12:12" x14ac:dyDescent="0.25">
      <c r="L175" s="64"/>
    </row>
    <row r="176" spans="12:12" x14ac:dyDescent="0.25">
      <c r="L176" s="64"/>
    </row>
    <row r="177" spans="12:12" x14ac:dyDescent="0.25">
      <c r="L177" s="64"/>
    </row>
    <row r="178" spans="12:12" x14ac:dyDescent="0.25">
      <c r="L178" s="64"/>
    </row>
    <row r="179" spans="12:12" x14ac:dyDescent="0.25">
      <c r="L179" s="64"/>
    </row>
    <row r="180" spans="12:12" x14ac:dyDescent="0.25">
      <c r="L180" s="64"/>
    </row>
    <row r="181" spans="12:12" x14ac:dyDescent="0.25">
      <c r="L181" s="64"/>
    </row>
    <row r="182" spans="12:12" x14ac:dyDescent="0.25">
      <c r="L182" s="64"/>
    </row>
    <row r="183" spans="12:12" x14ac:dyDescent="0.25">
      <c r="L183" s="64"/>
    </row>
    <row r="184" spans="12:12" x14ac:dyDescent="0.25">
      <c r="L184" s="64"/>
    </row>
    <row r="185" spans="12:12" x14ac:dyDescent="0.25">
      <c r="L185" s="64"/>
    </row>
    <row r="186" spans="12:12" x14ac:dyDescent="0.25">
      <c r="L186" s="64"/>
    </row>
    <row r="187" spans="12:12" x14ac:dyDescent="0.25">
      <c r="L187" s="64"/>
    </row>
    <row r="188" spans="12:12" x14ac:dyDescent="0.25">
      <c r="L188" s="64"/>
    </row>
    <row r="189" spans="12:12" x14ac:dyDescent="0.25">
      <c r="L189" s="64"/>
    </row>
    <row r="190" spans="12:12" x14ac:dyDescent="0.25">
      <c r="L190" s="64"/>
    </row>
    <row r="191" spans="12:12" x14ac:dyDescent="0.25">
      <c r="L191" s="64"/>
    </row>
    <row r="192" spans="12:12" x14ac:dyDescent="0.25">
      <c r="L192" s="64"/>
    </row>
    <row r="193" spans="12:12" x14ac:dyDescent="0.25">
      <c r="L193" s="64"/>
    </row>
    <row r="194" spans="12:12" x14ac:dyDescent="0.25">
      <c r="L194" s="64"/>
    </row>
    <row r="195" spans="12:12" x14ac:dyDescent="0.25">
      <c r="L195" s="64"/>
    </row>
    <row r="196" spans="12:12" x14ac:dyDescent="0.25">
      <c r="L196" s="64"/>
    </row>
    <row r="197" spans="12:12" x14ac:dyDescent="0.25">
      <c r="L197" s="64"/>
    </row>
    <row r="198" spans="12:12" x14ac:dyDescent="0.25">
      <c r="L198" s="64"/>
    </row>
    <row r="199" spans="12:12" x14ac:dyDescent="0.25">
      <c r="L199" s="64"/>
    </row>
    <row r="200" spans="12:12" x14ac:dyDescent="0.25">
      <c r="L200" s="64"/>
    </row>
    <row r="201" spans="12:12" x14ac:dyDescent="0.25">
      <c r="L201" s="64"/>
    </row>
    <row r="202" spans="12:12" x14ac:dyDescent="0.25">
      <c r="L202" s="64"/>
    </row>
    <row r="203" spans="12:12" x14ac:dyDescent="0.25">
      <c r="L203" s="64"/>
    </row>
    <row r="204" spans="12:12" x14ac:dyDescent="0.25">
      <c r="L204" s="64"/>
    </row>
    <row r="205" spans="12:12" x14ac:dyDescent="0.25">
      <c r="L205" s="64"/>
    </row>
    <row r="206" spans="12:12" x14ac:dyDescent="0.25">
      <c r="L206" s="64"/>
    </row>
    <row r="207" spans="12:12" x14ac:dyDescent="0.25">
      <c r="L207" s="64"/>
    </row>
    <row r="208" spans="12:12" x14ac:dyDescent="0.25">
      <c r="L208" s="64"/>
    </row>
    <row r="209" spans="12:12" x14ac:dyDescent="0.25">
      <c r="L209" s="64"/>
    </row>
    <row r="210" spans="12:12" x14ac:dyDescent="0.25">
      <c r="L210" s="64"/>
    </row>
    <row r="211" spans="12:12" x14ac:dyDescent="0.25">
      <c r="L211" s="64"/>
    </row>
    <row r="212" spans="12:12" x14ac:dyDescent="0.25">
      <c r="L212" s="64"/>
    </row>
    <row r="213" spans="12:12" x14ac:dyDescent="0.25">
      <c r="L213" s="64"/>
    </row>
    <row r="214" spans="12:12" x14ac:dyDescent="0.25">
      <c r="L214" s="64"/>
    </row>
    <row r="215" spans="12:12" x14ac:dyDescent="0.25">
      <c r="L215" s="64"/>
    </row>
    <row r="216" spans="12:12" x14ac:dyDescent="0.25">
      <c r="L216" s="64"/>
    </row>
    <row r="217" spans="12:12" x14ac:dyDescent="0.25">
      <c r="L217" s="64"/>
    </row>
    <row r="218" spans="12:12" x14ac:dyDescent="0.25">
      <c r="L218" s="64"/>
    </row>
    <row r="219" spans="12:12" x14ac:dyDescent="0.25">
      <c r="L219" s="64"/>
    </row>
    <row r="220" spans="12:12" x14ac:dyDescent="0.25">
      <c r="L220" s="64"/>
    </row>
    <row r="221" spans="12:12" x14ac:dyDescent="0.25">
      <c r="L221" s="64"/>
    </row>
    <row r="222" spans="12:12" x14ac:dyDescent="0.25">
      <c r="L222" s="64"/>
    </row>
    <row r="223" spans="12:12" x14ac:dyDescent="0.25">
      <c r="L223" s="64"/>
    </row>
    <row r="224" spans="12:12" x14ac:dyDescent="0.25">
      <c r="L224" s="64"/>
    </row>
    <row r="225" spans="12:12" x14ac:dyDescent="0.25">
      <c r="L225" s="64"/>
    </row>
    <row r="226" spans="12:12" x14ac:dyDescent="0.25">
      <c r="L226" s="64"/>
    </row>
    <row r="227" spans="12:12" x14ac:dyDescent="0.25">
      <c r="L227" s="64"/>
    </row>
    <row r="228" spans="12:12" x14ac:dyDescent="0.25">
      <c r="L228" s="64"/>
    </row>
    <row r="229" spans="12:12" x14ac:dyDescent="0.25">
      <c r="L229" s="64"/>
    </row>
    <row r="230" spans="12:12" x14ac:dyDescent="0.25">
      <c r="L230" s="64"/>
    </row>
    <row r="231" spans="12:12" x14ac:dyDescent="0.25">
      <c r="L231" s="64"/>
    </row>
    <row r="232" spans="12:12" x14ac:dyDescent="0.25">
      <c r="L232" s="64"/>
    </row>
    <row r="233" spans="12:12" x14ac:dyDescent="0.25">
      <c r="L233" s="64"/>
    </row>
    <row r="234" spans="12:12" x14ac:dyDescent="0.25">
      <c r="L234" s="64"/>
    </row>
    <row r="235" spans="12:12" x14ac:dyDescent="0.25">
      <c r="L235" s="64"/>
    </row>
    <row r="236" spans="12:12" x14ac:dyDescent="0.25">
      <c r="L236" s="64"/>
    </row>
    <row r="237" spans="12:12" x14ac:dyDescent="0.25">
      <c r="L237" s="64"/>
    </row>
    <row r="238" spans="12:12" x14ac:dyDescent="0.25">
      <c r="L238" s="64"/>
    </row>
    <row r="239" spans="12:12" x14ac:dyDescent="0.25">
      <c r="L239" s="64"/>
    </row>
    <row r="240" spans="12:12" x14ac:dyDescent="0.25">
      <c r="L240" s="64"/>
    </row>
    <row r="241" spans="12:12" x14ac:dyDescent="0.25">
      <c r="L241" s="64"/>
    </row>
    <row r="242" spans="12:12" x14ac:dyDescent="0.25">
      <c r="L242" s="64"/>
    </row>
    <row r="243" spans="12:12" x14ac:dyDescent="0.25">
      <c r="L243" s="64"/>
    </row>
    <row r="244" spans="12:12" x14ac:dyDescent="0.25">
      <c r="L244" s="64"/>
    </row>
    <row r="245" spans="12:12" x14ac:dyDescent="0.25">
      <c r="L245" s="64"/>
    </row>
    <row r="246" spans="12:12" x14ac:dyDescent="0.25">
      <c r="L246" s="64"/>
    </row>
    <row r="247" spans="12:12" x14ac:dyDescent="0.25">
      <c r="L247" s="64"/>
    </row>
    <row r="248" spans="12:12" x14ac:dyDescent="0.25">
      <c r="L248" s="64"/>
    </row>
    <row r="249" spans="12:12" x14ac:dyDescent="0.25">
      <c r="L249" s="64"/>
    </row>
    <row r="250" spans="12:12" x14ac:dyDescent="0.25">
      <c r="L250" s="64"/>
    </row>
    <row r="251" spans="12:12" x14ac:dyDescent="0.25">
      <c r="L251" s="64"/>
    </row>
    <row r="252" spans="12:12" x14ac:dyDescent="0.25">
      <c r="L252" s="64"/>
    </row>
    <row r="253" spans="12:12" x14ac:dyDescent="0.25">
      <c r="L253" s="64"/>
    </row>
    <row r="254" spans="12:12" x14ac:dyDescent="0.25">
      <c r="L254" s="64"/>
    </row>
    <row r="255" spans="12:12" x14ac:dyDescent="0.25">
      <c r="L255" s="64"/>
    </row>
    <row r="256" spans="12:12" x14ac:dyDescent="0.25">
      <c r="L256" s="64"/>
    </row>
    <row r="257" spans="12:12" x14ac:dyDescent="0.25">
      <c r="L257" s="64"/>
    </row>
    <row r="258" spans="12:12" x14ac:dyDescent="0.25">
      <c r="L258" s="64"/>
    </row>
    <row r="259" spans="12:12" x14ac:dyDescent="0.25">
      <c r="L259" s="64"/>
    </row>
    <row r="260" spans="12:12" x14ac:dyDescent="0.25">
      <c r="L260" s="64"/>
    </row>
    <row r="261" spans="12:12" x14ac:dyDescent="0.25">
      <c r="L261" s="64"/>
    </row>
    <row r="262" spans="12:12" x14ac:dyDescent="0.25">
      <c r="L262" s="64"/>
    </row>
    <row r="263" spans="12:12" x14ac:dyDescent="0.25">
      <c r="L263" s="65"/>
    </row>
  </sheetData>
  <sheetProtection selectLockedCells="1"/>
  <sortState xmlns:xlrd2="http://schemas.microsoft.com/office/spreadsheetml/2017/richdata2" ref="H1:H4">
    <sortCondition ref="H4"/>
  </sortState>
  <mergeCells count="8">
    <mergeCell ref="B2:C3"/>
    <mergeCell ref="D2:F3"/>
    <mergeCell ref="D5:F5"/>
    <mergeCell ref="D39:E39"/>
    <mergeCell ref="H6:I6"/>
    <mergeCell ref="D4:F4"/>
    <mergeCell ref="B4:C4"/>
    <mergeCell ref="B5:C5"/>
  </mergeCells>
  <phoneticPr fontId="6" type="noConversion"/>
  <dataValidations xWindow="1143" yWindow="492" count="5">
    <dataValidation operator="greaterThan" allowBlank="1" showInputMessage="1" showErrorMessage="1" sqref="D4:F4" xr:uid="{8308FD24-18EC-489C-8ED5-AA5098D8EAAA}"/>
    <dataValidation type="decimal" allowBlank="1" showInputMessage="1" showErrorMessage="1" sqref="D39:E39" xr:uid="{4E57BA2D-A85D-45B5-9E82-7F6A6D069794}">
      <formula1>0</formula1>
      <formula2>10000</formula2>
    </dataValidation>
    <dataValidation type="decimal" operator="notEqual" allowBlank="1" showInputMessage="1" showErrorMessage="1" sqref="I7:I56" xr:uid="{E3BEEBB3-9EE3-469B-B329-384BCEC0E3BA}">
      <formula1>0.0001</formula1>
    </dataValidation>
    <dataValidation type="whole" allowBlank="1" showInputMessage="1" showErrorMessage="1" sqref="D5:F5" xr:uid="{9AF0946C-6AE9-453B-9898-87C74D6B327A}">
      <formula1>1</formula1>
      <formula2>3</formula2>
    </dataValidation>
    <dataValidation type="whole" allowBlank="1" showInputMessage="1" showErrorMessage="1" sqref="D8:D11 D13:D38" xr:uid="{929181AA-09AC-457C-8ABA-8C9611C208A1}">
      <formula1>1</formula1>
      <formula2>1000</formula2>
    </dataValidation>
  </dataValidations>
  <printOptions horizontalCentered="1"/>
  <pageMargins left="0.1" right="0.1" top="0.1" bottom="0.1" header="0.1" footer="0.1"/>
  <pageSetup paperSize="9" orientation="portrait" horizontalDpi="4294967293" verticalDpi="300" r:id="rId1"/>
  <headerFooter>
    <oddFooter>&amp;L&amp;B Confidential&amp;B&amp;C&amp;D&amp;RPage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3D5FF-BFE9-4E98-9DA3-5AA4669E7F22}">
  <sheetPr codeName="Sheet2"/>
  <dimension ref="A1:H16"/>
  <sheetViews>
    <sheetView zoomScale="73" zoomScaleNormal="13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17" sqref="A17:XFD41"/>
    </sheetView>
  </sheetViews>
  <sheetFormatPr defaultRowHeight="15.75" x14ac:dyDescent="0.25"/>
  <cols>
    <col min="1" max="1" width="2.85546875" style="9" bestFit="1" customWidth="1"/>
    <col min="2" max="2" width="17.85546875" style="13" customWidth="1"/>
    <col min="3" max="3" width="22.85546875" style="9" customWidth="1"/>
    <col min="4" max="4" width="40.5703125" style="9" customWidth="1"/>
    <col min="5" max="5" width="12.28515625" style="21" customWidth="1"/>
    <col min="6" max="6" width="25.140625" style="9" customWidth="1"/>
    <col min="7" max="7" width="11.28515625" style="9" bestFit="1" customWidth="1"/>
    <col min="8" max="8" width="15.7109375" style="16" customWidth="1"/>
  </cols>
  <sheetData>
    <row r="1" spans="1:8" s="8" customFormat="1" ht="52.5" customHeight="1" x14ac:dyDescent="0.25">
      <c r="A1" s="10" t="s">
        <v>0</v>
      </c>
      <c r="B1" s="12" t="s">
        <v>52</v>
      </c>
      <c r="C1" s="10" t="s">
        <v>53</v>
      </c>
      <c r="D1" s="10"/>
      <c r="E1" s="20" t="s">
        <v>51</v>
      </c>
      <c r="F1" s="11"/>
      <c r="G1" s="11"/>
      <c r="H1" s="17" t="s">
        <v>54</v>
      </c>
    </row>
    <row r="2" spans="1:8" x14ac:dyDescent="0.25">
      <c r="A2" s="9">
        <v>2</v>
      </c>
      <c r="B2" s="13">
        <v>1115</v>
      </c>
      <c r="C2" s="9" t="s">
        <v>73</v>
      </c>
      <c r="E2" s="21">
        <v>11</v>
      </c>
      <c r="H2" s="16">
        <v>44152</v>
      </c>
    </row>
    <row r="3" spans="1:8" x14ac:dyDescent="0.25">
      <c r="A3" s="9">
        <v>3</v>
      </c>
      <c r="B3" s="13">
        <v>1116</v>
      </c>
      <c r="C3" s="9" t="s">
        <v>73</v>
      </c>
      <c r="E3" s="21">
        <v>17.899999999999999</v>
      </c>
      <c r="H3" s="16">
        <v>44152</v>
      </c>
    </row>
    <row r="4" spans="1:8" x14ac:dyDescent="0.25">
      <c r="A4" s="9">
        <v>4</v>
      </c>
      <c r="B4" s="13">
        <v>1117</v>
      </c>
      <c r="C4" s="9" t="s">
        <v>73</v>
      </c>
      <c r="E4" s="21">
        <v>17.899999999999999</v>
      </c>
      <c r="H4" s="16">
        <v>44152</v>
      </c>
    </row>
    <row r="5" spans="1:8" x14ac:dyDescent="0.25">
      <c r="A5" s="9">
        <v>5</v>
      </c>
      <c r="B5" s="13">
        <v>1118</v>
      </c>
      <c r="C5" s="9" t="s">
        <v>73</v>
      </c>
      <c r="E5" s="21">
        <v>13.5</v>
      </c>
      <c r="H5" s="16">
        <v>44152</v>
      </c>
    </row>
    <row r="6" spans="1:8" x14ac:dyDescent="0.25">
      <c r="A6" s="9">
        <v>6</v>
      </c>
      <c r="B6" s="13">
        <v>1119</v>
      </c>
      <c r="C6" s="9" t="s">
        <v>73</v>
      </c>
      <c r="E6" s="21">
        <v>14.4</v>
      </c>
      <c r="H6" s="16">
        <v>44152</v>
      </c>
    </row>
    <row r="7" spans="1:8" x14ac:dyDescent="0.25">
      <c r="A7" s="9">
        <v>7</v>
      </c>
      <c r="B7" s="13">
        <v>1115</v>
      </c>
      <c r="C7" s="9" t="s">
        <v>73</v>
      </c>
      <c r="E7" s="21">
        <v>11</v>
      </c>
      <c r="H7" s="16">
        <v>44152</v>
      </c>
    </row>
    <row r="8" spans="1:8" x14ac:dyDescent="0.25">
      <c r="A8" s="9">
        <v>8</v>
      </c>
      <c r="B8" s="13">
        <v>1116</v>
      </c>
      <c r="C8" s="9" t="s">
        <v>73</v>
      </c>
      <c r="E8" s="21">
        <v>17.899999999999999</v>
      </c>
      <c r="H8" s="16">
        <v>44152</v>
      </c>
    </row>
    <row r="9" spans="1:8" x14ac:dyDescent="0.25">
      <c r="A9" s="9">
        <v>9</v>
      </c>
      <c r="B9" s="13">
        <v>1117</v>
      </c>
      <c r="C9" s="9" t="s">
        <v>73</v>
      </c>
      <c r="E9" s="21">
        <v>17.899999999999999</v>
      </c>
      <c r="H9" s="16">
        <v>44152</v>
      </c>
    </row>
    <row r="10" spans="1:8" x14ac:dyDescent="0.25">
      <c r="A10" s="9">
        <v>10</v>
      </c>
      <c r="B10" s="13">
        <v>1118</v>
      </c>
      <c r="C10" s="9" t="s">
        <v>73</v>
      </c>
      <c r="E10" s="21">
        <v>13.5</v>
      </c>
      <c r="H10" s="16">
        <v>44152</v>
      </c>
    </row>
    <row r="11" spans="1:8" x14ac:dyDescent="0.25">
      <c r="A11" s="9">
        <v>11</v>
      </c>
      <c r="B11" s="13">
        <v>1119</v>
      </c>
      <c r="C11" s="9" t="s">
        <v>73</v>
      </c>
      <c r="E11" s="21">
        <v>14.4</v>
      </c>
      <c r="H11" s="16">
        <v>44152</v>
      </c>
    </row>
    <row r="12" spans="1:8" x14ac:dyDescent="0.25">
      <c r="A12" s="9">
        <v>12</v>
      </c>
      <c r="B12" s="13">
        <v>1115</v>
      </c>
      <c r="C12" s="9" t="s">
        <v>73</v>
      </c>
      <c r="E12" s="21">
        <v>11</v>
      </c>
      <c r="H12" s="16">
        <v>44152</v>
      </c>
    </row>
    <row r="13" spans="1:8" x14ac:dyDescent="0.25">
      <c r="A13" s="9">
        <v>13</v>
      </c>
      <c r="B13" s="13">
        <v>1116</v>
      </c>
      <c r="C13" s="9" t="s">
        <v>73</v>
      </c>
      <c r="E13" s="21">
        <v>17.899999999999999</v>
      </c>
      <c r="H13" s="16">
        <v>44152</v>
      </c>
    </row>
    <row r="14" spans="1:8" x14ac:dyDescent="0.25">
      <c r="A14" s="9">
        <v>14</v>
      </c>
      <c r="B14" s="13">
        <v>1117</v>
      </c>
      <c r="C14" s="9" t="s">
        <v>73</v>
      </c>
      <c r="E14" s="21">
        <v>17.899999999999999</v>
      </c>
      <c r="H14" s="16">
        <v>44152</v>
      </c>
    </row>
    <row r="15" spans="1:8" x14ac:dyDescent="0.25">
      <c r="A15" s="9">
        <v>15</v>
      </c>
      <c r="B15" s="13">
        <v>1118</v>
      </c>
      <c r="C15" s="9" t="s">
        <v>73</v>
      </c>
      <c r="E15" s="21">
        <v>13.5</v>
      </c>
      <c r="H15" s="16">
        <v>44152</v>
      </c>
    </row>
    <row r="16" spans="1:8" x14ac:dyDescent="0.25">
      <c r="A16" s="9">
        <v>16</v>
      </c>
      <c r="B16" s="13">
        <v>1119</v>
      </c>
      <c r="C16" s="9" t="s">
        <v>73</v>
      </c>
      <c r="E16" s="21">
        <v>14.4</v>
      </c>
      <c r="H16" s="16">
        <v>44152</v>
      </c>
    </row>
  </sheetData>
  <phoneticPr fontId="6" type="noConversion"/>
  <pageMargins left="0.7" right="0.7" top="0.75" bottom="0.75" header="0.3" footer="0.3"/>
  <pageSetup paperSize="9" orientation="landscape" horizontalDpi="4294967293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81F1F-CE47-4EDF-8396-EF63E4C6347D}">
  <sheetPr codeName="Sheet5">
    <pageSetUpPr fitToPage="1"/>
  </sheetPr>
  <dimension ref="A1:G74"/>
  <sheetViews>
    <sheetView view="pageBreakPreview" topLeftCell="A2" zoomScale="60" zoomScaleNormal="60" zoomScalePageLayoutView="40" workbookViewId="0">
      <selection activeCell="C22" sqref="C22"/>
    </sheetView>
  </sheetViews>
  <sheetFormatPr defaultRowHeight="15" x14ac:dyDescent="0.25"/>
  <cols>
    <col min="1" max="1" width="12.140625" style="44" customWidth="1"/>
    <col min="2" max="2" width="74.42578125" style="44" customWidth="1"/>
    <col min="3" max="3" width="50.42578125" style="44" customWidth="1"/>
    <col min="4" max="4" width="22.42578125" style="44" customWidth="1"/>
    <col min="5" max="5" width="32.140625" style="44" customWidth="1"/>
    <col min="7" max="7" width="55.85546875" customWidth="1"/>
  </cols>
  <sheetData>
    <row r="1" spans="1:7" ht="27" customHeight="1" x14ac:dyDescent="0.25">
      <c r="A1" s="26"/>
      <c r="B1" s="26"/>
      <c r="C1" s="26"/>
      <c r="D1" s="27"/>
      <c r="E1" s="27"/>
    </row>
    <row r="2" spans="1:7" ht="27" customHeight="1" x14ac:dyDescent="0.25">
      <c r="A2" s="26"/>
      <c r="B2" s="26"/>
      <c r="C2" s="26"/>
      <c r="D2" s="27"/>
      <c r="E2" s="27"/>
    </row>
    <row r="3" spans="1:7" ht="27" customHeight="1" x14ac:dyDescent="0.25">
      <c r="A3" s="26"/>
      <c r="B3" s="26"/>
      <c r="C3" s="26"/>
      <c r="D3" s="27"/>
      <c r="E3" s="27"/>
    </row>
    <row r="4" spans="1:7" ht="23.25" customHeight="1" x14ac:dyDescent="0.25">
      <c r="A4" s="26"/>
      <c r="B4" s="26"/>
      <c r="C4" s="26"/>
      <c r="D4" s="124">
        <f>'raspakovka invoice'!L8</f>
        <v>1166</v>
      </c>
      <c r="E4" s="124"/>
    </row>
    <row r="5" spans="1:7" ht="27" customHeight="1" x14ac:dyDescent="0.25">
      <c r="A5" s="26"/>
      <c r="B5" s="26"/>
      <c r="C5" s="26"/>
      <c r="D5" s="124"/>
      <c r="E5" s="124"/>
    </row>
    <row r="6" spans="1:7" ht="27" customHeight="1" x14ac:dyDescent="0.25">
      <c r="A6" s="26"/>
      <c r="B6" s="26"/>
      <c r="C6" s="26"/>
      <c r="D6" s="124"/>
      <c r="E6" s="124"/>
    </row>
    <row r="7" spans="1:7" ht="27" hidden="1" customHeight="1" x14ac:dyDescent="0.25">
      <c r="A7" s="26"/>
      <c r="B7" s="26"/>
      <c r="C7" s="26"/>
      <c r="D7" s="125"/>
      <c r="E7" s="125"/>
    </row>
    <row r="8" spans="1:7" s="22" customFormat="1" ht="43.5" customHeight="1" x14ac:dyDescent="0.5">
      <c r="A8" s="28"/>
      <c r="B8" s="29" t="s">
        <v>2</v>
      </c>
      <c r="C8" s="123" t="e">
        <f ca="1">'raspakovka invoice'!L9</f>
        <v>#N/A</v>
      </c>
      <c r="D8" s="123"/>
      <c r="E8" s="123"/>
    </row>
    <row r="9" spans="1:7" s="22" customFormat="1" ht="31.5" customHeight="1" x14ac:dyDescent="0.5">
      <c r="A9" s="28"/>
      <c r="B9" s="127" t="s">
        <v>3</v>
      </c>
      <c r="C9" s="127"/>
      <c r="D9" s="127"/>
      <c r="E9" s="127"/>
    </row>
    <row r="10" spans="1:7" s="22" customFormat="1" ht="39.75" customHeight="1" x14ac:dyDescent="0.5">
      <c r="A10" s="28"/>
      <c r="B10" s="30" t="s">
        <v>4</v>
      </c>
      <c r="C10" s="130" t="e">
        <f ca="1">'raspakovka invoice'!L13</f>
        <v>#N/A</v>
      </c>
      <c r="D10" s="131"/>
      <c r="E10" s="132"/>
      <c r="G10" s="23"/>
    </row>
    <row r="11" spans="1:7" s="22" customFormat="1" ht="33.75" customHeight="1" x14ac:dyDescent="0.5">
      <c r="A11" s="28"/>
      <c r="B11" s="30" t="s">
        <v>5</v>
      </c>
      <c r="C11" s="130" t="e">
        <f ca="1">'raspakovka invoice'!M14</f>
        <v>#N/A</v>
      </c>
      <c r="D11" s="131"/>
      <c r="E11" s="132"/>
      <c r="G11" s="24"/>
    </row>
    <row r="12" spans="1:7" s="22" customFormat="1" ht="60" customHeight="1" x14ac:dyDescent="0.5">
      <c r="A12" s="28"/>
      <c r="B12" s="30" t="s">
        <v>7</v>
      </c>
      <c r="C12" s="128" t="str">
        <f ca="1">'raspakovka invoice'!L18&amp;"   "&amp;'raspakovka invoice'!L19</f>
        <v>+998 91 190 1169   +998 92 391 6600</v>
      </c>
      <c r="D12" s="128"/>
      <c r="E12" s="128"/>
    </row>
    <row r="13" spans="1:7" s="22" customFormat="1" ht="60" customHeight="1" x14ac:dyDescent="0.5">
      <c r="A13" s="28"/>
      <c r="B13" s="30" t="s">
        <v>6</v>
      </c>
      <c r="C13" s="129" t="str">
        <f ca="1">'raspakovka invoice'!L16</f>
        <v>NAMANGAN VIOYATI</v>
      </c>
      <c r="D13" s="129"/>
      <c r="E13" s="129"/>
    </row>
    <row r="14" spans="1:7" ht="24" customHeight="1" x14ac:dyDescent="0.25">
      <c r="A14" s="126" t="s">
        <v>1</v>
      </c>
      <c r="B14" s="126"/>
      <c r="C14" s="126"/>
      <c r="D14" s="126"/>
      <c r="E14" s="126"/>
    </row>
    <row r="15" spans="1:7" ht="42.75" customHeight="1" x14ac:dyDescent="0.25">
      <c r="A15" s="31" t="s">
        <v>0</v>
      </c>
      <c r="B15" s="31" t="s">
        <v>13</v>
      </c>
      <c r="C15" s="31" t="s">
        <v>22</v>
      </c>
      <c r="D15" s="31" t="s">
        <v>10</v>
      </c>
      <c r="E15" s="31" t="s">
        <v>11</v>
      </c>
    </row>
    <row r="16" spans="1:7" ht="33.75" x14ac:dyDescent="0.25">
      <c r="A16" s="32">
        <v>1</v>
      </c>
      <c r="B16" s="33" t="str">
        <f>'raspakovka invoice'!C8</f>
        <v>obiv</v>
      </c>
      <c r="C16" s="33">
        <f>'raspakovka invoice'!D8</f>
        <v>1</v>
      </c>
      <c r="D16" s="34">
        <f>'raspakovka invoice'!E8</f>
        <v>1</v>
      </c>
      <c r="E16" s="32">
        <f>'raspakovka invoice'!F8</f>
        <v>1</v>
      </c>
    </row>
    <row r="17" spans="1:5" ht="33.75" x14ac:dyDescent="0.25">
      <c r="A17" s="35">
        <v>2</v>
      </c>
      <c r="B17" s="33" t="str">
        <f>'raspakovka invoice'!C9</f>
        <v>shim</v>
      </c>
      <c r="C17" s="33">
        <f>'raspakovka invoice'!D9</f>
        <v>1</v>
      </c>
      <c r="D17" s="34">
        <f>'raspakovka invoice'!E9</f>
        <v>1</v>
      </c>
      <c r="E17" s="32">
        <f>'raspakovka invoice'!F9</f>
        <v>1</v>
      </c>
    </row>
    <row r="18" spans="1:5" ht="33.75" x14ac:dyDescent="0.25">
      <c r="A18" s="35">
        <v>3</v>
      </c>
      <c r="B18" s="33" t="str">
        <f>'raspakovka invoice'!C10</f>
        <v>dvoyka</v>
      </c>
      <c r="C18" s="33">
        <f>'raspakovka invoice'!D10</f>
        <v>1</v>
      </c>
      <c r="D18" s="34">
        <f>'raspakovka invoice'!E10</f>
        <v>1</v>
      </c>
      <c r="E18" s="32">
        <f>'raspakovka invoice'!F10</f>
        <v>1</v>
      </c>
    </row>
    <row r="19" spans="1:5" ht="33.75" x14ac:dyDescent="0.25">
      <c r="A19" s="32">
        <v>4</v>
      </c>
      <c r="B19" s="33" t="str">
        <f>'raspakovka invoice'!C11</f>
        <v>mayka</v>
      </c>
      <c r="C19" s="33">
        <f>'raspakovka invoice'!D11</f>
        <v>1</v>
      </c>
      <c r="D19" s="34">
        <f>'raspakovka invoice'!E11</f>
        <v>1</v>
      </c>
      <c r="E19" s="32">
        <f>'raspakovka invoice'!F11</f>
        <v>1</v>
      </c>
    </row>
    <row r="20" spans="1:5" ht="33.75" x14ac:dyDescent="0.25">
      <c r="A20" s="35">
        <v>5</v>
      </c>
      <c r="B20" s="33" t="str">
        <f>'raspakovka invoice'!C12</f>
        <v>det rubashka</v>
      </c>
      <c r="C20" s="33">
        <f>'raspakovka invoice'!D12</f>
        <v>1</v>
      </c>
      <c r="D20" s="34">
        <f>'raspakovka invoice'!E12</f>
        <v>1</v>
      </c>
      <c r="E20" s="32">
        <f>'raspakovka invoice'!F12</f>
        <v>1</v>
      </c>
    </row>
    <row r="21" spans="1:5" ht="33.75" x14ac:dyDescent="0.25">
      <c r="A21" s="35">
        <v>6</v>
      </c>
      <c r="B21" s="33">
        <f>'raspakovka invoice'!C13</f>
        <v>0</v>
      </c>
      <c r="C21" s="33">
        <f>'raspakovka invoice'!D13</f>
        <v>1</v>
      </c>
      <c r="D21" s="34">
        <f>'raspakovka invoice'!E13</f>
        <v>1</v>
      </c>
      <c r="E21" s="32">
        <f>'raspakovka invoice'!F13</f>
        <v>1</v>
      </c>
    </row>
    <row r="22" spans="1:5" ht="33.75" x14ac:dyDescent="0.25">
      <c r="A22" s="32">
        <v>7</v>
      </c>
      <c r="B22" s="33">
        <f>'raspakovka invoice'!C14</f>
        <v>0</v>
      </c>
      <c r="C22" s="33">
        <f>'raspakovka invoice'!D14</f>
        <v>0</v>
      </c>
      <c r="D22" s="34">
        <f>'raspakovka invoice'!E14</f>
        <v>1</v>
      </c>
      <c r="E22" s="32">
        <f>'raspakovka invoice'!F14</f>
        <v>0</v>
      </c>
    </row>
    <row r="23" spans="1:5" ht="33.75" x14ac:dyDescent="0.25">
      <c r="A23" s="35">
        <v>8</v>
      </c>
      <c r="B23" s="33">
        <f>'raspakovka invoice'!C15</f>
        <v>0</v>
      </c>
      <c r="C23" s="33">
        <f>'raspakovka invoice'!D15</f>
        <v>0</v>
      </c>
      <c r="D23" s="34">
        <f>'raspakovka invoice'!E15</f>
        <v>1</v>
      </c>
      <c r="E23" s="32">
        <f>'raspakovka invoice'!F15</f>
        <v>0</v>
      </c>
    </row>
    <row r="24" spans="1:5" ht="33.75" x14ac:dyDescent="0.25">
      <c r="A24" s="35">
        <v>9</v>
      </c>
      <c r="B24" s="33">
        <f>'raspakovka invoice'!C16</f>
        <v>0</v>
      </c>
      <c r="C24" s="33">
        <f>'raspakovka invoice'!D16</f>
        <v>0</v>
      </c>
      <c r="D24" s="34">
        <f>'raspakovka invoice'!E16</f>
        <v>1</v>
      </c>
      <c r="E24" s="32">
        <f>'raspakovka invoice'!F16</f>
        <v>0</v>
      </c>
    </row>
    <row r="25" spans="1:5" ht="33.75" x14ac:dyDescent="0.25">
      <c r="A25" s="32">
        <v>10</v>
      </c>
      <c r="B25" s="33">
        <f>'raspakovka invoice'!C17</f>
        <v>0</v>
      </c>
      <c r="C25" s="33">
        <f>'raspakovka invoice'!D17</f>
        <v>0</v>
      </c>
      <c r="D25" s="34">
        <f>'raspakovka invoice'!E17</f>
        <v>1</v>
      </c>
      <c r="E25" s="32">
        <f>'raspakovka invoice'!F17</f>
        <v>0</v>
      </c>
    </row>
    <row r="26" spans="1:5" ht="33.75" x14ac:dyDescent="0.25">
      <c r="A26" s="35">
        <v>11</v>
      </c>
      <c r="B26" s="33">
        <f>'raspakovka invoice'!C18</f>
        <v>0</v>
      </c>
      <c r="C26" s="33">
        <f>'raspakovka invoice'!D18</f>
        <v>0</v>
      </c>
      <c r="D26" s="34">
        <f>'raspakovka invoice'!E18</f>
        <v>1</v>
      </c>
      <c r="E26" s="32">
        <f>'raspakovka invoice'!F18</f>
        <v>0</v>
      </c>
    </row>
    <row r="27" spans="1:5" ht="33.75" x14ac:dyDescent="0.25">
      <c r="A27" s="35">
        <v>12</v>
      </c>
      <c r="B27" s="33">
        <f>'raspakovka invoice'!C19</f>
        <v>0</v>
      </c>
      <c r="C27" s="33">
        <f>'raspakovka invoice'!D19</f>
        <v>0</v>
      </c>
      <c r="D27" s="34">
        <f>'raspakovka invoice'!E19</f>
        <v>1</v>
      </c>
      <c r="E27" s="32">
        <f>'raspakovka invoice'!F19</f>
        <v>0</v>
      </c>
    </row>
    <row r="28" spans="1:5" ht="33.75" x14ac:dyDescent="0.25">
      <c r="A28" s="32">
        <v>13</v>
      </c>
      <c r="B28" s="33">
        <f>'raspakovka invoice'!C20</f>
        <v>0</v>
      </c>
      <c r="C28" s="33">
        <f>'raspakovka invoice'!D20</f>
        <v>0</v>
      </c>
      <c r="D28" s="34">
        <f>'raspakovka invoice'!E20</f>
        <v>1</v>
      </c>
      <c r="E28" s="32">
        <f>'raspakovka invoice'!F20</f>
        <v>0</v>
      </c>
    </row>
    <row r="29" spans="1:5" ht="33.75" x14ac:dyDescent="0.25">
      <c r="A29" s="35">
        <v>14</v>
      </c>
      <c r="B29" s="33">
        <f>'raspakovka invoice'!C21</f>
        <v>0</v>
      </c>
      <c r="C29" s="33">
        <f>'raspakovka invoice'!D21</f>
        <v>0</v>
      </c>
      <c r="D29" s="34">
        <f>'raspakovka invoice'!E21</f>
        <v>1</v>
      </c>
      <c r="E29" s="32">
        <f>'raspakovka invoice'!F21</f>
        <v>0</v>
      </c>
    </row>
    <row r="30" spans="1:5" ht="33.75" x14ac:dyDescent="0.25">
      <c r="A30" s="35">
        <v>15</v>
      </c>
      <c r="B30" s="33">
        <f>'raspakovka invoice'!C22</f>
        <v>0</v>
      </c>
      <c r="C30" s="33">
        <f>'raspakovka invoice'!D22</f>
        <v>0</v>
      </c>
      <c r="D30" s="34">
        <f>'raspakovka invoice'!E22</f>
        <v>1</v>
      </c>
      <c r="E30" s="32">
        <f>'raspakovka invoice'!F22</f>
        <v>0</v>
      </c>
    </row>
    <row r="31" spans="1:5" ht="33.75" x14ac:dyDescent="0.25">
      <c r="A31" s="32">
        <v>16</v>
      </c>
      <c r="B31" s="33">
        <f>'raspakovka invoice'!C23</f>
        <v>0</v>
      </c>
      <c r="C31" s="33">
        <f>'raspakovka invoice'!D23</f>
        <v>0</v>
      </c>
      <c r="D31" s="34">
        <f>'raspakovka invoice'!E23</f>
        <v>1</v>
      </c>
      <c r="E31" s="32">
        <f>'raspakovka invoice'!F23</f>
        <v>0</v>
      </c>
    </row>
    <row r="32" spans="1:5" ht="33.75" x14ac:dyDescent="0.25">
      <c r="A32" s="35">
        <v>17</v>
      </c>
      <c r="B32" s="33">
        <f>'raspakovka invoice'!C24</f>
        <v>0</v>
      </c>
      <c r="C32" s="33">
        <f>'raspakovka invoice'!D24</f>
        <v>0</v>
      </c>
      <c r="D32" s="34">
        <f>'raspakovka invoice'!E24</f>
        <v>1</v>
      </c>
      <c r="E32" s="32">
        <f>'raspakovka invoice'!F24</f>
        <v>0</v>
      </c>
    </row>
    <row r="33" spans="1:5" ht="33.75" x14ac:dyDescent="0.25">
      <c r="A33" s="35">
        <v>18</v>
      </c>
      <c r="B33" s="33">
        <f>'raspakovka invoice'!C25</f>
        <v>0</v>
      </c>
      <c r="C33" s="33">
        <f>'raspakovka invoice'!D25</f>
        <v>0</v>
      </c>
      <c r="D33" s="34">
        <f>'raspakovka invoice'!E25</f>
        <v>1</v>
      </c>
      <c r="E33" s="32">
        <f>'raspakovka invoice'!F25</f>
        <v>0</v>
      </c>
    </row>
    <row r="34" spans="1:5" ht="33.75" x14ac:dyDescent="0.25">
      <c r="A34" s="35">
        <v>19</v>
      </c>
      <c r="B34" s="33">
        <f>'raspakovka invoice'!C26</f>
        <v>0</v>
      </c>
      <c r="C34" s="33">
        <f>'raspakovka invoice'!D26</f>
        <v>0</v>
      </c>
      <c r="D34" s="34">
        <f>'raspakovka invoice'!E26</f>
        <v>1</v>
      </c>
      <c r="E34" s="32">
        <f>'raspakovka invoice'!F26</f>
        <v>0</v>
      </c>
    </row>
    <row r="35" spans="1:5" ht="33.75" x14ac:dyDescent="0.25">
      <c r="A35" s="32">
        <v>20</v>
      </c>
      <c r="B35" s="33">
        <f>'raspakovka invoice'!C27</f>
        <v>0</v>
      </c>
      <c r="C35" s="33">
        <f>'raspakovka invoice'!D27</f>
        <v>0</v>
      </c>
      <c r="D35" s="34">
        <f>'raspakovka invoice'!E27</f>
        <v>1</v>
      </c>
      <c r="E35" s="32">
        <f>'raspakovka invoice'!F27</f>
        <v>0</v>
      </c>
    </row>
    <row r="36" spans="1:5" ht="33.75" x14ac:dyDescent="0.25">
      <c r="A36" s="35">
        <v>21</v>
      </c>
      <c r="B36" s="33">
        <f>'raspakovka invoice'!C28</f>
        <v>0</v>
      </c>
      <c r="C36" s="33">
        <f>'raspakovka invoice'!D28</f>
        <v>0</v>
      </c>
      <c r="D36" s="34">
        <f>'raspakovka invoice'!E28</f>
        <v>1</v>
      </c>
      <c r="E36" s="32">
        <f>'raspakovka invoice'!F28</f>
        <v>0</v>
      </c>
    </row>
    <row r="37" spans="1:5" ht="33.75" x14ac:dyDescent="0.25">
      <c r="A37" s="32">
        <v>22</v>
      </c>
      <c r="B37" s="33">
        <f>'raspakovka invoice'!C29</f>
        <v>0</v>
      </c>
      <c r="C37" s="33">
        <f>'raspakovka invoice'!D29</f>
        <v>0</v>
      </c>
      <c r="D37" s="34">
        <f>'raspakovka invoice'!E29</f>
        <v>1</v>
      </c>
      <c r="E37" s="32">
        <f>'raspakovka invoice'!F29</f>
        <v>0</v>
      </c>
    </row>
    <row r="38" spans="1:5" ht="12" hidden="1" customHeight="1" x14ac:dyDescent="0.25">
      <c r="A38" s="35">
        <v>23</v>
      </c>
      <c r="B38" s="33">
        <f>'raspakovka invoice'!C30</f>
        <v>0</v>
      </c>
      <c r="C38" s="33">
        <f>'raspakovka invoice'!D30</f>
        <v>0</v>
      </c>
      <c r="D38" s="34">
        <f>'raspakovka invoice'!E36</f>
        <v>1</v>
      </c>
      <c r="E38" s="32">
        <f>'raspakovka invoice'!F36</f>
        <v>0</v>
      </c>
    </row>
    <row r="39" spans="1:5" ht="23.25" hidden="1" customHeight="1" x14ac:dyDescent="0.25">
      <c r="A39" s="32">
        <v>24</v>
      </c>
      <c r="B39" s="33">
        <f>'raspakovka invoice'!C31</f>
        <v>0</v>
      </c>
      <c r="C39" s="33">
        <f>'raspakovka invoice'!D31</f>
        <v>0</v>
      </c>
      <c r="D39" s="34">
        <f>'raspakovka invoice'!E37</f>
        <v>1</v>
      </c>
      <c r="E39" s="32">
        <f>'raspakovka invoice'!F37</f>
        <v>0</v>
      </c>
    </row>
    <row r="40" spans="1:5" ht="23.25" hidden="1" customHeight="1" x14ac:dyDescent="0.25">
      <c r="A40" s="35">
        <v>25</v>
      </c>
      <c r="B40" s="33">
        <f>'raspakovka invoice'!C32</f>
        <v>0</v>
      </c>
      <c r="C40" s="33">
        <f>'raspakovka invoice'!D32</f>
        <v>0</v>
      </c>
      <c r="D40" s="34">
        <f>'raspakovka invoice'!E38</f>
        <v>1</v>
      </c>
      <c r="E40" s="32">
        <f>'raspakovka invoice'!F38</f>
        <v>0</v>
      </c>
    </row>
    <row r="41" spans="1:5" ht="23.25" hidden="1" customHeight="1" x14ac:dyDescent="0.25">
      <c r="A41" s="32">
        <v>26</v>
      </c>
      <c r="B41" s="33">
        <f>'raspakovka invoice'!C33</f>
        <v>0</v>
      </c>
      <c r="C41" s="33">
        <f>'raspakovka invoice'!D33</f>
        <v>0</v>
      </c>
      <c r="D41" s="34" t="e">
        <f>'raspakovka invoice'!#REF!</f>
        <v>#REF!</v>
      </c>
      <c r="E41" s="32" t="e">
        <f>'raspakovka invoice'!#REF!</f>
        <v>#REF!</v>
      </c>
    </row>
    <row r="42" spans="1:5" ht="23.25" hidden="1" customHeight="1" x14ac:dyDescent="0.25">
      <c r="A42" s="35">
        <v>27</v>
      </c>
      <c r="B42" s="33">
        <f>'raspakovka invoice'!C34</f>
        <v>0</v>
      </c>
      <c r="C42" s="33">
        <f>'raspakovka invoice'!D34</f>
        <v>0</v>
      </c>
      <c r="D42" s="34" t="e">
        <f>'raspakovka invoice'!#REF!</f>
        <v>#REF!</v>
      </c>
      <c r="E42" s="32" t="e">
        <f>'raspakovka invoice'!#REF!</f>
        <v>#REF!</v>
      </c>
    </row>
    <row r="43" spans="1:5" ht="23.25" hidden="1" customHeight="1" x14ac:dyDescent="0.25">
      <c r="A43" s="32">
        <v>28</v>
      </c>
      <c r="B43" s="33">
        <f>'raspakovka invoice'!C35</f>
        <v>0</v>
      </c>
      <c r="C43" s="33">
        <f>'raspakovka invoice'!D35</f>
        <v>0</v>
      </c>
      <c r="D43" s="34" t="e">
        <f>'raspakovka invoice'!#REF!</f>
        <v>#REF!</v>
      </c>
      <c r="E43" s="32" t="e">
        <f>'raspakovka invoice'!#REF!</f>
        <v>#REF!</v>
      </c>
    </row>
    <row r="44" spans="1:5" ht="23.25" hidden="1" customHeight="1" x14ac:dyDescent="0.25">
      <c r="A44" s="35">
        <v>29</v>
      </c>
      <c r="B44" s="33">
        <f>'raspakovka invoice'!C36</f>
        <v>0</v>
      </c>
      <c r="C44" s="33">
        <f>'raspakovka invoice'!D36</f>
        <v>0</v>
      </c>
      <c r="D44" s="34" t="e">
        <f>'raspakovka invoice'!#REF!</f>
        <v>#REF!</v>
      </c>
      <c r="E44" s="32" t="e">
        <f>'raspakovka invoice'!#REF!</f>
        <v>#REF!</v>
      </c>
    </row>
    <row r="45" spans="1:5" ht="23.25" hidden="1" customHeight="1" x14ac:dyDescent="0.25">
      <c r="A45" s="32">
        <v>30</v>
      </c>
      <c r="B45" s="33">
        <f>'raspakovka invoice'!C37</f>
        <v>0</v>
      </c>
      <c r="C45" s="33">
        <f>'raspakovka invoice'!D37</f>
        <v>0</v>
      </c>
      <c r="D45" s="34" t="e">
        <f>'raspakovka invoice'!#REF!</f>
        <v>#REF!</v>
      </c>
      <c r="E45" s="32" t="e">
        <f>'raspakovka invoice'!#REF!</f>
        <v>#REF!</v>
      </c>
    </row>
    <row r="46" spans="1:5" ht="85.5" customHeight="1" x14ac:dyDescent="0.25">
      <c r="A46" s="36"/>
      <c r="B46" s="37" t="s">
        <v>14</v>
      </c>
      <c r="C46" s="38">
        <f>'raspakovka invoice'!D39</f>
        <v>6.7</v>
      </c>
      <c r="D46" s="39"/>
      <c r="E46" s="40">
        <f>SUBTOTAL(109,E16:E45)</f>
        <v>6</v>
      </c>
    </row>
    <row r="47" spans="1:5" ht="23.25" x14ac:dyDescent="0.25">
      <c r="A47" s="41"/>
      <c r="B47" s="41"/>
      <c r="C47" s="41"/>
      <c r="D47" s="41"/>
      <c r="E47" s="41"/>
    </row>
    <row r="48" spans="1:5" ht="61.5" x14ac:dyDescent="0.25">
      <c r="A48" s="41"/>
      <c r="B48" s="42"/>
      <c r="C48" s="43"/>
      <c r="D48" s="41"/>
      <c r="E48" s="41"/>
    </row>
    <row r="49" spans="1:5" ht="23.25" x14ac:dyDescent="0.25">
      <c r="A49" s="41"/>
      <c r="B49" s="41"/>
      <c r="C49" s="41"/>
      <c r="D49" s="41"/>
      <c r="E49" s="41"/>
    </row>
    <row r="50" spans="1:5" ht="23.25" x14ac:dyDescent="0.25">
      <c r="A50" s="41"/>
      <c r="B50" s="41"/>
      <c r="C50" s="41"/>
      <c r="D50" s="41"/>
      <c r="E50" s="41"/>
    </row>
    <row r="51" spans="1:5" ht="23.25" x14ac:dyDescent="0.25">
      <c r="A51" s="41"/>
      <c r="B51" s="41"/>
      <c r="C51" s="41"/>
      <c r="D51" s="41"/>
      <c r="E51" s="41"/>
    </row>
    <row r="52" spans="1:5" ht="23.25" x14ac:dyDescent="0.25">
      <c r="A52" s="41"/>
      <c r="B52" s="41"/>
      <c r="C52" s="41"/>
      <c r="D52" s="41"/>
      <c r="E52" s="41"/>
    </row>
    <row r="53" spans="1:5" x14ac:dyDescent="0.25">
      <c r="A53" s="26"/>
      <c r="B53" s="26"/>
      <c r="C53" s="26"/>
      <c r="D53" s="26"/>
      <c r="E53" s="26"/>
    </row>
    <row r="54" spans="1:5" x14ac:dyDescent="0.25">
      <c r="A54" s="26"/>
      <c r="B54" s="26"/>
      <c r="C54" s="26"/>
      <c r="D54" s="26"/>
      <c r="E54" s="26"/>
    </row>
    <row r="55" spans="1:5" x14ac:dyDescent="0.25">
      <c r="A55" s="26"/>
      <c r="B55" s="26"/>
      <c r="C55" s="26"/>
      <c r="D55" s="26"/>
      <c r="E55" s="26"/>
    </row>
    <row r="56" spans="1:5" x14ac:dyDescent="0.25">
      <c r="A56" s="26"/>
      <c r="B56" s="26"/>
      <c r="C56" s="26"/>
      <c r="D56" s="26"/>
      <c r="E56" s="26"/>
    </row>
    <row r="57" spans="1:5" x14ac:dyDescent="0.25">
      <c r="A57" s="26"/>
      <c r="B57" s="26"/>
      <c r="C57" s="26"/>
      <c r="D57" s="26"/>
      <c r="E57" s="26"/>
    </row>
    <row r="58" spans="1:5" x14ac:dyDescent="0.25">
      <c r="A58" s="26"/>
      <c r="B58" s="26"/>
      <c r="C58" s="26"/>
      <c r="D58" s="26"/>
      <c r="E58" s="26"/>
    </row>
    <row r="59" spans="1:5" x14ac:dyDescent="0.25">
      <c r="A59" s="26"/>
      <c r="B59" s="26"/>
      <c r="C59" s="26"/>
      <c r="D59" s="26"/>
      <c r="E59" s="26"/>
    </row>
    <row r="60" spans="1:5" x14ac:dyDescent="0.25">
      <c r="A60" s="26"/>
      <c r="B60" s="26"/>
      <c r="C60" s="26"/>
      <c r="D60" s="26"/>
      <c r="E60" s="26"/>
    </row>
    <row r="61" spans="1:5" x14ac:dyDescent="0.25">
      <c r="A61" s="26"/>
      <c r="B61" s="26"/>
      <c r="C61" s="26"/>
      <c r="D61" s="26"/>
      <c r="E61" s="26"/>
    </row>
    <row r="62" spans="1:5" x14ac:dyDescent="0.25">
      <c r="A62" s="26"/>
      <c r="B62" s="26"/>
      <c r="C62" s="26"/>
      <c r="D62" s="26"/>
      <c r="E62" s="26"/>
    </row>
    <row r="63" spans="1:5" x14ac:dyDescent="0.25">
      <c r="A63" s="26"/>
      <c r="B63" s="26"/>
      <c r="C63" s="26"/>
      <c r="D63" s="26"/>
      <c r="E63" s="26"/>
    </row>
    <row r="64" spans="1:5" x14ac:dyDescent="0.25">
      <c r="A64" s="26"/>
      <c r="B64" s="26"/>
      <c r="C64" s="26"/>
      <c r="D64" s="26"/>
      <c r="E64" s="26"/>
    </row>
    <row r="65" spans="1:5" x14ac:dyDescent="0.25">
      <c r="A65" s="26"/>
      <c r="B65" s="26"/>
      <c r="C65" s="26"/>
      <c r="D65" s="26"/>
      <c r="E65" s="26"/>
    </row>
    <row r="66" spans="1:5" x14ac:dyDescent="0.25">
      <c r="A66" s="26"/>
      <c r="B66" s="26"/>
      <c r="C66" s="26"/>
      <c r="D66" s="26"/>
      <c r="E66" s="26"/>
    </row>
    <row r="67" spans="1:5" x14ac:dyDescent="0.25">
      <c r="A67" s="26"/>
      <c r="B67" s="26"/>
      <c r="C67" s="26"/>
      <c r="D67" s="26"/>
      <c r="E67" s="26"/>
    </row>
    <row r="68" spans="1:5" x14ac:dyDescent="0.25">
      <c r="A68" s="26"/>
      <c r="B68" s="26"/>
      <c r="C68" s="26"/>
      <c r="D68" s="26"/>
      <c r="E68" s="26"/>
    </row>
    <row r="69" spans="1:5" x14ac:dyDescent="0.25">
      <c r="A69" s="26"/>
      <c r="B69" s="26"/>
      <c r="C69" s="26"/>
      <c r="D69" s="26"/>
      <c r="E69" s="26"/>
    </row>
    <row r="70" spans="1:5" x14ac:dyDescent="0.25">
      <c r="A70" s="26"/>
      <c r="B70" s="26"/>
      <c r="C70" s="26"/>
      <c r="D70" s="26"/>
      <c r="E70" s="26"/>
    </row>
    <row r="71" spans="1:5" x14ac:dyDescent="0.25">
      <c r="A71" s="26"/>
      <c r="B71" s="26"/>
      <c r="C71" s="26"/>
      <c r="D71" s="26"/>
      <c r="E71" s="26"/>
    </row>
    <row r="72" spans="1:5" x14ac:dyDescent="0.25">
      <c r="A72" s="26"/>
      <c r="B72" s="26"/>
      <c r="C72" s="26"/>
      <c r="D72" s="26"/>
      <c r="E72" s="26"/>
    </row>
    <row r="73" spans="1:5" x14ac:dyDescent="0.25">
      <c r="A73" s="26"/>
      <c r="B73" s="26"/>
      <c r="C73" s="26"/>
      <c r="D73" s="26"/>
      <c r="E73" s="26"/>
    </row>
    <row r="74" spans="1:5" x14ac:dyDescent="0.25">
      <c r="A74" s="26"/>
      <c r="B74" s="26"/>
      <c r="C74" s="26"/>
      <c r="D74" s="26"/>
      <c r="E74" s="26"/>
    </row>
  </sheetData>
  <sheetProtection selectLockedCells="1"/>
  <mergeCells count="8">
    <mergeCell ref="C8:E8"/>
    <mergeCell ref="D4:E7"/>
    <mergeCell ref="A14:E14"/>
    <mergeCell ref="B9:E9"/>
    <mergeCell ref="C12:E12"/>
    <mergeCell ref="C13:E13"/>
    <mergeCell ref="C10:E10"/>
    <mergeCell ref="C11:E11"/>
  </mergeCells>
  <dataValidations count="2">
    <dataValidation type="textLength" allowBlank="1" showInputMessage="1" showErrorMessage="1" sqref="C8" xr:uid="{BD3F710D-C0DA-456D-85A2-8BA356D96E81}">
      <formula1>1</formula1>
      <formula2>100</formula2>
    </dataValidation>
    <dataValidation allowBlank="1" showInputMessage="1" showErrorMessage="1" errorTitle="BU YERDA LIST" error="LISTDA BERILGAN TUMANLARDAN BIRINI TANLANG!" sqref="C13:E13" xr:uid="{6FDC5176-5B6F-4E20-9D01-59D4C00C6119}"/>
  </dataValidations>
  <pageMargins left="0.25" right="0.25" top="0.75" bottom="0.75" header="0.3" footer="0.3"/>
  <pageSetup paperSize="11" scale="35" fitToHeight="0" orientation="portrait" horizontalDpi="4294967293" verticalDpi="300" r:id="rId1"/>
  <headerFooter>
    <oddFooter>&amp;C&amp;26&amp;D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1B110-60CD-446F-AE42-BBD7D848A600}">
  <sheetPr codeName="Sheet3"/>
  <dimension ref="A1:F4913"/>
  <sheetViews>
    <sheetView zoomScaleNormal="100" workbookViewId="0">
      <selection activeCell="F21" sqref="F21"/>
    </sheetView>
  </sheetViews>
  <sheetFormatPr defaultRowHeight="15" x14ac:dyDescent="0.25"/>
  <cols>
    <col min="1" max="1" width="18" style="46" customWidth="1"/>
    <col min="2" max="2" width="20.5703125" style="62" bestFit="1" customWidth="1"/>
    <col min="3" max="3" width="18.42578125" style="62" bestFit="1" customWidth="1"/>
    <col min="4" max="4" width="9.140625" style="62"/>
    <col min="5" max="5" width="25.5703125" style="50" bestFit="1" customWidth="1"/>
    <col min="6" max="6" width="48.7109375" bestFit="1" customWidth="1"/>
  </cols>
  <sheetData>
    <row r="1" spans="1:6" ht="23.25" x14ac:dyDescent="0.25">
      <c r="A1" s="46" t="s">
        <v>81</v>
      </c>
      <c r="B1" s="62" t="s">
        <v>82</v>
      </c>
      <c r="C1" s="62" t="s">
        <v>83</v>
      </c>
      <c r="D1" s="62" t="s">
        <v>27</v>
      </c>
      <c r="E1" s="49" t="s">
        <v>28</v>
      </c>
      <c r="F1" s="49" t="s">
        <v>79</v>
      </c>
    </row>
    <row r="2" spans="1:6" ht="23.25" x14ac:dyDescent="0.35">
      <c r="A2" s="46" t="s">
        <v>84</v>
      </c>
      <c r="B2" s="62" t="s">
        <v>82</v>
      </c>
      <c r="C2" s="62" t="s">
        <v>83</v>
      </c>
      <c r="D2" s="62" t="s">
        <v>27</v>
      </c>
      <c r="E2" s="51">
        <f>COUNTA(A:A)</f>
        <v>5</v>
      </c>
      <c r="F2" s="101" t="s">
        <v>80</v>
      </c>
    </row>
    <row r="3" spans="1:6" x14ac:dyDescent="0.25">
      <c r="A3" s="46" t="s">
        <v>85</v>
      </c>
      <c r="B3" s="62" t="s">
        <v>82</v>
      </c>
      <c r="C3" s="62" t="s">
        <v>83</v>
      </c>
      <c r="D3" s="62" t="s">
        <v>27</v>
      </c>
      <c r="F3" s="100"/>
    </row>
    <row r="4" spans="1:6" x14ac:dyDescent="0.25">
      <c r="A4" s="46" t="s">
        <v>86</v>
      </c>
      <c r="B4" s="62" t="s">
        <v>82</v>
      </c>
      <c r="C4" s="62" t="s">
        <v>83</v>
      </c>
      <c r="D4" s="62" t="s">
        <v>27</v>
      </c>
    </row>
    <row r="5" spans="1:6" x14ac:dyDescent="0.25">
      <c r="A5" s="46" t="s">
        <v>87</v>
      </c>
      <c r="B5" s="62" t="s">
        <v>82</v>
      </c>
      <c r="C5" s="62" t="s">
        <v>83</v>
      </c>
      <c r="D5" s="62" t="s">
        <v>27</v>
      </c>
    </row>
    <row r="925" spans="1:4" x14ac:dyDescent="0.25">
      <c r="A925" s="103"/>
      <c r="B925" s="102"/>
      <c r="C925" s="102"/>
      <c r="D925" s="102"/>
    </row>
    <row r="926" spans="1:4" x14ac:dyDescent="0.25">
      <c r="A926" s="103"/>
      <c r="B926" s="102"/>
      <c r="C926" s="102"/>
      <c r="D926" s="102"/>
    </row>
    <row r="927" spans="1:4" x14ac:dyDescent="0.25">
      <c r="A927" s="103"/>
      <c r="B927" s="102"/>
      <c r="C927" s="102"/>
      <c r="D927" s="102"/>
    </row>
    <row r="928" spans="1:4" x14ac:dyDescent="0.25">
      <c r="A928" s="103"/>
      <c r="B928" s="102"/>
      <c r="C928" s="102"/>
      <c r="D928" s="102"/>
    </row>
    <row r="929" spans="1:4" x14ac:dyDescent="0.25">
      <c r="A929" s="103"/>
      <c r="B929" s="102"/>
      <c r="C929" s="102"/>
      <c r="D929" s="102"/>
    </row>
    <row r="930" spans="1:4" x14ac:dyDescent="0.25">
      <c r="A930" s="103"/>
      <c r="B930" s="102"/>
      <c r="C930" s="102"/>
      <c r="D930" s="102"/>
    </row>
    <row r="931" spans="1:4" x14ac:dyDescent="0.25">
      <c r="A931" s="103"/>
      <c r="B931" s="102"/>
      <c r="C931" s="102"/>
      <c r="D931" s="102"/>
    </row>
    <row r="932" spans="1:4" x14ac:dyDescent="0.25">
      <c r="A932" s="103"/>
      <c r="B932" s="102"/>
      <c r="C932" s="102"/>
      <c r="D932" s="102"/>
    </row>
    <row r="933" spans="1:4" x14ac:dyDescent="0.25">
      <c r="A933" s="103"/>
      <c r="B933" s="102"/>
      <c r="C933" s="102"/>
      <c r="D933" s="102"/>
    </row>
    <row r="934" spans="1:4" x14ac:dyDescent="0.25">
      <c r="A934" s="103"/>
      <c r="B934" s="102"/>
      <c r="C934" s="102"/>
      <c r="D934" s="102"/>
    </row>
    <row r="935" spans="1:4" x14ac:dyDescent="0.25">
      <c r="A935" s="103"/>
      <c r="B935" s="102"/>
      <c r="C935" s="102"/>
      <c r="D935" s="102"/>
    </row>
    <row r="936" spans="1:4" x14ac:dyDescent="0.25">
      <c r="A936" s="103"/>
      <c r="B936" s="102"/>
      <c r="C936" s="102"/>
      <c r="D936" s="102"/>
    </row>
    <row r="937" spans="1:4" x14ac:dyDescent="0.25">
      <c r="A937" s="103"/>
      <c r="B937" s="102"/>
      <c r="C937" s="102"/>
      <c r="D937" s="102"/>
    </row>
    <row r="938" spans="1:4" x14ac:dyDescent="0.25">
      <c r="A938" s="103"/>
      <c r="B938" s="102"/>
      <c r="C938" s="102"/>
      <c r="D938" s="102"/>
    </row>
    <row r="939" spans="1:4" x14ac:dyDescent="0.25">
      <c r="A939" s="103"/>
      <c r="B939" s="102"/>
      <c r="C939" s="102"/>
      <c r="D939" s="102"/>
    </row>
    <row r="940" spans="1:4" x14ac:dyDescent="0.25">
      <c r="A940" s="103"/>
      <c r="B940" s="102"/>
      <c r="C940" s="102"/>
      <c r="D940" s="102"/>
    </row>
    <row r="941" spans="1:4" x14ac:dyDescent="0.25">
      <c r="A941" s="103"/>
      <c r="B941" s="102"/>
      <c r="C941" s="102"/>
      <c r="D941" s="102"/>
    </row>
    <row r="942" spans="1:4" x14ac:dyDescent="0.25">
      <c r="A942" s="103"/>
      <c r="B942" s="102"/>
      <c r="C942" s="102"/>
      <c r="D942" s="102"/>
    </row>
    <row r="943" spans="1:4" x14ac:dyDescent="0.25">
      <c r="A943" s="103"/>
      <c r="B943" s="102"/>
      <c r="C943" s="102"/>
      <c r="D943" s="102"/>
    </row>
    <row r="944" spans="1:4" x14ac:dyDescent="0.25">
      <c r="A944" s="103"/>
      <c r="B944" s="102"/>
      <c r="C944" s="102"/>
      <c r="D944" s="102"/>
    </row>
    <row r="945" spans="1:4" x14ac:dyDescent="0.25">
      <c r="A945" s="103"/>
      <c r="B945" s="102"/>
      <c r="C945" s="102"/>
      <c r="D945" s="102"/>
    </row>
    <row r="946" spans="1:4" x14ac:dyDescent="0.25">
      <c r="A946" s="103"/>
      <c r="B946" s="102"/>
      <c r="C946" s="102"/>
      <c r="D946" s="102"/>
    </row>
    <row r="947" spans="1:4" x14ac:dyDescent="0.25">
      <c r="A947" s="103"/>
      <c r="B947" s="102"/>
      <c r="C947" s="102"/>
      <c r="D947" s="102"/>
    </row>
    <row r="948" spans="1:4" x14ac:dyDescent="0.25">
      <c r="A948" s="103"/>
      <c r="B948" s="102"/>
      <c r="C948" s="102"/>
      <c r="D948" s="102"/>
    </row>
    <row r="949" spans="1:4" x14ac:dyDescent="0.25">
      <c r="A949" s="103"/>
      <c r="B949" s="102"/>
      <c r="C949" s="102"/>
      <c r="D949" s="102"/>
    </row>
    <row r="950" spans="1:4" x14ac:dyDescent="0.25">
      <c r="A950" s="103"/>
      <c r="B950" s="102"/>
      <c r="C950" s="102"/>
      <c r="D950" s="102"/>
    </row>
    <row r="951" spans="1:4" x14ac:dyDescent="0.25">
      <c r="A951" s="103"/>
      <c r="B951" s="102"/>
      <c r="C951" s="102"/>
      <c r="D951" s="102"/>
    </row>
    <row r="952" spans="1:4" x14ac:dyDescent="0.25">
      <c r="A952" s="103"/>
      <c r="B952" s="102"/>
      <c r="C952" s="102"/>
      <c r="D952" s="102"/>
    </row>
    <row r="953" spans="1:4" x14ac:dyDescent="0.25">
      <c r="A953" s="103"/>
      <c r="B953" s="102"/>
      <c r="C953" s="102"/>
      <c r="D953" s="102"/>
    </row>
    <row r="954" spans="1:4" x14ac:dyDescent="0.25">
      <c r="A954" s="103"/>
      <c r="B954" s="102"/>
      <c r="C954" s="102"/>
      <c r="D954" s="102"/>
    </row>
    <row r="955" spans="1:4" x14ac:dyDescent="0.25">
      <c r="A955" s="103"/>
      <c r="B955" s="102"/>
      <c r="C955" s="102"/>
      <c r="D955" s="102"/>
    </row>
    <row r="956" spans="1:4" x14ac:dyDescent="0.25">
      <c r="A956" s="103"/>
      <c r="B956" s="102"/>
      <c r="C956" s="102"/>
      <c r="D956" s="102"/>
    </row>
    <row r="957" spans="1:4" x14ac:dyDescent="0.25">
      <c r="A957" s="103"/>
      <c r="B957" s="102"/>
      <c r="C957" s="102"/>
      <c r="D957" s="102"/>
    </row>
    <row r="958" spans="1:4" x14ac:dyDescent="0.25">
      <c r="A958" s="103"/>
      <c r="B958" s="102"/>
      <c r="C958" s="102"/>
      <c r="D958" s="102"/>
    </row>
    <row r="959" spans="1:4" x14ac:dyDescent="0.25">
      <c r="A959" s="103"/>
      <c r="B959" s="102"/>
      <c r="C959" s="102"/>
      <c r="D959" s="102"/>
    </row>
    <row r="960" spans="1:4" x14ac:dyDescent="0.25">
      <c r="A960" s="103"/>
      <c r="B960" s="102"/>
      <c r="C960" s="102"/>
      <c r="D960" s="102"/>
    </row>
    <row r="961" spans="1:4" x14ac:dyDescent="0.25">
      <c r="A961" s="103"/>
      <c r="B961" s="102"/>
      <c r="C961" s="102"/>
      <c r="D961" s="102"/>
    </row>
    <row r="962" spans="1:4" x14ac:dyDescent="0.25">
      <c r="A962" s="103"/>
      <c r="B962" s="102"/>
      <c r="C962" s="102"/>
      <c r="D962" s="102"/>
    </row>
    <row r="963" spans="1:4" x14ac:dyDescent="0.25">
      <c r="A963" s="103"/>
      <c r="B963" s="102"/>
      <c r="C963" s="102"/>
      <c r="D963" s="102"/>
    </row>
    <row r="964" spans="1:4" x14ac:dyDescent="0.25">
      <c r="A964" s="103"/>
      <c r="B964" s="102"/>
      <c r="C964" s="102"/>
      <c r="D964" s="102"/>
    </row>
    <row r="965" spans="1:4" x14ac:dyDescent="0.25">
      <c r="A965" s="103"/>
      <c r="B965" s="102"/>
      <c r="C965" s="102"/>
      <c r="D965" s="102"/>
    </row>
    <row r="966" spans="1:4" x14ac:dyDescent="0.25">
      <c r="A966" s="103"/>
      <c r="B966" s="102"/>
      <c r="C966" s="102"/>
      <c r="D966" s="102"/>
    </row>
    <row r="967" spans="1:4" x14ac:dyDescent="0.25">
      <c r="A967" s="103"/>
      <c r="B967" s="102"/>
      <c r="C967" s="102"/>
      <c r="D967" s="102"/>
    </row>
    <row r="968" spans="1:4" x14ac:dyDescent="0.25">
      <c r="A968" s="103"/>
      <c r="B968" s="102"/>
      <c r="C968" s="102"/>
      <c r="D968" s="102"/>
    </row>
    <row r="969" spans="1:4" x14ac:dyDescent="0.25">
      <c r="A969" s="103"/>
      <c r="B969" s="102"/>
      <c r="C969" s="102"/>
      <c r="D969" s="102"/>
    </row>
    <row r="970" spans="1:4" x14ac:dyDescent="0.25">
      <c r="A970" s="103"/>
      <c r="B970" s="102"/>
      <c r="C970" s="102"/>
      <c r="D970" s="102"/>
    </row>
    <row r="971" spans="1:4" x14ac:dyDescent="0.25">
      <c r="A971" s="103"/>
      <c r="B971" s="102"/>
      <c r="C971" s="102"/>
      <c r="D971" s="102"/>
    </row>
    <row r="972" spans="1:4" x14ac:dyDescent="0.25">
      <c r="A972" s="103"/>
      <c r="B972" s="102"/>
      <c r="C972" s="102"/>
      <c r="D972" s="102"/>
    </row>
    <row r="973" spans="1:4" x14ac:dyDescent="0.25">
      <c r="A973" s="103"/>
      <c r="B973" s="102"/>
      <c r="C973" s="102"/>
      <c r="D973" s="102"/>
    </row>
    <row r="974" spans="1:4" x14ac:dyDescent="0.25">
      <c r="A974" s="103"/>
      <c r="B974" s="102"/>
      <c r="C974" s="102"/>
      <c r="D974" s="102"/>
    </row>
    <row r="975" spans="1:4" x14ac:dyDescent="0.25">
      <c r="A975" s="103"/>
      <c r="B975" s="102"/>
      <c r="C975" s="102"/>
      <c r="D975" s="102"/>
    </row>
    <row r="976" spans="1:4" x14ac:dyDescent="0.25">
      <c r="A976" s="103"/>
      <c r="B976" s="102"/>
      <c r="C976" s="102"/>
      <c r="D976" s="102"/>
    </row>
    <row r="977" spans="1:4" x14ac:dyDescent="0.25">
      <c r="A977" s="103"/>
      <c r="B977" s="102"/>
      <c r="C977" s="102"/>
      <c r="D977" s="102"/>
    </row>
    <row r="978" spans="1:4" x14ac:dyDescent="0.25">
      <c r="A978" s="103"/>
      <c r="B978" s="102"/>
      <c r="C978" s="102"/>
      <c r="D978" s="102"/>
    </row>
    <row r="979" spans="1:4" x14ac:dyDescent="0.25">
      <c r="A979" s="103"/>
      <c r="B979" s="102"/>
      <c r="C979" s="102"/>
      <c r="D979" s="102"/>
    </row>
    <row r="980" spans="1:4" x14ac:dyDescent="0.25">
      <c r="A980" s="103"/>
      <c r="B980" s="102"/>
      <c r="C980" s="102"/>
      <c r="D980" s="102"/>
    </row>
    <row r="981" spans="1:4" x14ac:dyDescent="0.25">
      <c r="A981" s="103"/>
      <c r="B981" s="102"/>
      <c r="C981" s="102"/>
      <c r="D981" s="102"/>
    </row>
    <row r="982" spans="1:4" x14ac:dyDescent="0.25">
      <c r="A982" s="103"/>
      <c r="B982" s="102"/>
      <c r="C982" s="102"/>
      <c r="D982" s="102"/>
    </row>
    <row r="983" spans="1:4" x14ac:dyDescent="0.25">
      <c r="A983" s="103"/>
      <c r="B983" s="102"/>
      <c r="C983" s="102"/>
      <c r="D983" s="102"/>
    </row>
    <row r="984" spans="1:4" x14ac:dyDescent="0.25">
      <c r="A984" s="103"/>
      <c r="B984" s="102"/>
      <c r="C984" s="102"/>
      <c r="D984" s="102"/>
    </row>
    <row r="985" spans="1:4" x14ac:dyDescent="0.25">
      <c r="A985" s="103"/>
      <c r="B985" s="102"/>
      <c r="C985" s="102"/>
      <c r="D985" s="102"/>
    </row>
    <row r="986" spans="1:4" x14ac:dyDescent="0.25">
      <c r="A986" s="103"/>
      <c r="B986" s="102"/>
      <c r="C986" s="102"/>
      <c r="D986" s="102"/>
    </row>
    <row r="987" spans="1:4" x14ac:dyDescent="0.25">
      <c r="A987" s="103"/>
      <c r="B987" s="102"/>
      <c r="C987" s="102"/>
      <c r="D987" s="102"/>
    </row>
    <row r="988" spans="1:4" x14ac:dyDescent="0.25">
      <c r="A988" s="103"/>
      <c r="B988" s="102"/>
      <c r="C988" s="102"/>
      <c r="D988" s="102"/>
    </row>
    <row r="989" spans="1:4" x14ac:dyDescent="0.25">
      <c r="A989" s="103"/>
      <c r="B989" s="102"/>
      <c r="C989" s="102"/>
      <c r="D989" s="102"/>
    </row>
    <row r="990" spans="1:4" x14ac:dyDescent="0.25">
      <c r="A990" s="103"/>
      <c r="B990" s="102"/>
      <c r="C990" s="102"/>
      <c r="D990" s="102"/>
    </row>
    <row r="991" spans="1:4" x14ac:dyDescent="0.25">
      <c r="A991" s="103"/>
      <c r="B991" s="102"/>
      <c r="C991" s="102"/>
      <c r="D991" s="102"/>
    </row>
    <row r="992" spans="1:4" x14ac:dyDescent="0.25">
      <c r="A992" s="103"/>
      <c r="B992" s="102"/>
      <c r="C992" s="102"/>
      <c r="D992" s="102"/>
    </row>
    <row r="993" spans="1:4" x14ac:dyDescent="0.25">
      <c r="A993" s="103"/>
      <c r="B993" s="102"/>
      <c r="C993" s="102"/>
      <c r="D993" s="102"/>
    </row>
    <row r="994" spans="1:4" x14ac:dyDescent="0.25">
      <c r="A994" s="103"/>
      <c r="B994" s="102"/>
      <c r="C994" s="102"/>
      <c r="D994" s="102"/>
    </row>
    <row r="995" spans="1:4" x14ac:dyDescent="0.25">
      <c r="A995" s="103"/>
      <c r="B995" s="102"/>
      <c r="C995" s="102"/>
      <c r="D995" s="102"/>
    </row>
    <row r="996" spans="1:4" x14ac:dyDescent="0.25">
      <c r="A996" s="103"/>
      <c r="B996" s="102"/>
      <c r="C996" s="102"/>
      <c r="D996" s="102"/>
    </row>
    <row r="997" spans="1:4" x14ac:dyDescent="0.25">
      <c r="A997" s="103"/>
      <c r="B997" s="102"/>
      <c r="C997" s="102"/>
      <c r="D997" s="102"/>
    </row>
    <row r="998" spans="1:4" x14ac:dyDescent="0.25">
      <c r="A998" s="103"/>
      <c r="B998" s="102"/>
      <c r="C998" s="102"/>
      <c r="D998" s="102"/>
    </row>
    <row r="999" spans="1:4" x14ac:dyDescent="0.25">
      <c r="A999" s="103"/>
      <c r="B999" s="102"/>
      <c r="C999" s="102"/>
      <c r="D999" s="102"/>
    </row>
    <row r="1000" spans="1:4" x14ac:dyDescent="0.25">
      <c r="A1000" s="103"/>
      <c r="B1000" s="102"/>
      <c r="C1000" s="102"/>
      <c r="D1000" s="102"/>
    </row>
    <row r="1001" spans="1:4" x14ac:dyDescent="0.25">
      <c r="A1001" s="103"/>
      <c r="B1001" s="102"/>
      <c r="C1001" s="102"/>
      <c r="D1001" s="102"/>
    </row>
    <row r="1002" spans="1:4" x14ac:dyDescent="0.25">
      <c r="A1002" s="103"/>
      <c r="B1002" s="102"/>
      <c r="C1002" s="102"/>
      <c r="D1002" s="102"/>
    </row>
    <row r="1003" spans="1:4" x14ac:dyDescent="0.25">
      <c r="A1003" s="103"/>
      <c r="B1003" s="102"/>
      <c r="C1003" s="102"/>
      <c r="D1003" s="102"/>
    </row>
    <row r="1004" spans="1:4" x14ac:dyDescent="0.25">
      <c r="A1004" s="103"/>
      <c r="B1004" s="102"/>
      <c r="C1004" s="102"/>
      <c r="D1004" s="102"/>
    </row>
    <row r="1005" spans="1:4" x14ac:dyDescent="0.25">
      <c r="A1005" s="103"/>
      <c r="B1005" s="102"/>
      <c r="C1005" s="102"/>
      <c r="D1005" s="102"/>
    </row>
    <row r="1006" spans="1:4" x14ac:dyDescent="0.25">
      <c r="A1006" s="103"/>
      <c r="B1006" s="102"/>
      <c r="C1006" s="102"/>
      <c r="D1006" s="102"/>
    </row>
    <row r="1007" spans="1:4" x14ac:dyDescent="0.25">
      <c r="A1007" s="103"/>
      <c r="B1007" s="102"/>
      <c r="C1007" s="102"/>
      <c r="D1007" s="102"/>
    </row>
    <row r="1008" spans="1:4" x14ac:dyDescent="0.25">
      <c r="A1008" s="103"/>
      <c r="B1008" s="102"/>
      <c r="C1008" s="102"/>
      <c r="D1008" s="102"/>
    </row>
    <row r="1009" spans="1:4" x14ac:dyDescent="0.25">
      <c r="A1009" s="103"/>
      <c r="B1009" s="102"/>
      <c r="C1009" s="102"/>
      <c r="D1009" s="102"/>
    </row>
    <row r="1010" spans="1:4" x14ac:dyDescent="0.25">
      <c r="A1010" s="103"/>
      <c r="B1010" s="102"/>
      <c r="C1010" s="102"/>
      <c r="D1010" s="102"/>
    </row>
    <row r="1011" spans="1:4" x14ac:dyDescent="0.25">
      <c r="A1011" s="103"/>
      <c r="B1011" s="102"/>
      <c r="C1011" s="102"/>
      <c r="D1011" s="102"/>
    </row>
    <row r="1012" spans="1:4" x14ac:dyDescent="0.25">
      <c r="A1012" s="103"/>
      <c r="B1012" s="102"/>
      <c r="C1012" s="102"/>
      <c r="D1012" s="102"/>
    </row>
    <row r="1013" spans="1:4" x14ac:dyDescent="0.25">
      <c r="A1013" s="103"/>
      <c r="B1013" s="102"/>
      <c r="C1013" s="102"/>
      <c r="D1013" s="102"/>
    </row>
    <row r="1014" spans="1:4" x14ac:dyDescent="0.25">
      <c r="A1014" s="103"/>
      <c r="B1014" s="102"/>
      <c r="C1014" s="102"/>
      <c r="D1014" s="102"/>
    </row>
    <row r="1015" spans="1:4" x14ac:dyDescent="0.25">
      <c r="A1015" s="103"/>
      <c r="B1015" s="102"/>
      <c r="C1015" s="102"/>
      <c r="D1015" s="102"/>
    </row>
    <row r="1016" spans="1:4" x14ac:dyDescent="0.25">
      <c r="A1016" s="103"/>
      <c r="B1016" s="102"/>
      <c r="C1016" s="102"/>
      <c r="D1016" s="102"/>
    </row>
    <row r="1017" spans="1:4" x14ac:dyDescent="0.25">
      <c r="A1017" s="103"/>
      <c r="B1017" s="102"/>
      <c r="C1017" s="102"/>
      <c r="D1017" s="102"/>
    </row>
    <row r="1018" spans="1:4" x14ac:dyDescent="0.25">
      <c r="A1018" s="103"/>
      <c r="B1018" s="102"/>
      <c r="C1018" s="102"/>
      <c r="D1018" s="102"/>
    </row>
    <row r="1019" spans="1:4" x14ac:dyDescent="0.25">
      <c r="A1019" s="103"/>
      <c r="B1019" s="102"/>
      <c r="C1019" s="102"/>
      <c r="D1019" s="102"/>
    </row>
    <row r="1020" spans="1:4" x14ac:dyDescent="0.25">
      <c r="A1020" s="103"/>
      <c r="B1020" s="102"/>
      <c r="C1020" s="102"/>
      <c r="D1020" s="102"/>
    </row>
    <row r="1021" spans="1:4" x14ac:dyDescent="0.25">
      <c r="A1021" s="103"/>
      <c r="B1021" s="102"/>
      <c r="C1021" s="102"/>
      <c r="D1021" s="102"/>
    </row>
    <row r="1022" spans="1:4" x14ac:dyDescent="0.25">
      <c r="A1022" s="103"/>
      <c r="B1022" s="102"/>
      <c r="C1022" s="102"/>
      <c r="D1022" s="102"/>
    </row>
    <row r="1023" spans="1:4" x14ac:dyDescent="0.25">
      <c r="A1023" s="103"/>
      <c r="B1023" s="102"/>
      <c r="C1023" s="102"/>
      <c r="D1023" s="102"/>
    </row>
    <row r="1024" spans="1:4" x14ac:dyDescent="0.25">
      <c r="A1024" s="103"/>
      <c r="B1024" s="102"/>
      <c r="C1024" s="102"/>
      <c r="D1024" s="102"/>
    </row>
    <row r="1025" spans="1:4" x14ac:dyDescent="0.25">
      <c r="A1025" s="103"/>
      <c r="B1025" s="102"/>
      <c r="C1025" s="102"/>
      <c r="D1025" s="102"/>
    </row>
    <row r="1026" spans="1:4" x14ac:dyDescent="0.25">
      <c r="A1026" s="103"/>
      <c r="B1026" s="102"/>
      <c r="C1026" s="102"/>
      <c r="D1026" s="102"/>
    </row>
    <row r="1027" spans="1:4" x14ac:dyDescent="0.25">
      <c r="A1027" s="103"/>
      <c r="B1027" s="102"/>
      <c r="C1027" s="102"/>
      <c r="D1027" s="102"/>
    </row>
    <row r="1028" spans="1:4" x14ac:dyDescent="0.25">
      <c r="A1028" s="103"/>
      <c r="B1028" s="102"/>
      <c r="C1028" s="102"/>
      <c r="D1028" s="102"/>
    </row>
    <row r="1029" spans="1:4" x14ac:dyDescent="0.25">
      <c r="A1029" s="103"/>
      <c r="B1029" s="102"/>
      <c r="C1029" s="102"/>
      <c r="D1029" s="102"/>
    </row>
    <row r="1030" spans="1:4" x14ac:dyDescent="0.25">
      <c r="A1030" s="103"/>
      <c r="B1030" s="102"/>
      <c r="C1030" s="102"/>
      <c r="D1030" s="102"/>
    </row>
    <row r="1031" spans="1:4" x14ac:dyDescent="0.25">
      <c r="A1031" s="103"/>
      <c r="B1031" s="102"/>
      <c r="C1031" s="102"/>
      <c r="D1031" s="102"/>
    </row>
    <row r="1032" spans="1:4" x14ac:dyDescent="0.25">
      <c r="A1032" s="103"/>
      <c r="B1032" s="102"/>
      <c r="C1032" s="102"/>
      <c r="D1032" s="102"/>
    </row>
    <row r="1033" spans="1:4" x14ac:dyDescent="0.25">
      <c r="A1033" s="103"/>
      <c r="B1033" s="102"/>
      <c r="C1033" s="102"/>
      <c r="D1033" s="102"/>
    </row>
    <row r="1034" spans="1:4" x14ac:dyDescent="0.25">
      <c r="A1034" s="103"/>
      <c r="B1034" s="102"/>
      <c r="C1034" s="102"/>
      <c r="D1034" s="102"/>
    </row>
    <row r="1035" spans="1:4" x14ac:dyDescent="0.25">
      <c r="A1035" s="103"/>
      <c r="B1035" s="102"/>
      <c r="C1035" s="102"/>
      <c r="D1035" s="102"/>
    </row>
    <row r="1036" spans="1:4" x14ac:dyDescent="0.25">
      <c r="A1036" s="103"/>
      <c r="B1036" s="102"/>
      <c r="C1036" s="102"/>
      <c r="D1036" s="102"/>
    </row>
    <row r="1037" spans="1:4" x14ac:dyDescent="0.25">
      <c r="A1037" s="103"/>
      <c r="B1037" s="102"/>
      <c r="C1037" s="102"/>
      <c r="D1037" s="102"/>
    </row>
    <row r="1038" spans="1:4" x14ac:dyDescent="0.25">
      <c r="A1038" s="103"/>
      <c r="B1038" s="102"/>
      <c r="C1038" s="102"/>
      <c r="D1038" s="102"/>
    </row>
    <row r="1039" spans="1:4" x14ac:dyDescent="0.25">
      <c r="A1039" s="103"/>
      <c r="B1039" s="102"/>
      <c r="C1039" s="102"/>
      <c r="D1039" s="102"/>
    </row>
    <row r="1040" spans="1:4" x14ac:dyDescent="0.25">
      <c r="A1040" s="103"/>
      <c r="B1040" s="102"/>
      <c r="C1040" s="102"/>
      <c r="D1040" s="102"/>
    </row>
    <row r="1041" spans="1:4" x14ac:dyDescent="0.25">
      <c r="A1041" s="103"/>
      <c r="B1041" s="102"/>
      <c r="C1041" s="102"/>
      <c r="D1041" s="102"/>
    </row>
    <row r="1042" spans="1:4" x14ac:dyDescent="0.25">
      <c r="A1042" s="103"/>
      <c r="B1042" s="102"/>
      <c r="C1042" s="102"/>
      <c r="D1042" s="102"/>
    </row>
    <row r="1043" spans="1:4" x14ac:dyDescent="0.25">
      <c r="A1043" s="103"/>
      <c r="B1043" s="102"/>
      <c r="C1043" s="102"/>
      <c r="D1043" s="102"/>
    </row>
    <row r="1044" spans="1:4" x14ac:dyDescent="0.25">
      <c r="A1044" s="103"/>
      <c r="B1044" s="102"/>
      <c r="C1044" s="102"/>
      <c r="D1044" s="102"/>
    </row>
    <row r="1045" spans="1:4" x14ac:dyDescent="0.25">
      <c r="A1045" s="103"/>
      <c r="B1045" s="102"/>
      <c r="C1045" s="102"/>
      <c r="D1045" s="102"/>
    </row>
    <row r="1046" spans="1:4" x14ac:dyDescent="0.25">
      <c r="A1046" s="103"/>
      <c r="B1046" s="102"/>
      <c r="C1046" s="102"/>
      <c r="D1046" s="102"/>
    </row>
    <row r="1047" spans="1:4" x14ac:dyDescent="0.25">
      <c r="A1047" s="103"/>
      <c r="B1047" s="102"/>
      <c r="C1047" s="102"/>
      <c r="D1047" s="102"/>
    </row>
    <row r="1048" spans="1:4" x14ac:dyDescent="0.25">
      <c r="A1048" s="103"/>
      <c r="B1048" s="102"/>
      <c r="C1048" s="102"/>
      <c r="D1048" s="102"/>
    </row>
    <row r="1049" spans="1:4" x14ac:dyDescent="0.25">
      <c r="A1049" s="103"/>
      <c r="B1049" s="102"/>
      <c r="C1049" s="102"/>
      <c r="D1049" s="102"/>
    </row>
    <row r="1050" spans="1:4" x14ac:dyDescent="0.25">
      <c r="A1050" s="103"/>
      <c r="B1050" s="102"/>
      <c r="C1050" s="102"/>
      <c r="D1050" s="102"/>
    </row>
    <row r="1051" spans="1:4" x14ac:dyDescent="0.25">
      <c r="A1051" s="103"/>
      <c r="B1051" s="102"/>
      <c r="C1051" s="102"/>
      <c r="D1051" s="102"/>
    </row>
    <row r="1052" spans="1:4" x14ac:dyDescent="0.25">
      <c r="A1052" s="103"/>
      <c r="B1052" s="102"/>
      <c r="C1052" s="102"/>
      <c r="D1052" s="102"/>
    </row>
    <row r="1053" spans="1:4" x14ac:dyDescent="0.25">
      <c r="A1053" s="103"/>
      <c r="B1053" s="102"/>
      <c r="C1053" s="102"/>
      <c r="D1053" s="102"/>
    </row>
    <row r="1054" spans="1:4" x14ac:dyDescent="0.25">
      <c r="A1054" s="103"/>
      <c r="B1054" s="102"/>
      <c r="C1054" s="102"/>
      <c r="D1054" s="102"/>
    </row>
    <row r="1055" spans="1:4" x14ac:dyDescent="0.25">
      <c r="A1055" s="103"/>
      <c r="B1055" s="102"/>
      <c r="C1055" s="102"/>
      <c r="D1055" s="102"/>
    </row>
    <row r="1056" spans="1:4" x14ac:dyDescent="0.25">
      <c r="A1056" s="103"/>
      <c r="B1056" s="102"/>
      <c r="C1056" s="102"/>
      <c r="D1056" s="102"/>
    </row>
    <row r="1057" spans="1:4" x14ac:dyDescent="0.25">
      <c r="A1057" s="103"/>
      <c r="B1057" s="102"/>
      <c r="C1057" s="102"/>
      <c r="D1057" s="102"/>
    </row>
    <row r="1058" spans="1:4" x14ac:dyDescent="0.25">
      <c r="A1058" s="103"/>
      <c r="B1058" s="102"/>
      <c r="C1058" s="102"/>
      <c r="D1058" s="102"/>
    </row>
    <row r="1059" spans="1:4" x14ac:dyDescent="0.25">
      <c r="A1059" s="103"/>
      <c r="B1059" s="102"/>
      <c r="C1059" s="102"/>
      <c r="D1059" s="102"/>
    </row>
    <row r="1060" spans="1:4" x14ac:dyDescent="0.25">
      <c r="A1060" s="103"/>
      <c r="B1060" s="102"/>
      <c r="C1060" s="102"/>
      <c r="D1060" s="102"/>
    </row>
    <row r="1061" spans="1:4" x14ac:dyDescent="0.25">
      <c r="A1061" s="103"/>
      <c r="B1061" s="102"/>
      <c r="C1061" s="102"/>
      <c r="D1061" s="102"/>
    </row>
    <row r="1062" spans="1:4" x14ac:dyDescent="0.25">
      <c r="A1062" s="103"/>
      <c r="B1062" s="102"/>
      <c r="C1062" s="102"/>
      <c r="D1062" s="102"/>
    </row>
    <row r="1063" spans="1:4" x14ac:dyDescent="0.25">
      <c r="A1063" s="103"/>
      <c r="B1063" s="102"/>
      <c r="C1063" s="102"/>
      <c r="D1063" s="102"/>
    </row>
    <row r="1064" spans="1:4" x14ac:dyDescent="0.25">
      <c r="A1064" s="103"/>
      <c r="B1064" s="102"/>
      <c r="C1064" s="102"/>
      <c r="D1064" s="102"/>
    </row>
    <row r="1065" spans="1:4" x14ac:dyDescent="0.25">
      <c r="A1065" s="103"/>
      <c r="B1065" s="102"/>
      <c r="C1065" s="102"/>
      <c r="D1065" s="102"/>
    </row>
    <row r="1066" spans="1:4" x14ac:dyDescent="0.25">
      <c r="A1066" s="103"/>
      <c r="B1066" s="102"/>
      <c r="C1066" s="102"/>
      <c r="D1066" s="102"/>
    </row>
    <row r="1067" spans="1:4" x14ac:dyDescent="0.25">
      <c r="A1067" s="103"/>
      <c r="B1067" s="102"/>
      <c r="C1067" s="102"/>
      <c r="D1067" s="102"/>
    </row>
    <row r="1068" spans="1:4" x14ac:dyDescent="0.25">
      <c r="A1068" s="103"/>
      <c r="B1068" s="102"/>
      <c r="C1068" s="102"/>
      <c r="D1068" s="102"/>
    </row>
    <row r="1069" spans="1:4" x14ac:dyDescent="0.25">
      <c r="A1069" s="103"/>
      <c r="B1069" s="102"/>
      <c r="C1069" s="102"/>
      <c r="D1069" s="102"/>
    </row>
    <row r="1070" spans="1:4" x14ac:dyDescent="0.25">
      <c r="A1070" s="103"/>
      <c r="B1070" s="102"/>
      <c r="C1070" s="102"/>
      <c r="D1070" s="102"/>
    </row>
    <row r="1071" spans="1:4" x14ac:dyDescent="0.25">
      <c r="A1071" s="103"/>
      <c r="B1071" s="102"/>
      <c r="C1071" s="102"/>
      <c r="D1071" s="102"/>
    </row>
    <row r="1072" spans="1:4" x14ac:dyDescent="0.25">
      <c r="A1072" s="103"/>
      <c r="B1072" s="102"/>
      <c r="C1072" s="102"/>
      <c r="D1072" s="102"/>
    </row>
    <row r="1073" spans="1:4" x14ac:dyDescent="0.25">
      <c r="A1073" s="103"/>
      <c r="B1073" s="102"/>
      <c r="C1073" s="102"/>
      <c r="D1073" s="102"/>
    </row>
    <row r="1074" spans="1:4" x14ac:dyDescent="0.25">
      <c r="A1074" s="103"/>
      <c r="B1074" s="102"/>
      <c r="C1074" s="102"/>
      <c r="D1074" s="102"/>
    </row>
    <row r="1075" spans="1:4" x14ac:dyDescent="0.25">
      <c r="A1075" s="103"/>
      <c r="B1075" s="102"/>
      <c r="C1075" s="102"/>
      <c r="D1075" s="102"/>
    </row>
    <row r="1076" spans="1:4" x14ac:dyDescent="0.25">
      <c r="A1076" s="103"/>
      <c r="B1076" s="102"/>
      <c r="C1076" s="102"/>
      <c r="D1076" s="102"/>
    </row>
    <row r="1077" spans="1:4" x14ac:dyDescent="0.25">
      <c r="A1077" s="103"/>
      <c r="B1077" s="102"/>
      <c r="C1077" s="102"/>
      <c r="D1077" s="102"/>
    </row>
    <row r="1078" spans="1:4" x14ac:dyDescent="0.25">
      <c r="A1078" s="103"/>
      <c r="B1078" s="102"/>
      <c r="C1078" s="102"/>
      <c r="D1078" s="102"/>
    </row>
    <row r="1079" spans="1:4" x14ac:dyDescent="0.25">
      <c r="A1079" s="103"/>
      <c r="B1079" s="102"/>
      <c r="C1079" s="102"/>
      <c r="D1079" s="102"/>
    </row>
    <row r="1080" spans="1:4" x14ac:dyDescent="0.25">
      <c r="A1080" s="103"/>
      <c r="B1080" s="102"/>
      <c r="C1080" s="102"/>
      <c r="D1080" s="102"/>
    </row>
    <row r="1081" spans="1:4" x14ac:dyDescent="0.25">
      <c r="A1081" s="103"/>
      <c r="B1081" s="102"/>
      <c r="C1081" s="102"/>
      <c r="D1081" s="102"/>
    </row>
    <row r="1082" spans="1:4" x14ac:dyDescent="0.25">
      <c r="A1082" s="103"/>
      <c r="B1082" s="102"/>
      <c r="C1082" s="102"/>
      <c r="D1082" s="102"/>
    </row>
    <row r="1083" spans="1:4" x14ac:dyDescent="0.25">
      <c r="A1083" s="103"/>
      <c r="B1083" s="102"/>
      <c r="C1083" s="102"/>
      <c r="D1083" s="102"/>
    </row>
    <row r="1084" spans="1:4" x14ac:dyDescent="0.25">
      <c r="A1084" s="103"/>
      <c r="B1084" s="102"/>
      <c r="C1084" s="102"/>
      <c r="D1084" s="102"/>
    </row>
    <row r="1085" spans="1:4" x14ac:dyDescent="0.25">
      <c r="A1085" s="103"/>
      <c r="B1085" s="102"/>
      <c r="C1085" s="102"/>
      <c r="D1085" s="102"/>
    </row>
    <row r="1086" spans="1:4" x14ac:dyDescent="0.25">
      <c r="A1086" s="103"/>
      <c r="B1086" s="102"/>
      <c r="C1086" s="102"/>
      <c r="D1086" s="102"/>
    </row>
    <row r="1087" spans="1:4" x14ac:dyDescent="0.25">
      <c r="A1087" s="103"/>
      <c r="B1087" s="102"/>
      <c r="C1087" s="102"/>
      <c r="D1087" s="102"/>
    </row>
    <row r="1088" spans="1:4" x14ac:dyDescent="0.25">
      <c r="A1088" s="103"/>
      <c r="B1088" s="102"/>
      <c r="C1088" s="102"/>
      <c r="D1088" s="102"/>
    </row>
    <row r="1089" spans="1:4" x14ac:dyDescent="0.25">
      <c r="A1089" s="103"/>
      <c r="B1089" s="102"/>
      <c r="C1089" s="102"/>
      <c r="D1089" s="102"/>
    </row>
    <row r="1090" spans="1:4" x14ac:dyDescent="0.25">
      <c r="A1090" s="103"/>
      <c r="B1090" s="102"/>
      <c r="C1090" s="102"/>
      <c r="D1090" s="102"/>
    </row>
    <row r="1091" spans="1:4" x14ac:dyDescent="0.25">
      <c r="A1091" s="103"/>
      <c r="B1091" s="102"/>
      <c r="C1091" s="102"/>
      <c r="D1091" s="102"/>
    </row>
    <row r="1092" spans="1:4" x14ac:dyDescent="0.25">
      <c r="A1092" s="103"/>
      <c r="B1092" s="102"/>
      <c r="C1092" s="102"/>
      <c r="D1092" s="102"/>
    </row>
    <row r="1093" spans="1:4" x14ac:dyDescent="0.25">
      <c r="A1093" s="103"/>
      <c r="B1093" s="102"/>
      <c r="C1093" s="102"/>
      <c r="D1093" s="102"/>
    </row>
    <row r="1094" spans="1:4" x14ac:dyDescent="0.25">
      <c r="A1094" s="103"/>
      <c r="B1094" s="102"/>
      <c r="C1094" s="102"/>
      <c r="D1094" s="102"/>
    </row>
    <row r="1095" spans="1:4" x14ac:dyDescent="0.25">
      <c r="A1095" s="103"/>
      <c r="B1095" s="102"/>
      <c r="C1095" s="102"/>
      <c r="D1095" s="102"/>
    </row>
    <row r="1096" spans="1:4" x14ac:dyDescent="0.25">
      <c r="A1096" s="103"/>
      <c r="B1096" s="102"/>
      <c r="C1096" s="102"/>
      <c r="D1096" s="102"/>
    </row>
    <row r="1097" spans="1:4" x14ac:dyDescent="0.25">
      <c r="A1097" s="103"/>
      <c r="B1097" s="102"/>
      <c r="C1097" s="102"/>
      <c r="D1097" s="102"/>
    </row>
    <row r="1098" spans="1:4" x14ac:dyDescent="0.25">
      <c r="A1098" s="103"/>
      <c r="B1098" s="102"/>
      <c r="C1098" s="102"/>
      <c r="D1098" s="102"/>
    </row>
    <row r="1099" spans="1:4" x14ac:dyDescent="0.25">
      <c r="A1099" s="103"/>
      <c r="B1099" s="102"/>
      <c r="C1099" s="102"/>
      <c r="D1099" s="102"/>
    </row>
    <row r="1100" spans="1:4" x14ac:dyDescent="0.25">
      <c r="A1100" s="103"/>
      <c r="B1100" s="102"/>
      <c r="C1100" s="102"/>
      <c r="D1100" s="102"/>
    </row>
    <row r="1101" spans="1:4" x14ac:dyDescent="0.25">
      <c r="A1101" s="103"/>
      <c r="B1101" s="102"/>
      <c r="C1101" s="102"/>
      <c r="D1101" s="102"/>
    </row>
    <row r="1102" spans="1:4" x14ac:dyDescent="0.25">
      <c r="A1102" s="103"/>
      <c r="B1102" s="102"/>
      <c r="C1102" s="102"/>
      <c r="D1102" s="102"/>
    </row>
    <row r="1103" spans="1:4" x14ac:dyDescent="0.25">
      <c r="A1103" s="103"/>
      <c r="B1103" s="102"/>
      <c r="C1103" s="102"/>
      <c r="D1103" s="102"/>
    </row>
    <row r="1104" spans="1:4" x14ac:dyDescent="0.25">
      <c r="A1104" s="103"/>
      <c r="B1104" s="102"/>
      <c r="C1104" s="102"/>
      <c r="D1104" s="102"/>
    </row>
    <row r="1105" spans="1:4" x14ac:dyDescent="0.25">
      <c r="A1105" s="103"/>
      <c r="B1105" s="102"/>
      <c r="C1105" s="102"/>
      <c r="D1105" s="102"/>
    </row>
    <row r="1106" spans="1:4" x14ac:dyDescent="0.25">
      <c r="A1106" s="103"/>
      <c r="B1106" s="102"/>
      <c r="C1106" s="102"/>
      <c r="D1106" s="102"/>
    </row>
    <row r="1107" spans="1:4" x14ac:dyDescent="0.25">
      <c r="A1107" s="103"/>
      <c r="B1107" s="102"/>
      <c r="C1107" s="102"/>
      <c r="D1107" s="102"/>
    </row>
    <row r="1108" spans="1:4" x14ac:dyDescent="0.25">
      <c r="A1108" s="103"/>
      <c r="B1108" s="102"/>
      <c r="C1108" s="102"/>
      <c r="D1108" s="102"/>
    </row>
    <row r="1109" spans="1:4" x14ac:dyDescent="0.25">
      <c r="A1109" s="103"/>
      <c r="B1109" s="102"/>
      <c r="C1109" s="102"/>
      <c r="D1109" s="102"/>
    </row>
    <row r="1110" spans="1:4" x14ac:dyDescent="0.25">
      <c r="A1110" s="103"/>
      <c r="B1110" s="102"/>
      <c r="C1110" s="102"/>
      <c r="D1110" s="102"/>
    </row>
    <row r="1111" spans="1:4" x14ac:dyDescent="0.25">
      <c r="A1111" s="103"/>
      <c r="B1111" s="102"/>
      <c r="C1111" s="102"/>
      <c r="D1111" s="102"/>
    </row>
    <row r="1112" spans="1:4" x14ac:dyDescent="0.25">
      <c r="A1112" s="103"/>
      <c r="B1112" s="102"/>
      <c r="C1112" s="102"/>
      <c r="D1112" s="102"/>
    </row>
    <row r="1113" spans="1:4" x14ac:dyDescent="0.25">
      <c r="A1113" s="103"/>
      <c r="B1113" s="102"/>
      <c r="C1113" s="102"/>
      <c r="D1113" s="102"/>
    </row>
    <row r="1114" spans="1:4" x14ac:dyDescent="0.25">
      <c r="A1114" s="103"/>
      <c r="B1114" s="102"/>
      <c r="C1114" s="102"/>
      <c r="D1114" s="102"/>
    </row>
    <row r="1115" spans="1:4" x14ac:dyDescent="0.25">
      <c r="A1115" s="103"/>
      <c r="B1115" s="102"/>
      <c r="C1115" s="102"/>
      <c r="D1115" s="102"/>
    </row>
    <row r="1116" spans="1:4" x14ac:dyDescent="0.25">
      <c r="A1116" s="103"/>
      <c r="B1116" s="102"/>
      <c r="C1116" s="102"/>
      <c r="D1116" s="102"/>
    </row>
    <row r="1117" spans="1:4" x14ac:dyDescent="0.25">
      <c r="A1117" s="103"/>
      <c r="B1117" s="102"/>
      <c r="C1117" s="102"/>
      <c r="D1117" s="102"/>
    </row>
    <row r="1118" spans="1:4" x14ac:dyDescent="0.25">
      <c r="A1118" s="103"/>
      <c r="B1118" s="102"/>
      <c r="C1118" s="102"/>
      <c r="D1118" s="102"/>
    </row>
    <row r="1119" spans="1:4" x14ac:dyDescent="0.25">
      <c r="A1119" s="103"/>
      <c r="B1119" s="102"/>
      <c r="C1119" s="102"/>
      <c r="D1119" s="102"/>
    </row>
    <row r="1120" spans="1:4" x14ac:dyDescent="0.25">
      <c r="A1120" s="103"/>
      <c r="B1120" s="102"/>
      <c r="C1120" s="102"/>
      <c r="D1120" s="102"/>
    </row>
    <row r="1121" spans="1:4" x14ac:dyDescent="0.25">
      <c r="A1121" s="103"/>
      <c r="B1121" s="102"/>
      <c r="C1121" s="102"/>
      <c r="D1121" s="102"/>
    </row>
    <row r="1122" spans="1:4" x14ac:dyDescent="0.25">
      <c r="A1122" s="103"/>
      <c r="B1122" s="102"/>
      <c r="C1122" s="102"/>
      <c r="D1122" s="102"/>
    </row>
    <row r="1123" spans="1:4" x14ac:dyDescent="0.25">
      <c r="A1123" s="103"/>
      <c r="B1123" s="102"/>
      <c r="C1123" s="102"/>
      <c r="D1123" s="102"/>
    </row>
    <row r="1124" spans="1:4" x14ac:dyDescent="0.25">
      <c r="A1124" s="103"/>
      <c r="B1124" s="102"/>
      <c r="C1124" s="102"/>
      <c r="D1124" s="102"/>
    </row>
    <row r="1125" spans="1:4" x14ac:dyDescent="0.25">
      <c r="A1125" s="103"/>
      <c r="B1125" s="102"/>
      <c r="C1125" s="102"/>
      <c r="D1125" s="102"/>
    </row>
    <row r="1126" spans="1:4" x14ac:dyDescent="0.25">
      <c r="A1126" s="103"/>
      <c r="B1126" s="102"/>
      <c r="C1126" s="102"/>
      <c r="D1126" s="102"/>
    </row>
    <row r="1127" spans="1:4" x14ac:dyDescent="0.25">
      <c r="A1127" s="103"/>
      <c r="B1127" s="102"/>
      <c r="C1127" s="102"/>
      <c r="D1127" s="102"/>
    </row>
    <row r="1128" spans="1:4" x14ac:dyDescent="0.25">
      <c r="A1128" s="103"/>
      <c r="B1128" s="102"/>
      <c r="C1128" s="102"/>
      <c r="D1128" s="102"/>
    </row>
    <row r="1129" spans="1:4" x14ac:dyDescent="0.25">
      <c r="A1129" s="103"/>
      <c r="B1129" s="102"/>
      <c r="C1129" s="102"/>
      <c r="D1129" s="102"/>
    </row>
    <row r="1130" spans="1:4" x14ac:dyDescent="0.25">
      <c r="A1130" s="103"/>
      <c r="B1130" s="102"/>
      <c r="C1130" s="102"/>
      <c r="D1130" s="102"/>
    </row>
    <row r="1131" spans="1:4" x14ac:dyDescent="0.25">
      <c r="A1131" s="103"/>
      <c r="B1131" s="102"/>
      <c r="C1131" s="102"/>
      <c r="D1131" s="102"/>
    </row>
    <row r="1132" spans="1:4" x14ac:dyDescent="0.25">
      <c r="A1132" s="103"/>
      <c r="B1132" s="102"/>
      <c r="C1132" s="102"/>
      <c r="D1132" s="102"/>
    </row>
    <row r="1133" spans="1:4" x14ac:dyDescent="0.25">
      <c r="A1133" s="103"/>
      <c r="B1133" s="102"/>
      <c r="C1133" s="102"/>
      <c r="D1133" s="102"/>
    </row>
    <row r="1134" spans="1:4" x14ac:dyDescent="0.25">
      <c r="A1134" s="103"/>
      <c r="B1134" s="102"/>
      <c r="C1134" s="102"/>
      <c r="D1134" s="102"/>
    </row>
    <row r="1135" spans="1:4" x14ac:dyDescent="0.25">
      <c r="A1135" s="103"/>
      <c r="B1135" s="102"/>
      <c r="C1135" s="102"/>
      <c r="D1135" s="102"/>
    </row>
    <row r="1136" spans="1:4" x14ac:dyDescent="0.25">
      <c r="A1136" s="103"/>
      <c r="B1136" s="102"/>
      <c r="C1136" s="102"/>
      <c r="D1136" s="102"/>
    </row>
    <row r="1137" spans="1:4" x14ac:dyDescent="0.25">
      <c r="A1137" s="103"/>
      <c r="B1137" s="102"/>
      <c r="C1137" s="102"/>
      <c r="D1137" s="102"/>
    </row>
    <row r="1138" spans="1:4" x14ac:dyDescent="0.25">
      <c r="A1138" s="103"/>
      <c r="B1138" s="102"/>
      <c r="C1138" s="102"/>
      <c r="D1138" s="102"/>
    </row>
    <row r="1139" spans="1:4" x14ac:dyDescent="0.25">
      <c r="A1139" s="103"/>
      <c r="B1139" s="102"/>
      <c r="C1139" s="102"/>
      <c r="D1139" s="102"/>
    </row>
    <row r="1140" spans="1:4" x14ac:dyDescent="0.25">
      <c r="A1140" s="103"/>
      <c r="B1140" s="102"/>
      <c r="C1140" s="102"/>
      <c r="D1140" s="102"/>
    </row>
    <row r="1141" spans="1:4" x14ac:dyDescent="0.25">
      <c r="A1141" s="103"/>
      <c r="B1141" s="102"/>
      <c r="C1141" s="102"/>
      <c r="D1141" s="102"/>
    </row>
    <row r="1142" spans="1:4" x14ac:dyDescent="0.25">
      <c r="A1142" s="103"/>
      <c r="B1142" s="102"/>
      <c r="C1142" s="102"/>
      <c r="D1142" s="102"/>
    </row>
    <row r="1143" spans="1:4" x14ac:dyDescent="0.25">
      <c r="A1143" s="103"/>
      <c r="B1143" s="102"/>
      <c r="C1143" s="102"/>
      <c r="D1143" s="102"/>
    </row>
    <row r="1144" spans="1:4" x14ac:dyDescent="0.25">
      <c r="A1144" s="103"/>
      <c r="B1144" s="102"/>
      <c r="C1144" s="102"/>
      <c r="D1144" s="102"/>
    </row>
    <row r="1145" spans="1:4" x14ac:dyDescent="0.25">
      <c r="A1145" s="103"/>
      <c r="B1145" s="102"/>
      <c r="C1145" s="102"/>
      <c r="D1145" s="102"/>
    </row>
    <row r="1146" spans="1:4" x14ac:dyDescent="0.25">
      <c r="A1146" s="103"/>
      <c r="B1146" s="102"/>
      <c r="C1146" s="102"/>
      <c r="D1146" s="102"/>
    </row>
    <row r="1147" spans="1:4" x14ac:dyDescent="0.25">
      <c r="A1147" s="103"/>
      <c r="B1147" s="102"/>
      <c r="C1147" s="102"/>
      <c r="D1147" s="102"/>
    </row>
    <row r="1148" spans="1:4" x14ac:dyDescent="0.25">
      <c r="A1148" s="103"/>
      <c r="B1148" s="102"/>
      <c r="C1148" s="102"/>
      <c r="D1148" s="102"/>
    </row>
    <row r="1149" spans="1:4" x14ac:dyDescent="0.25">
      <c r="A1149" s="103"/>
      <c r="B1149" s="102"/>
      <c r="C1149" s="102"/>
      <c r="D1149" s="102"/>
    </row>
    <row r="1150" spans="1:4" x14ac:dyDescent="0.25">
      <c r="A1150" s="103"/>
      <c r="B1150" s="102"/>
      <c r="C1150" s="102"/>
      <c r="D1150" s="102"/>
    </row>
    <row r="1151" spans="1:4" x14ac:dyDescent="0.25">
      <c r="A1151" s="103"/>
      <c r="B1151" s="102"/>
      <c r="C1151" s="102"/>
      <c r="D1151" s="102"/>
    </row>
    <row r="1152" spans="1:4" x14ac:dyDescent="0.25">
      <c r="A1152" s="103"/>
      <c r="B1152" s="102"/>
      <c r="C1152" s="102"/>
      <c r="D1152" s="102"/>
    </row>
    <row r="1153" spans="1:4" x14ac:dyDescent="0.25">
      <c r="A1153" s="103"/>
      <c r="B1153" s="102"/>
      <c r="C1153" s="102"/>
      <c r="D1153" s="102"/>
    </row>
    <row r="1154" spans="1:4" x14ac:dyDescent="0.25">
      <c r="A1154" s="103"/>
      <c r="B1154" s="102"/>
      <c r="C1154" s="102"/>
      <c r="D1154" s="102"/>
    </row>
    <row r="1155" spans="1:4" x14ac:dyDescent="0.25">
      <c r="A1155" s="103"/>
      <c r="B1155" s="102"/>
      <c r="C1155" s="102"/>
      <c r="D1155" s="102"/>
    </row>
    <row r="1156" spans="1:4" x14ac:dyDescent="0.25">
      <c r="A1156" s="103"/>
      <c r="B1156" s="102"/>
      <c r="C1156" s="102"/>
      <c r="D1156" s="102"/>
    </row>
    <row r="1157" spans="1:4" x14ac:dyDescent="0.25">
      <c r="A1157" s="103"/>
      <c r="B1157" s="102"/>
      <c r="C1157" s="102"/>
      <c r="D1157" s="102"/>
    </row>
    <row r="1158" spans="1:4" x14ac:dyDescent="0.25">
      <c r="A1158" s="103"/>
      <c r="B1158" s="102"/>
      <c r="C1158" s="102"/>
      <c r="D1158" s="102"/>
    </row>
    <row r="1159" spans="1:4" x14ac:dyDescent="0.25">
      <c r="A1159" s="103"/>
      <c r="B1159" s="102"/>
      <c r="C1159" s="102"/>
      <c r="D1159" s="102"/>
    </row>
    <row r="1160" spans="1:4" x14ac:dyDescent="0.25">
      <c r="A1160" s="103"/>
      <c r="B1160" s="102"/>
      <c r="C1160" s="102"/>
      <c r="D1160" s="102"/>
    </row>
    <row r="1161" spans="1:4" x14ac:dyDescent="0.25">
      <c r="A1161" s="103"/>
      <c r="B1161" s="102"/>
      <c r="C1161" s="102"/>
      <c r="D1161" s="102"/>
    </row>
    <row r="1162" spans="1:4" x14ac:dyDescent="0.25">
      <c r="A1162" s="103"/>
      <c r="B1162" s="102"/>
      <c r="C1162" s="102"/>
      <c r="D1162" s="102"/>
    </row>
    <row r="1163" spans="1:4" x14ac:dyDescent="0.25">
      <c r="A1163" s="103"/>
      <c r="B1163" s="102"/>
      <c r="C1163" s="102"/>
      <c r="D1163" s="102"/>
    </row>
    <row r="1164" spans="1:4" x14ac:dyDescent="0.25">
      <c r="A1164" s="103"/>
      <c r="B1164" s="102"/>
      <c r="C1164" s="102"/>
      <c r="D1164" s="102"/>
    </row>
    <row r="1165" spans="1:4" x14ac:dyDescent="0.25">
      <c r="A1165" s="103"/>
      <c r="B1165" s="102"/>
      <c r="C1165" s="102"/>
      <c r="D1165" s="102"/>
    </row>
    <row r="1166" spans="1:4" x14ac:dyDescent="0.25">
      <c r="A1166" s="103"/>
      <c r="B1166" s="102"/>
      <c r="C1166" s="102"/>
      <c r="D1166" s="102"/>
    </row>
    <row r="1167" spans="1:4" x14ac:dyDescent="0.25">
      <c r="A1167" s="103"/>
      <c r="B1167" s="102"/>
      <c r="C1167" s="102"/>
      <c r="D1167" s="102"/>
    </row>
    <row r="1168" spans="1:4" x14ac:dyDescent="0.25">
      <c r="A1168" s="103"/>
      <c r="B1168" s="102"/>
      <c r="C1168" s="102"/>
      <c r="D1168" s="102"/>
    </row>
    <row r="1169" spans="1:4" x14ac:dyDescent="0.25">
      <c r="A1169" s="103"/>
      <c r="B1169" s="102"/>
      <c r="C1169" s="102"/>
      <c r="D1169" s="102"/>
    </row>
    <row r="1170" spans="1:4" x14ac:dyDescent="0.25">
      <c r="A1170" s="103"/>
      <c r="B1170" s="102"/>
      <c r="C1170" s="102"/>
      <c r="D1170" s="102"/>
    </row>
    <row r="1171" spans="1:4" x14ac:dyDescent="0.25">
      <c r="A1171" s="103"/>
      <c r="B1171" s="102"/>
      <c r="C1171" s="102"/>
      <c r="D1171" s="102"/>
    </row>
    <row r="1172" spans="1:4" x14ac:dyDescent="0.25">
      <c r="A1172" s="103"/>
      <c r="B1172" s="102"/>
      <c r="C1172" s="102"/>
      <c r="D1172" s="102"/>
    </row>
    <row r="1173" spans="1:4" x14ac:dyDescent="0.25">
      <c r="A1173" s="103"/>
      <c r="B1173" s="102"/>
      <c r="C1173" s="102"/>
      <c r="D1173" s="102"/>
    </row>
    <row r="1174" spans="1:4" x14ac:dyDescent="0.25">
      <c r="A1174" s="103"/>
      <c r="B1174" s="102"/>
      <c r="C1174" s="102"/>
      <c r="D1174" s="102"/>
    </row>
    <row r="1175" spans="1:4" x14ac:dyDescent="0.25">
      <c r="A1175" s="103"/>
      <c r="B1175" s="102"/>
      <c r="C1175" s="102"/>
      <c r="D1175" s="102"/>
    </row>
    <row r="1176" spans="1:4" x14ac:dyDescent="0.25">
      <c r="A1176" s="103"/>
      <c r="B1176" s="102"/>
      <c r="C1176" s="102"/>
      <c r="D1176" s="102"/>
    </row>
    <row r="1177" spans="1:4" x14ac:dyDescent="0.25">
      <c r="A1177" s="103"/>
      <c r="B1177" s="102"/>
      <c r="C1177" s="102"/>
      <c r="D1177" s="102"/>
    </row>
    <row r="1178" spans="1:4" x14ac:dyDescent="0.25">
      <c r="A1178" s="103"/>
      <c r="B1178" s="102"/>
      <c r="C1178" s="102"/>
      <c r="D1178" s="102"/>
    </row>
    <row r="1179" spans="1:4" x14ac:dyDescent="0.25">
      <c r="A1179" s="103"/>
      <c r="B1179" s="102"/>
      <c r="C1179" s="102"/>
      <c r="D1179" s="102"/>
    </row>
    <row r="1180" spans="1:4" x14ac:dyDescent="0.25">
      <c r="A1180" s="103"/>
      <c r="B1180" s="102"/>
      <c r="C1180" s="102"/>
      <c r="D1180" s="102"/>
    </row>
    <row r="1181" spans="1:4" x14ac:dyDescent="0.25">
      <c r="A1181" s="103"/>
      <c r="B1181" s="102"/>
      <c r="C1181" s="102"/>
      <c r="D1181" s="102"/>
    </row>
    <row r="1182" spans="1:4" x14ac:dyDescent="0.25">
      <c r="A1182" s="103"/>
      <c r="B1182" s="102"/>
      <c r="C1182" s="102"/>
      <c r="D1182" s="102"/>
    </row>
    <row r="1183" spans="1:4" x14ac:dyDescent="0.25">
      <c r="A1183" s="103"/>
      <c r="B1183" s="102"/>
      <c r="C1183" s="102"/>
      <c r="D1183" s="102"/>
    </row>
    <row r="1184" spans="1:4" x14ac:dyDescent="0.25">
      <c r="A1184" s="103"/>
      <c r="B1184" s="102"/>
      <c r="C1184" s="102"/>
      <c r="D1184" s="102"/>
    </row>
    <row r="1185" spans="1:4" x14ac:dyDescent="0.25">
      <c r="A1185" s="103"/>
      <c r="B1185" s="102"/>
      <c r="C1185" s="102"/>
      <c r="D1185" s="102"/>
    </row>
    <row r="1186" spans="1:4" x14ac:dyDescent="0.25">
      <c r="A1186" s="103"/>
      <c r="B1186" s="102"/>
      <c r="C1186" s="102"/>
      <c r="D1186" s="102"/>
    </row>
    <row r="1187" spans="1:4" x14ac:dyDescent="0.25">
      <c r="A1187" s="103"/>
      <c r="B1187" s="102"/>
      <c r="C1187" s="102"/>
      <c r="D1187" s="102"/>
    </row>
    <row r="1188" spans="1:4" x14ac:dyDescent="0.25">
      <c r="A1188" s="103"/>
      <c r="B1188" s="102"/>
      <c r="C1188" s="102"/>
      <c r="D1188" s="102"/>
    </row>
    <row r="1189" spans="1:4" x14ac:dyDescent="0.25">
      <c r="A1189" s="103"/>
      <c r="B1189" s="102"/>
      <c r="C1189" s="102"/>
      <c r="D1189" s="102"/>
    </row>
    <row r="1190" spans="1:4" x14ac:dyDescent="0.25">
      <c r="A1190" s="103"/>
      <c r="B1190" s="102"/>
      <c r="C1190" s="102"/>
      <c r="D1190" s="102"/>
    </row>
    <row r="1191" spans="1:4" x14ac:dyDescent="0.25">
      <c r="A1191" s="103"/>
      <c r="B1191" s="102"/>
      <c r="C1191" s="102"/>
      <c r="D1191" s="102"/>
    </row>
    <row r="1192" spans="1:4" x14ac:dyDescent="0.25">
      <c r="A1192" s="103"/>
      <c r="B1192" s="102"/>
      <c r="C1192" s="102"/>
      <c r="D1192" s="102"/>
    </row>
    <row r="1193" spans="1:4" x14ac:dyDescent="0.25">
      <c r="A1193" s="103"/>
      <c r="B1193" s="102"/>
      <c r="C1193" s="102"/>
      <c r="D1193" s="102"/>
    </row>
    <row r="1194" spans="1:4" x14ac:dyDescent="0.25">
      <c r="A1194" s="103"/>
      <c r="B1194" s="102"/>
      <c r="C1194" s="102"/>
      <c r="D1194" s="102"/>
    </row>
    <row r="1195" spans="1:4" x14ac:dyDescent="0.25">
      <c r="A1195" s="103"/>
      <c r="B1195" s="102"/>
      <c r="C1195" s="102"/>
      <c r="D1195" s="102"/>
    </row>
    <row r="1196" spans="1:4" x14ac:dyDescent="0.25">
      <c r="A1196" s="103"/>
      <c r="B1196" s="102"/>
      <c r="C1196" s="102"/>
      <c r="D1196" s="102"/>
    </row>
    <row r="1197" spans="1:4" x14ac:dyDescent="0.25">
      <c r="A1197" s="103"/>
      <c r="B1197" s="102"/>
      <c r="C1197" s="102"/>
      <c r="D1197" s="102"/>
    </row>
    <row r="1198" spans="1:4" x14ac:dyDescent="0.25">
      <c r="A1198" s="103"/>
      <c r="B1198" s="102"/>
      <c r="C1198" s="102"/>
      <c r="D1198" s="102"/>
    </row>
    <row r="1199" spans="1:4" x14ac:dyDescent="0.25">
      <c r="A1199" s="103"/>
      <c r="B1199" s="102"/>
      <c r="C1199" s="102"/>
      <c r="D1199" s="102"/>
    </row>
    <row r="1200" spans="1:4" x14ac:dyDescent="0.25">
      <c r="A1200" s="103"/>
      <c r="B1200" s="102"/>
      <c r="C1200" s="102"/>
      <c r="D1200" s="102"/>
    </row>
    <row r="1201" spans="1:4" x14ac:dyDescent="0.25">
      <c r="A1201" s="103"/>
      <c r="B1201" s="102"/>
      <c r="C1201" s="102"/>
      <c r="D1201" s="102"/>
    </row>
    <row r="1202" spans="1:4" x14ac:dyDescent="0.25">
      <c r="A1202" s="103"/>
      <c r="B1202" s="102"/>
      <c r="C1202" s="102"/>
      <c r="D1202" s="102"/>
    </row>
    <row r="1203" spans="1:4" x14ac:dyDescent="0.25">
      <c r="A1203" s="103"/>
      <c r="B1203" s="102"/>
      <c r="C1203" s="102"/>
      <c r="D1203" s="102"/>
    </row>
    <row r="1204" spans="1:4" x14ac:dyDescent="0.25">
      <c r="A1204" s="103"/>
      <c r="B1204" s="102"/>
      <c r="C1204" s="102"/>
      <c r="D1204" s="102"/>
    </row>
    <row r="1205" spans="1:4" x14ac:dyDescent="0.25">
      <c r="A1205" s="103"/>
      <c r="B1205" s="102"/>
      <c r="C1205" s="102"/>
      <c r="D1205" s="102"/>
    </row>
    <row r="1206" spans="1:4" x14ac:dyDescent="0.25">
      <c r="A1206" s="103"/>
      <c r="B1206" s="102"/>
      <c r="C1206" s="102"/>
      <c r="D1206" s="102"/>
    </row>
    <row r="1207" spans="1:4" x14ac:dyDescent="0.25">
      <c r="A1207" s="103"/>
      <c r="B1207" s="102"/>
      <c r="C1207" s="102"/>
      <c r="D1207" s="102"/>
    </row>
    <row r="1208" spans="1:4" x14ac:dyDescent="0.25">
      <c r="A1208" s="103"/>
      <c r="B1208" s="102"/>
      <c r="C1208" s="102"/>
      <c r="D1208" s="102"/>
    </row>
    <row r="1209" spans="1:4" x14ac:dyDescent="0.25">
      <c r="A1209" s="103"/>
      <c r="B1209" s="102"/>
      <c r="C1209" s="102"/>
      <c r="D1209" s="102"/>
    </row>
    <row r="1210" spans="1:4" x14ac:dyDescent="0.25">
      <c r="A1210" s="103"/>
      <c r="B1210" s="102"/>
      <c r="C1210" s="102"/>
      <c r="D1210" s="102"/>
    </row>
    <row r="1211" spans="1:4" x14ac:dyDescent="0.25">
      <c r="A1211" s="103"/>
      <c r="B1211" s="102"/>
      <c r="C1211" s="102"/>
      <c r="D1211" s="102"/>
    </row>
    <row r="1212" spans="1:4" x14ac:dyDescent="0.25">
      <c r="A1212" s="103"/>
      <c r="B1212" s="102"/>
      <c r="C1212" s="102"/>
      <c r="D1212" s="102"/>
    </row>
    <row r="1213" spans="1:4" x14ac:dyDescent="0.25">
      <c r="A1213" s="103"/>
      <c r="B1213" s="102"/>
      <c r="C1213" s="102"/>
      <c r="D1213" s="102"/>
    </row>
    <row r="1214" spans="1:4" x14ac:dyDescent="0.25">
      <c r="A1214" s="103"/>
      <c r="B1214" s="102"/>
      <c r="C1214" s="102"/>
      <c r="D1214" s="102"/>
    </row>
    <row r="1215" spans="1:4" x14ac:dyDescent="0.25">
      <c r="A1215" s="103"/>
      <c r="B1215" s="102"/>
      <c r="C1215" s="102"/>
      <c r="D1215" s="102"/>
    </row>
    <row r="1216" spans="1:4" x14ac:dyDescent="0.25">
      <c r="A1216" s="103"/>
      <c r="B1216" s="102"/>
      <c r="C1216" s="102"/>
      <c r="D1216" s="102"/>
    </row>
    <row r="1217" spans="1:4" x14ac:dyDescent="0.25">
      <c r="A1217" s="103"/>
      <c r="B1217" s="102"/>
      <c r="C1217" s="102"/>
      <c r="D1217" s="102"/>
    </row>
    <row r="1218" spans="1:4" x14ac:dyDescent="0.25">
      <c r="A1218" s="103"/>
      <c r="B1218" s="102"/>
      <c r="C1218" s="102"/>
      <c r="D1218" s="102"/>
    </row>
    <row r="1219" spans="1:4" x14ac:dyDescent="0.25">
      <c r="A1219" s="103"/>
      <c r="B1219" s="102"/>
      <c r="C1219" s="102"/>
      <c r="D1219" s="102"/>
    </row>
    <row r="1220" spans="1:4" x14ac:dyDescent="0.25">
      <c r="A1220" s="103"/>
      <c r="B1220" s="102"/>
      <c r="C1220" s="102"/>
      <c r="D1220" s="102"/>
    </row>
    <row r="1221" spans="1:4" x14ac:dyDescent="0.25">
      <c r="A1221" s="103"/>
      <c r="B1221" s="102"/>
      <c r="C1221" s="102"/>
      <c r="D1221" s="102"/>
    </row>
    <row r="1222" spans="1:4" x14ac:dyDescent="0.25">
      <c r="A1222" s="103"/>
      <c r="B1222" s="102"/>
      <c r="C1222" s="102"/>
      <c r="D1222" s="102"/>
    </row>
    <row r="1223" spans="1:4" x14ac:dyDescent="0.25">
      <c r="A1223" s="103"/>
      <c r="B1223" s="102"/>
      <c r="C1223" s="102"/>
      <c r="D1223" s="102"/>
    </row>
    <row r="1224" spans="1:4" x14ac:dyDescent="0.25">
      <c r="A1224" s="103"/>
      <c r="B1224" s="102"/>
      <c r="C1224" s="102"/>
      <c r="D1224" s="102"/>
    </row>
    <row r="1225" spans="1:4" x14ac:dyDescent="0.25">
      <c r="A1225" s="103"/>
      <c r="B1225" s="102"/>
      <c r="C1225" s="102"/>
      <c r="D1225" s="102"/>
    </row>
    <row r="1226" spans="1:4" x14ac:dyDescent="0.25">
      <c r="A1226" s="103"/>
      <c r="B1226" s="102"/>
      <c r="C1226" s="102"/>
      <c r="D1226" s="102"/>
    </row>
    <row r="1227" spans="1:4" x14ac:dyDescent="0.25">
      <c r="A1227" s="103"/>
      <c r="B1227" s="102"/>
      <c r="C1227" s="102"/>
      <c r="D1227" s="102"/>
    </row>
    <row r="1228" spans="1:4" x14ac:dyDescent="0.25">
      <c r="A1228" s="103"/>
      <c r="B1228" s="102"/>
      <c r="C1228" s="102"/>
      <c r="D1228" s="102"/>
    </row>
    <row r="1229" spans="1:4" x14ac:dyDescent="0.25">
      <c r="A1229" s="103"/>
      <c r="B1229" s="102"/>
      <c r="C1229" s="102"/>
      <c r="D1229" s="102"/>
    </row>
    <row r="1230" spans="1:4" x14ac:dyDescent="0.25">
      <c r="A1230" s="103"/>
      <c r="B1230" s="102"/>
      <c r="C1230" s="102"/>
      <c r="D1230" s="102"/>
    </row>
    <row r="1231" spans="1:4" x14ac:dyDescent="0.25">
      <c r="A1231" s="103"/>
      <c r="B1231" s="102"/>
      <c r="C1231" s="102"/>
      <c r="D1231" s="102"/>
    </row>
    <row r="1232" spans="1:4" x14ac:dyDescent="0.25">
      <c r="A1232" s="103"/>
      <c r="B1232" s="102"/>
      <c r="C1232" s="102"/>
      <c r="D1232" s="102"/>
    </row>
    <row r="1233" spans="1:4" x14ac:dyDescent="0.25">
      <c r="A1233" s="103"/>
      <c r="B1233" s="102"/>
      <c r="C1233" s="102"/>
      <c r="D1233" s="102"/>
    </row>
    <row r="1234" spans="1:4" x14ac:dyDescent="0.25">
      <c r="A1234" s="103"/>
      <c r="B1234" s="102"/>
      <c r="C1234" s="102"/>
      <c r="D1234" s="102"/>
    </row>
    <row r="1235" spans="1:4" x14ac:dyDescent="0.25">
      <c r="A1235" s="103"/>
      <c r="B1235" s="102"/>
      <c r="C1235" s="102"/>
      <c r="D1235" s="102"/>
    </row>
    <row r="1236" spans="1:4" x14ac:dyDescent="0.25">
      <c r="A1236" s="103"/>
      <c r="B1236" s="102"/>
      <c r="C1236" s="102"/>
      <c r="D1236" s="102"/>
    </row>
    <row r="1237" spans="1:4" x14ac:dyDescent="0.25">
      <c r="A1237" s="103"/>
      <c r="B1237" s="102"/>
      <c r="C1237" s="102"/>
      <c r="D1237" s="102"/>
    </row>
    <row r="1238" spans="1:4" x14ac:dyDescent="0.25">
      <c r="A1238" s="103"/>
      <c r="B1238" s="102"/>
      <c r="C1238" s="102"/>
      <c r="D1238" s="102"/>
    </row>
    <row r="1239" spans="1:4" x14ac:dyDescent="0.25">
      <c r="A1239" s="103"/>
      <c r="B1239" s="102"/>
      <c r="C1239" s="102"/>
      <c r="D1239" s="102"/>
    </row>
    <row r="1240" spans="1:4" x14ac:dyDescent="0.25">
      <c r="A1240" s="103"/>
      <c r="B1240" s="102"/>
      <c r="C1240" s="102"/>
      <c r="D1240" s="102"/>
    </row>
    <row r="1241" spans="1:4" x14ac:dyDescent="0.25">
      <c r="A1241" s="103"/>
      <c r="B1241" s="102"/>
      <c r="C1241" s="102"/>
      <c r="D1241" s="102"/>
    </row>
    <row r="1242" spans="1:4" x14ac:dyDescent="0.25">
      <c r="A1242" s="103"/>
      <c r="B1242" s="102"/>
      <c r="C1242" s="102"/>
      <c r="D1242" s="102"/>
    </row>
    <row r="1243" spans="1:4" x14ac:dyDescent="0.25">
      <c r="A1243" s="103"/>
      <c r="B1243" s="102"/>
      <c r="C1243" s="102"/>
      <c r="D1243" s="102"/>
    </row>
    <row r="1244" spans="1:4" x14ac:dyDescent="0.25">
      <c r="A1244" s="103"/>
      <c r="B1244" s="102"/>
      <c r="C1244" s="102"/>
      <c r="D1244" s="102"/>
    </row>
    <row r="1245" spans="1:4" x14ac:dyDescent="0.25">
      <c r="A1245" s="103"/>
      <c r="B1245" s="102"/>
      <c r="C1245" s="102"/>
      <c r="D1245" s="102"/>
    </row>
    <row r="1246" spans="1:4" x14ac:dyDescent="0.25">
      <c r="A1246" s="103"/>
      <c r="B1246" s="102"/>
      <c r="C1246" s="102"/>
      <c r="D1246" s="102"/>
    </row>
    <row r="1247" spans="1:4" x14ac:dyDescent="0.25">
      <c r="A1247" s="103"/>
      <c r="B1247" s="102"/>
      <c r="C1247" s="102"/>
      <c r="D1247" s="102"/>
    </row>
    <row r="1248" spans="1:4" x14ac:dyDescent="0.25">
      <c r="A1248" s="103"/>
      <c r="B1248" s="102"/>
      <c r="C1248" s="102"/>
      <c r="D1248" s="102"/>
    </row>
    <row r="1249" spans="1:4" x14ac:dyDescent="0.25">
      <c r="A1249" s="103"/>
      <c r="B1249" s="102"/>
      <c r="C1249" s="102"/>
      <c r="D1249" s="102"/>
    </row>
    <row r="1250" spans="1:4" x14ac:dyDescent="0.25">
      <c r="A1250" s="103"/>
      <c r="B1250" s="102"/>
      <c r="C1250" s="102"/>
      <c r="D1250" s="102"/>
    </row>
    <row r="1251" spans="1:4" x14ac:dyDescent="0.25">
      <c r="A1251" s="103"/>
      <c r="B1251" s="102"/>
      <c r="C1251" s="102"/>
      <c r="D1251" s="102"/>
    </row>
    <row r="1252" spans="1:4" x14ac:dyDescent="0.25">
      <c r="A1252" s="103"/>
      <c r="B1252" s="102"/>
      <c r="C1252" s="102"/>
      <c r="D1252" s="102"/>
    </row>
    <row r="1253" spans="1:4" x14ac:dyDescent="0.25">
      <c r="A1253" s="103"/>
      <c r="B1253" s="102"/>
      <c r="C1253" s="102"/>
      <c r="D1253" s="102"/>
    </row>
    <row r="1254" spans="1:4" x14ac:dyDescent="0.25">
      <c r="A1254" s="103"/>
      <c r="B1254" s="102"/>
      <c r="C1254" s="102"/>
      <c r="D1254" s="102"/>
    </row>
    <row r="1255" spans="1:4" x14ac:dyDescent="0.25">
      <c r="A1255" s="103"/>
      <c r="B1255" s="102"/>
      <c r="C1255" s="102"/>
      <c r="D1255" s="102"/>
    </row>
    <row r="1256" spans="1:4" x14ac:dyDescent="0.25">
      <c r="A1256" s="103"/>
      <c r="B1256" s="102"/>
      <c r="C1256" s="102"/>
      <c r="D1256" s="102"/>
    </row>
    <row r="1257" spans="1:4" x14ac:dyDescent="0.25">
      <c r="A1257" s="103"/>
      <c r="B1257" s="102"/>
      <c r="C1257" s="102"/>
      <c r="D1257" s="102"/>
    </row>
    <row r="1258" spans="1:4" x14ac:dyDescent="0.25">
      <c r="A1258" s="103"/>
      <c r="B1258" s="102"/>
      <c r="C1258" s="102"/>
      <c r="D1258" s="102"/>
    </row>
    <row r="1259" spans="1:4" x14ac:dyDescent="0.25">
      <c r="A1259" s="103"/>
      <c r="B1259" s="102"/>
      <c r="C1259" s="102"/>
      <c r="D1259" s="102"/>
    </row>
    <row r="1260" spans="1:4" x14ac:dyDescent="0.25">
      <c r="A1260" s="103"/>
      <c r="B1260" s="102"/>
      <c r="C1260" s="102"/>
      <c r="D1260" s="102"/>
    </row>
    <row r="1261" spans="1:4" x14ac:dyDescent="0.25">
      <c r="A1261" s="103"/>
      <c r="B1261" s="102"/>
      <c r="C1261" s="102"/>
      <c r="D1261" s="102"/>
    </row>
    <row r="1262" spans="1:4" x14ac:dyDescent="0.25">
      <c r="A1262" s="103"/>
      <c r="B1262" s="102"/>
      <c r="C1262" s="102"/>
      <c r="D1262" s="102"/>
    </row>
    <row r="1263" spans="1:4" x14ac:dyDescent="0.25">
      <c r="A1263" s="103"/>
      <c r="B1263" s="102"/>
      <c r="C1263" s="102"/>
      <c r="D1263" s="102"/>
    </row>
    <row r="1264" spans="1:4" x14ac:dyDescent="0.25">
      <c r="A1264" s="103"/>
      <c r="B1264" s="102"/>
      <c r="C1264" s="102"/>
      <c r="D1264" s="102"/>
    </row>
    <row r="1265" spans="1:4" x14ac:dyDescent="0.25">
      <c r="A1265" s="103"/>
      <c r="B1265" s="102"/>
      <c r="C1265" s="102"/>
      <c r="D1265" s="102"/>
    </row>
    <row r="1266" spans="1:4" x14ac:dyDescent="0.25">
      <c r="A1266" s="103"/>
      <c r="B1266" s="102"/>
      <c r="C1266" s="102"/>
      <c r="D1266" s="102"/>
    </row>
    <row r="1267" spans="1:4" x14ac:dyDescent="0.25">
      <c r="A1267" s="103"/>
      <c r="B1267" s="102"/>
      <c r="C1267" s="102"/>
      <c r="D1267" s="102"/>
    </row>
    <row r="1268" spans="1:4" x14ac:dyDescent="0.25">
      <c r="A1268" s="103"/>
      <c r="B1268" s="102"/>
      <c r="C1268" s="102"/>
      <c r="D1268" s="102"/>
    </row>
    <row r="1269" spans="1:4" x14ac:dyDescent="0.25">
      <c r="A1269" s="103"/>
      <c r="B1269" s="102"/>
      <c r="C1269" s="102"/>
      <c r="D1269" s="102"/>
    </row>
    <row r="1270" spans="1:4" x14ac:dyDescent="0.25">
      <c r="A1270" s="103"/>
      <c r="B1270" s="102"/>
      <c r="C1270" s="102"/>
      <c r="D1270" s="102"/>
    </row>
    <row r="1271" spans="1:4" x14ac:dyDescent="0.25">
      <c r="A1271" s="103"/>
      <c r="B1271" s="102"/>
      <c r="C1271" s="102"/>
      <c r="D1271" s="102"/>
    </row>
    <row r="1272" spans="1:4" x14ac:dyDescent="0.25">
      <c r="A1272" s="103"/>
      <c r="B1272" s="102"/>
      <c r="C1272" s="102"/>
      <c r="D1272" s="102"/>
    </row>
    <row r="1273" spans="1:4" x14ac:dyDescent="0.25">
      <c r="A1273" s="103"/>
      <c r="B1273" s="102"/>
      <c r="C1273" s="102"/>
      <c r="D1273" s="102"/>
    </row>
    <row r="1274" spans="1:4" x14ac:dyDescent="0.25">
      <c r="A1274" s="103"/>
      <c r="B1274" s="102"/>
      <c r="C1274" s="102"/>
      <c r="D1274" s="102"/>
    </row>
    <row r="1275" spans="1:4" x14ac:dyDescent="0.25">
      <c r="A1275" s="103"/>
      <c r="B1275" s="102"/>
      <c r="C1275" s="102"/>
      <c r="D1275" s="102"/>
    </row>
    <row r="1276" spans="1:4" x14ac:dyDescent="0.25">
      <c r="A1276" s="103"/>
      <c r="B1276" s="102"/>
      <c r="C1276" s="102"/>
      <c r="D1276" s="102"/>
    </row>
    <row r="1277" spans="1:4" x14ac:dyDescent="0.25">
      <c r="A1277" s="103"/>
      <c r="B1277" s="102"/>
      <c r="C1277" s="102"/>
      <c r="D1277" s="102"/>
    </row>
    <row r="1278" spans="1:4" x14ac:dyDescent="0.25">
      <c r="A1278" s="103"/>
      <c r="B1278" s="102"/>
      <c r="C1278" s="102"/>
      <c r="D1278" s="102"/>
    </row>
    <row r="1279" spans="1:4" x14ac:dyDescent="0.25">
      <c r="A1279" s="103"/>
      <c r="B1279" s="102"/>
      <c r="C1279" s="102"/>
      <c r="D1279" s="102"/>
    </row>
    <row r="1280" spans="1:4" x14ac:dyDescent="0.25">
      <c r="A1280" s="103"/>
      <c r="B1280" s="102"/>
      <c r="C1280" s="102"/>
      <c r="D1280" s="102"/>
    </row>
    <row r="1281" spans="1:4" x14ac:dyDescent="0.25">
      <c r="A1281" s="103"/>
      <c r="B1281" s="102"/>
      <c r="C1281" s="102"/>
      <c r="D1281" s="102"/>
    </row>
    <row r="1282" spans="1:4" x14ac:dyDescent="0.25">
      <c r="A1282" s="103"/>
      <c r="B1282" s="102"/>
      <c r="C1282" s="102"/>
      <c r="D1282" s="102"/>
    </row>
    <row r="1283" spans="1:4" x14ac:dyDescent="0.25">
      <c r="A1283" s="103"/>
      <c r="B1283" s="102"/>
      <c r="C1283" s="102"/>
      <c r="D1283" s="102"/>
    </row>
    <row r="1284" spans="1:4" x14ac:dyDescent="0.25">
      <c r="A1284" s="103"/>
      <c r="B1284" s="102"/>
      <c r="C1284" s="102"/>
      <c r="D1284" s="102"/>
    </row>
    <row r="1285" spans="1:4" x14ac:dyDescent="0.25">
      <c r="A1285" s="103"/>
      <c r="B1285" s="102"/>
      <c r="C1285" s="102"/>
      <c r="D1285" s="102"/>
    </row>
    <row r="1286" spans="1:4" x14ac:dyDescent="0.25">
      <c r="A1286" s="103"/>
      <c r="B1286" s="102"/>
      <c r="C1286" s="102"/>
      <c r="D1286" s="102"/>
    </row>
    <row r="1287" spans="1:4" x14ac:dyDescent="0.25">
      <c r="A1287" s="103"/>
      <c r="B1287" s="102"/>
      <c r="C1287" s="102"/>
      <c r="D1287" s="102"/>
    </row>
    <row r="1288" spans="1:4" x14ac:dyDescent="0.25">
      <c r="A1288" s="103"/>
      <c r="B1288" s="102"/>
      <c r="C1288" s="102"/>
      <c r="D1288" s="102"/>
    </row>
    <row r="1289" spans="1:4" x14ac:dyDescent="0.25">
      <c r="A1289" s="103"/>
      <c r="B1289" s="102"/>
      <c r="C1289" s="102"/>
      <c r="D1289" s="102"/>
    </row>
    <row r="1290" spans="1:4" x14ac:dyDescent="0.25">
      <c r="A1290" s="103"/>
      <c r="B1290" s="102"/>
      <c r="C1290" s="102"/>
      <c r="D1290" s="102"/>
    </row>
    <row r="1291" spans="1:4" x14ac:dyDescent="0.25">
      <c r="A1291" s="103"/>
      <c r="B1291" s="102"/>
      <c r="C1291" s="102"/>
      <c r="D1291" s="102"/>
    </row>
    <row r="1292" spans="1:4" x14ac:dyDescent="0.25">
      <c r="A1292" s="103"/>
      <c r="B1292" s="102"/>
      <c r="C1292" s="102"/>
      <c r="D1292" s="102"/>
    </row>
    <row r="1293" spans="1:4" x14ac:dyDescent="0.25">
      <c r="A1293" s="103"/>
      <c r="B1293" s="102"/>
      <c r="C1293" s="102"/>
      <c r="D1293" s="102"/>
    </row>
    <row r="1294" spans="1:4" x14ac:dyDescent="0.25">
      <c r="A1294" s="103"/>
      <c r="B1294" s="102"/>
      <c r="C1294" s="102"/>
      <c r="D1294" s="102"/>
    </row>
    <row r="1295" spans="1:4" x14ac:dyDescent="0.25">
      <c r="A1295" s="103"/>
      <c r="B1295" s="102"/>
      <c r="C1295" s="102"/>
      <c r="D1295" s="102"/>
    </row>
    <row r="1296" spans="1:4" x14ac:dyDescent="0.25">
      <c r="A1296" s="103"/>
      <c r="B1296" s="102"/>
      <c r="C1296" s="102"/>
      <c r="D1296" s="102"/>
    </row>
    <row r="1297" spans="1:4" x14ac:dyDescent="0.25">
      <c r="A1297" s="103"/>
      <c r="B1297" s="102"/>
      <c r="C1297" s="102"/>
      <c r="D1297" s="102"/>
    </row>
    <row r="1298" spans="1:4" x14ac:dyDescent="0.25">
      <c r="A1298" s="103"/>
      <c r="B1298" s="102"/>
      <c r="C1298" s="102"/>
      <c r="D1298" s="102"/>
    </row>
    <row r="1299" spans="1:4" x14ac:dyDescent="0.25">
      <c r="A1299" s="103"/>
      <c r="B1299" s="102"/>
      <c r="C1299" s="102"/>
      <c r="D1299" s="102"/>
    </row>
    <row r="1300" spans="1:4" x14ac:dyDescent="0.25">
      <c r="A1300" s="103"/>
      <c r="B1300" s="102"/>
      <c r="C1300" s="102"/>
      <c r="D1300" s="102"/>
    </row>
    <row r="1301" spans="1:4" x14ac:dyDescent="0.25">
      <c r="A1301" s="103"/>
      <c r="B1301" s="102"/>
      <c r="C1301" s="102"/>
      <c r="D1301" s="102"/>
    </row>
    <row r="1302" spans="1:4" x14ac:dyDescent="0.25">
      <c r="A1302" s="103"/>
      <c r="B1302" s="102"/>
      <c r="C1302" s="102"/>
      <c r="D1302" s="102"/>
    </row>
    <row r="1303" spans="1:4" x14ac:dyDescent="0.25">
      <c r="A1303" s="103"/>
      <c r="B1303" s="102"/>
      <c r="C1303" s="102"/>
      <c r="D1303" s="102"/>
    </row>
    <row r="1304" spans="1:4" x14ac:dyDescent="0.25">
      <c r="A1304" s="103"/>
      <c r="B1304" s="102"/>
      <c r="C1304" s="102"/>
      <c r="D1304" s="102"/>
    </row>
    <row r="1305" spans="1:4" x14ac:dyDescent="0.25">
      <c r="A1305" s="103"/>
      <c r="B1305" s="102"/>
      <c r="C1305" s="102"/>
      <c r="D1305" s="102"/>
    </row>
    <row r="1306" spans="1:4" x14ac:dyDescent="0.25">
      <c r="A1306" s="103"/>
      <c r="B1306" s="102"/>
      <c r="C1306" s="102"/>
      <c r="D1306" s="102"/>
    </row>
    <row r="1307" spans="1:4" x14ac:dyDescent="0.25">
      <c r="A1307" s="103"/>
      <c r="B1307" s="102"/>
      <c r="C1307" s="102"/>
      <c r="D1307" s="102"/>
    </row>
    <row r="1308" spans="1:4" x14ac:dyDescent="0.25">
      <c r="A1308" s="103"/>
      <c r="B1308" s="102"/>
      <c r="C1308" s="102"/>
      <c r="D1308" s="102"/>
    </row>
    <row r="1309" spans="1:4" x14ac:dyDescent="0.25">
      <c r="A1309" s="103"/>
      <c r="B1309" s="102"/>
      <c r="C1309" s="102"/>
      <c r="D1309" s="102"/>
    </row>
    <row r="1310" spans="1:4" x14ac:dyDescent="0.25">
      <c r="A1310" s="103"/>
      <c r="B1310" s="102"/>
      <c r="C1310" s="102"/>
      <c r="D1310" s="102"/>
    </row>
    <row r="1311" spans="1:4" x14ac:dyDescent="0.25">
      <c r="A1311" s="103"/>
      <c r="B1311" s="102"/>
      <c r="C1311" s="102"/>
      <c r="D1311" s="102"/>
    </row>
    <row r="1312" spans="1:4" x14ac:dyDescent="0.25">
      <c r="A1312" s="103"/>
      <c r="B1312" s="102"/>
      <c r="C1312" s="102"/>
      <c r="D1312" s="102"/>
    </row>
    <row r="1313" spans="1:4" x14ac:dyDescent="0.25">
      <c r="A1313" s="103"/>
      <c r="B1313" s="102"/>
      <c r="C1313" s="102"/>
      <c r="D1313" s="102"/>
    </row>
    <row r="1314" spans="1:4" x14ac:dyDescent="0.25">
      <c r="A1314" s="103"/>
      <c r="B1314" s="102"/>
      <c r="C1314" s="102"/>
      <c r="D1314" s="102"/>
    </row>
    <row r="1315" spans="1:4" x14ac:dyDescent="0.25">
      <c r="A1315" s="103"/>
      <c r="B1315" s="102"/>
      <c r="C1315" s="102"/>
      <c r="D1315" s="102"/>
    </row>
    <row r="1316" spans="1:4" x14ac:dyDescent="0.25">
      <c r="A1316" s="103"/>
      <c r="B1316" s="102"/>
      <c r="C1316" s="102"/>
      <c r="D1316" s="102"/>
    </row>
    <row r="1317" spans="1:4" x14ac:dyDescent="0.25">
      <c r="A1317" s="103"/>
      <c r="B1317" s="102"/>
      <c r="C1317" s="102"/>
      <c r="D1317" s="102"/>
    </row>
    <row r="1318" spans="1:4" x14ac:dyDescent="0.25">
      <c r="A1318" s="103"/>
      <c r="B1318" s="102"/>
      <c r="C1318" s="102"/>
      <c r="D1318" s="102"/>
    </row>
    <row r="1319" spans="1:4" x14ac:dyDescent="0.25">
      <c r="A1319" s="103"/>
      <c r="B1319" s="102"/>
      <c r="C1319" s="102"/>
      <c r="D1319" s="102"/>
    </row>
    <row r="1320" spans="1:4" x14ac:dyDescent="0.25">
      <c r="A1320" s="103"/>
      <c r="B1320" s="102"/>
      <c r="C1320" s="102"/>
      <c r="D1320" s="102"/>
    </row>
    <row r="1321" spans="1:4" x14ac:dyDescent="0.25">
      <c r="A1321" s="103"/>
      <c r="B1321" s="102"/>
      <c r="C1321" s="102"/>
      <c r="D1321" s="102"/>
    </row>
    <row r="1322" spans="1:4" x14ac:dyDescent="0.25">
      <c r="A1322" s="103"/>
      <c r="B1322" s="102"/>
      <c r="C1322" s="102"/>
      <c r="D1322" s="102"/>
    </row>
    <row r="1323" spans="1:4" x14ac:dyDescent="0.25">
      <c r="A1323" s="103"/>
      <c r="B1323" s="102"/>
      <c r="C1323" s="102"/>
      <c r="D1323" s="102"/>
    </row>
    <row r="1324" spans="1:4" x14ac:dyDescent="0.25">
      <c r="A1324" s="103"/>
      <c r="B1324" s="102"/>
      <c r="C1324" s="102"/>
      <c r="D1324" s="102"/>
    </row>
    <row r="1325" spans="1:4" x14ac:dyDescent="0.25">
      <c r="A1325" s="103"/>
      <c r="B1325" s="102"/>
      <c r="C1325" s="102"/>
      <c r="D1325" s="102"/>
    </row>
    <row r="1326" spans="1:4" x14ac:dyDescent="0.25">
      <c r="A1326" s="103"/>
      <c r="B1326" s="102"/>
      <c r="C1326" s="102"/>
      <c r="D1326" s="102"/>
    </row>
    <row r="1327" spans="1:4" x14ac:dyDescent="0.25">
      <c r="A1327" s="103"/>
      <c r="B1327" s="102"/>
      <c r="C1327" s="102"/>
      <c r="D1327" s="102"/>
    </row>
    <row r="1328" spans="1:4" x14ac:dyDescent="0.25">
      <c r="A1328" s="103"/>
      <c r="B1328" s="102"/>
      <c r="C1328" s="102"/>
      <c r="D1328" s="102"/>
    </row>
    <row r="1329" spans="1:4" x14ac:dyDescent="0.25">
      <c r="A1329" s="103"/>
      <c r="B1329" s="102"/>
      <c r="C1329" s="102"/>
      <c r="D1329" s="102"/>
    </row>
    <row r="1330" spans="1:4" x14ac:dyDescent="0.25">
      <c r="A1330" s="103"/>
      <c r="B1330" s="102"/>
      <c r="C1330" s="102"/>
      <c r="D1330" s="102"/>
    </row>
    <row r="1331" spans="1:4" x14ac:dyDescent="0.25">
      <c r="A1331" s="103"/>
      <c r="B1331" s="102"/>
      <c r="C1331" s="102"/>
      <c r="D1331" s="102"/>
    </row>
    <row r="1332" spans="1:4" x14ac:dyDescent="0.25">
      <c r="A1332" s="103"/>
      <c r="B1332" s="102"/>
      <c r="C1332" s="102"/>
      <c r="D1332" s="102"/>
    </row>
    <row r="1333" spans="1:4" x14ac:dyDescent="0.25">
      <c r="A1333" s="103"/>
      <c r="B1333" s="102"/>
      <c r="C1333" s="102"/>
      <c r="D1333" s="102"/>
    </row>
    <row r="1334" spans="1:4" x14ac:dyDescent="0.25">
      <c r="A1334" s="103"/>
      <c r="B1334" s="102"/>
      <c r="C1334" s="102"/>
      <c r="D1334" s="102"/>
    </row>
    <row r="1335" spans="1:4" x14ac:dyDescent="0.25">
      <c r="A1335" s="103"/>
      <c r="B1335" s="102"/>
      <c r="C1335" s="102"/>
      <c r="D1335" s="102"/>
    </row>
    <row r="1336" spans="1:4" x14ac:dyDescent="0.25">
      <c r="A1336" s="103"/>
      <c r="B1336" s="102"/>
      <c r="C1336" s="102"/>
      <c r="D1336" s="102"/>
    </row>
    <row r="1337" spans="1:4" x14ac:dyDescent="0.25">
      <c r="A1337" s="103"/>
      <c r="B1337" s="102"/>
      <c r="C1337" s="102"/>
      <c r="D1337" s="102"/>
    </row>
    <row r="1338" spans="1:4" x14ac:dyDescent="0.25">
      <c r="A1338" s="103"/>
      <c r="B1338" s="102"/>
      <c r="C1338" s="102"/>
      <c r="D1338" s="102"/>
    </row>
    <row r="1339" spans="1:4" x14ac:dyDescent="0.25">
      <c r="A1339" s="103"/>
      <c r="B1339" s="102"/>
      <c r="C1339" s="102"/>
      <c r="D1339" s="102"/>
    </row>
    <row r="1340" spans="1:4" x14ac:dyDescent="0.25">
      <c r="A1340" s="103"/>
      <c r="B1340" s="102"/>
      <c r="C1340" s="102"/>
      <c r="D1340" s="102"/>
    </row>
    <row r="1341" spans="1:4" x14ac:dyDescent="0.25">
      <c r="A1341" s="103"/>
      <c r="B1341" s="102"/>
      <c r="C1341" s="102"/>
      <c r="D1341" s="102"/>
    </row>
    <row r="1342" spans="1:4" x14ac:dyDescent="0.25">
      <c r="A1342" s="103"/>
      <c r="B1342" s="102"/>
      <c r="C1342" s="102"/>
      <c r="D1342" s="102"/>
    </row>
    <row r="1343" spans="1:4" x14ac:dyDescent="0.25">
      <c r="A1343" s="103"/>
      <c r="B1343" s="102"/>
      <c r="C1343" s="102"/>
      <c r="D1343" s="102"/>
    </row>
    <row r="1344" spans="1:4" x14ac:dyDescent="0.25">
      <c r="A1344" s="103"/>
      <c r="B1344" s="102"/>
      <c r="C1344" s="102"/>
      <c r="D1344" s="102"/>
    </row>
    <row r="1345" spans="1:4" x14ac:dyDescent="0.25">
      <c r="A1345" s="103"/>
      <c r="B1345" s="102"/>
      <c r="C1345" s="102"/>
      <c r="D1345" s="102"/>
    </row>
    <row r="1346" spans="1:4" x14ac:dyDescent="0.25">
      <c r="A1346" s="103"/>
      <c r="B1346" s="102"/>
      <c r="C1346" s="102"/>
      <c r="D1346" s="102"/>
    </row>
    <row r="1347" spans="1:4" x14ac:dyDescent="0.25">
      <c r="A1347" s="103"/>
      <c r="B1347" s="102"/>
      <c r="C1347" s="102"/>
      <c r="D1347" s="102"/>
    </row>
    <row r="1348" spans="1:4" x14ac:dyDescent="0.25">
      <c r="A1348" s="103"/>
      <c r="B1348" s="102"/>
      <c r="C1348" s="102"/>
      <c r="D1348" s="102"/>
    </row>
    <row r="1349" spans="1:4" x14ac:dyDescent="0.25">
      <c r="A1349" s="103"/>
      <c r="B1349" s="102"/>
      <c r="C1349" s="102"/>
      <c r="D1349" s="102"/>
    </row>
    <row r="1350" spans="1:4" x14ac:dyDescent="0.25">
      <c r="A1350" s="103"/>
      <c r="B1350" s="102"/>
      <c r="C1350" s="102"/>
      <c r="D1350" s="102"/>
    </row>
    <row r="1351" spans="1:4" x14ac:dyDescent="0.25">
      <c r="A1351" s="103"/>
      <c r="B1351" s="102"/>
      <c r="C1351" s="102"/>
      <c r="D1351" s="102"/>
    </row>
    <row r="1352" spans="1:4" x14ac:dyDescent="0.25">
      <c r="A1352" s="103"/>
      <c r="B1352" s="102"/>
      <c r="C1352" s="102"/>
      <c r="D1352" s="102"/>
    </row>
    <row r="1353" spans="1:4" x14ac:dyDescent="0.25">
      <c r="A1353" s="103"/>
      <c r="B1353" s="102"/>
      <c r="C1353" s="102"/>
      <c r="D1353" s="102"/>
    </row>
    <row r="1354" spans="1:4" x14ac:dyDescent="0.25">
      <c r="A1354" s="103"/>
      <c r="B1354" s="102"/>
      <c r="C1354" s="102"/>
      <c r="D1354" s="102"/>
    </row>
    <row r="1355" spans="1:4" x14ac:dyDescent="0.25">
      <c r="A1355" s="103"/>
      <c r="B1355" s="102"/>
      <c r="C1355" s="102"/>
      <c r="D1355" s="102"/>
    </row>
    <row r="1356" spans="1:4" x14ac:dyDescent="0.25">
      <c r="A1356" s="103"/>
      <c r="B1356" s="102"/>
      <c r="C1356" s="102"/>
      <c r="D1356" s="102"/>
    </row>
    <row r="1357" spans="1:4" x14ac:dyDescent="0.25">
      <c r="A1357" s="103"/>
      <c r="B1357" s="102"/>
      <c r="C1357" s="102"/>
      <c r="D1357" s="102"/>
    </row>
    <row r="1358" spans="1:4" x14ac:dyDescent="0.25">
      <c r="A1358" s="103"/>
      <c r="B1358" s="102"/>
      <c r="C1358" s="102"/>
      <c r="D1358" s="102"/>
    </row>
    <row r="1359" spans="1:4" x14ac:dyDescent="0.25">
      <c r="A1359" s="103"/>
      <c r="B1359" s="102"/>
      <c r="C1359" s="102"/>
      <c r="D1359" s="102"/>
    </row>
    <row r="1360" spans="1:4" x14ac:dyDescent="0.25">
      <c r="A1360" s="103"/>
      <c r="B1360" s="102"/>
      <c r="C1360" s="102"/>
      <c r="D1360" s="102"/>
    </row>
    <row r="1361" spans="1:4" x14ac:dyDescent="0.25">
      <c r="A1361" s="103"/>
      <c r="B1361" s="102"/>
      <c r="C1361" s="102"/>
      <c r="D1361" s="102"/>
    </row>
    <row r="1362" spans="1:4" x14ac:dyDescent="0.25">
      <c r="A1362" s="103"/>
      <c r="B1362" s="102"/>
      <c r="C1362" s="102"/>
      <c r="D1362" s="102"/>
    </row>
    <row r="1363" spans="1:4" x14ac:dyDescent="0.25">
      <c r="A1363" s="103"/>
      <c r="B1363" s="102"/>
      <c r="C1363" s="102"/>
      <c r="D1363" s="102"/>
    </row>
    <row r="1364" spans="1:4" x14ac:dyDescent="0.25">
      <c r="A1364" s="103"/>
      <c r="B1364" s="102"/>
      <c r="C1364" s="102"/>
      <c r="D1364" s="102"/>
    </row>
    <row r="1365" spans="1:4" x14ac:dyDescent="0.25">
      <c r="A1365" s="103"/>
      <c r="B1365" s="102"/>
      <c r="C1365" s="102"/>
      <c r="D1365" s="102"/>
    </row>
    <row r="1366" spans="1:4" x14ac:dyDescent="0.25">
      <c r="A1366" s="103"/>
      <c r="B1366" s="102"/>
      <c r="C1366" s="102"/>
      <c r="D1366" s="102"/>
    </row>
    <row r="1367" spans="1:4" x14ac:dyDescent="0.25">
      <c r="A1367" s="103"/>
      <c r="B1367" s="102"/>
      <c r="C1367" s="102"/>
      <c r="D1367" s="102"/>
    </row>
    <row r="1368" spans="1:4" x14ac:dyDescent="0.25">
      <c r="A1368" s="103"/>
      <c r="B1368" s="102"/>
      <c r="C1368" s="102"/>
      <c r="D1368" s="102"/>
    </row>
    <row r="1369" spans="1:4" x14ac:dyDescent="0.25">
      <c r="A1369" s="103"/>
      <c r="B1369" s="102"/>
      <c r="C1369" s="102"/>
      <c r="D1369" s="102"/>
    </row>
    <row r="1370" spans="1:4" x14ac:dyDescent="0.25">
      <c r="A1370" s="103"/>
      <c r="B1370" s="102"/>
      <c r="C1370" s="102"/>
      <c r="D1370" s="102"/>
    </row>
    <row r="1371" spans="1:4" x14ac:dyDescent="0.25">
      <c r="A1371" s="103"/>
      <c r="B1371" s="102"/>
      <c r="C1371" s="102"/>
      <c r="D1371" s="102"/>
    </row>
    <row r="1372" spans="1:4" x14ac:dyDescent="0.25">
      <c r="A1372" s="103"/>
      <c r="B1372" s="102"/>
      <c r="C1372" s="102"/>
      <c r="D1372" s="102"/>
    </row>
    <row r="1373" spans="1:4" x14ac:dyDescent="0.25">
      <c r="A1373" s="103"/>
      <c r="B1373" s="102"/>
      <c r="C1373" s="102"/>
      <c r="D1373" s="102"/>
    </row>
    <row r="1374" spans="1:4" x14ac:dyDescent="0.25">
      <c r="A1374" s="103"/>
      <c r="B1374" s="102"/>
      <c r="C1374" s="102"/>
      <c r="D1374" s="102"/>
    </row>
    <row r="1375" spans="1:4" x14ac:dyDescent="0.25">
      <c r="A1375" s="103"/>
      <c r="B1375" s="102"/>
      <c r="C1375" s="102"/>
      <c r="D1375" s="102"/>
    </row>
    <row r="1376" spans="1:4" x14ac:dyDescent="0.25">
      <c r="A1376" s="103"/>
      <c r="B1376" s="102"/>
      <c r="C1376" s="102"/>
      <c r="D1376" s="102"/>
    </row>
    <row r="1377" spans="1:4" x14ac:dyDescent="0.25">
      <c r="A1377" s="103"/>
      <c r="B1377" s="102"/>
      <c r="C1377" s="102"/>
      <c r="D1377" s="102"/>
    </row>
    <row r="1378" spans="1:4" x14ac:dyDescent="0.25">
      <c r="A1378" s="103"/>
      <c r="B1378" s="102"/>
      <c r="C1378" s="102"/>
      <c r="D1378" s="102"/>
    </row>
    <row r="1379" spans="1:4" x14ac:dyDescent="0.25">
      <c r="A1379" s="103"/>
      <c r="B1379" s="102"/>
      <c r="C1379" s="102"/>
      <c r="D1379" s="102"/>
    </row>
    <row r="1380" spans="1:4" x14ac:dyDescent="0.25">
      <c r="A1380" s="103"/>
      <c r="B1380" s="102"/>
      <c r="C1380" s="102"/>
      <c r="D1380" s="102"/>
    </row>
    <row r="1381" spans="1:4" x14ac:dyDescent="0.25">
      <c r="A1381" s="103"/>
      <c r="B1381" s="102"/>
      <c r="C1381" s="102"/>
      <c r="D1381" s="102"/>
    </row>
    <row r="1382" spans="1:4" x14ac:dyDescent="0.25">
      <c r="A1382" s="103"/>
      <c r="B1382" s="102"/>
      <c r="C1382" s="102"/>
      <c r="D1382" s="102"/>
    </row>
    <row r="1383" spans="1:4" x14ac:dyDescent="0.25">
      <c r="A1383" s="103"/>
      <c r="B1383" s="102"/>
      <c r="C1383" s="102"/>
      <c r="D1383" s="102"/>
    </row>
    <row r="1384" spans="1:4" x14ac:dyDescent="0.25">
      <c r="A1384" s="103"/>
      <c r="B1384" s="102"/>
      <c r="C1384" s="102"/>
      <c r="D1384" s="102"/>
    </row>
    <row r="1385" spans="1:4" x14ac:dyDescent="0.25">
      <c r="A1385" s="103"/>
      <c r="B1385" s="102"/>
      <c r="C1385" s="102"/>
      <c r="D1385" s="102"/>
    </row>
    <row r="1386" spans="1:4" x14ac:dyDescent="0.25">
      <c r="A1386" s="103"/>
      <c r="B1386" s="102"/>
      <c r="C1386" s="102"/>
      <c r="D1386" s="102"/>
    </row>
    <row r="1387" spans="1:4" x14ac:dyDescent="0.25">
      <c r="A1387" s="103"/>
      <c r="B1387" s="102"/>
      <c r="C1387" s="102"/>
      <c r="D1387" s="102"/>
    </row>
    <row r="1388" spans="1:4" x14ac:dyDescent="0.25">
      <c r="A1388" s="103"/>
      <c r="B1388" s="102"/>
      <c r="C1388" s="102"/>
      <c r="D1388" s="102"/>
    </row>
    <row r="1389" spans="1:4" x14ac:dyDescent="0.25">
      <c r="A1389" s="103"/>
      <c r="B1389" s="102"/>
      <c r="C1389" s="102"/>
      <c r="D1389" s="102"/>
    </row>
    <row r="1390" spans="1:4" x14ac:dyDescent="0.25">
      <c r="A1390" s="103"/>
      <c r="B1390" s="102"/>
      <c r="C1390" s="102"/>
      <c r="D1390" s="102"/>
    </row>
    <row r="1391" spans="1:4" x14ac:dyDescent="0.25">
      <c r="A1391" s="103"/>
      <c r="B1391" s="102"/>
      <c r="C1391" s="102"/>
      <c r="D1391" s="102"/>
    </row>
    <row r="1392" spans="1:4" x14ac:dyDescent="0.25">
      <c r="A1392" s="103"/>
      <c r="B1392" s="102"/>
      <c r="C1392" s="102"/>
      <c r="D1392" s="102"/>
    </row>
    <row r="1393" spans="1:4" x14ac:dyDescent="0.25">
      <c r="A1393" s="103"/>
      <c r="B1393" s="102"/>
      <c r="C1393" s="102"/>
      <c r="D1393" s="102"/>
    </row>
    <row r="1394" spans="1:4" x14ac:dyDescent="0.25">
      <c r="A1394" s="103"/>
      <c r="B1394" s="102"/>
      <c r="C1394" s="102"/>
      <c r="D1394" s="102"/>
    </row>
    <row r="1395" spans="1:4" x14ac:dyDescent="0.25">
      <c r="A1395" s="103"/>
      <c r="B1395" s="102"/>
      <c r="C1395" s="102"/>
      <c r="D1395" s="102"/>
    </row>
    <row r="1396" spans="1:4" x14ac:dyDescent="0.25">
      <c r="A1396" s="103"/>
      <c r="B1396" s="102"/>
      <c r="C1396" s="102"/>
      <c r="D1396" s="102"/>
    </row>
    <row r="1397" spans="1:4" x14ac:dyDescent="0.25">
      <c r="A1397" s="103"/>
      <c r="B1397" s="102"/>
      <c r="C1397" s="102"/>
      <c r="D1397" s="102"/>
    </row>
    <row r="1398" spans="1:4" x14ac:dyDescent="0.25">
      <c r="A1398" s="103"/>
      <c r="B1398" s="102"/>
      <c r="C1398" s="102"/>
      <c r="D1398" s="102"/>
    </row>
    <row r="1399" spans="1:4" x14ac:dyDescent="0.25">
      <c r="A1399" s="103"/>
      <c r="B1399" s="102"/>
      <c r="C1399" s="102"/>
      <c r="D1399" s="102"/>
    </row>
    <row r="1400" spans="1:4" x14ac:dyDescent="0.25">
      <c r="A1400" s="103"/>
      <c r="B1400" s="102"/>
      <c r="C1400" s="102"/>
      <c r="D1400" s="102"/>
    </row>
    <row r="1401" spans="1:4" x14ac:dyDescent="0.25">
      <c r="A1401" s="103"/>
      <c r="B1401" s="102"/>
      <c r="C1401" s="102"/>
      <c r="D1401" s="102"/>
    </row>
    <row r="1402" spans="1:4" x14ac:dyDescent="0.25">
      <c r="A1402" s="103"/>
      <c r="B1402" s="102"/>
      <c r="C1402" s="102"/>
      <c r="D1402" s="102"/>
    </row>
    <row r="1403" spans="1:4" x14ac:dyDescent="0.25">
      <c r="A1403" s="103"/>
      <c r="B1403" s="102"/>
      <c r="C1403" s="102"/>
      <c r="D1403" s="102"/>
    </row>
    <row r="1404" spans="1:4" x14ac:dyDescent="0.25">
      <c r="A1404" s="103"/>
      <c r="B1404" s="102"/>
      <c r="C1404" s="102"/>
      <c r="D1404" s="102"/>
    </row>
    <row r="1405" spans="1:4" x14ac:dyDescent="0.25">
      <c r="A1405" s="103"/>
      <c r="B1405" s="102"/>
      <c r="C1405" s="102"/>
      <c r="D1405" s="102"/>
    </row>
    <row r="1406" spans="1:4" x14ac:dyDescent="0.25">
      <c r="A1406" s="103"/>
      <c r="B1406" s="102"/>
      <c r="C1406" s="102"/>
      <c r="D1406" s="102"/>
    </row>
    <row r="1407" spans="1:4" x14ac:dyDescent="0.25">
      <c r="A1407" s="103"/>
      <c r="B1407" s="102"/>
      <c r="C1407" s="102"/>
      <c r="D1407" s="102"/>
    </row>
    <row r="1408" spans="1:4" x14ac:dyDescent="0.25">
      <c r="A1408" s="103"/>
      <c r="B1408" s="102"/>
      <c r="C1408" s="102"/>
      <c r="D1408" s="102"/>
    </row>
    <row r="1409" spans="1:4" x14ac:dyDescent="0.25">
      <c r="A1409" s="103"/>
      <c r="B1409" s="102"/>
      <c r="C1409" s="102"/>
      <c r="D1409" s="102"/>
    </row>
    <row r="1410" spans="1:4" x14ac:dyDescent="0.25">
      <c r="A1410" s="103"/>
      <c r="B1410" s="102"/>
      <c r="C1410" s="102"/>
      <c r="D1410" s="102"/>
    </row>
    <row r="1411" spans="1:4" x14ac:dyDescent="0.25">
      <c r="A1411" s="103"/>
      <c r="B1411" s="102"/>
      <c r="C1411" s="102"/>
      <c r="D1411" s="102"/>
    </row>
    <row r="1412" spans="1:4" x14ac:dyDescent="0.25">
      <c r="A1412" s="103"/>
      <c r="B1412" s="102"/>
      <c r="C1412" s="102"/>
      <c r="D1412" s="102"/>
    </row>
    <row r="1413" spans="1:4" x14ac:dyDescent="0.25">
      <c r="A1413" s="103"/>
      <c r="B1413" s="102"/>
      <c r="C1413" s="102"/>
      <c r="D1413" s="102"/>
    </row>
    <row r="1414" spans="1:4" x14ac:dyDescent="0.25">
      <c r="A1414" s="103"/>
      <c r="B1414" s="102"/>
      <c r="C1414" s="102"/>
      <c r="D1414" s="102"/>
    </row>
    <row r="1415" spans="1:4" x14ac:dyDescent="0.25">
      <c r="A1415" s="103"/>
      <c r="B1415" s="102"/>
      <c r="C1415" s="102"/>
      <c r="D1415" s="102"/>
    </row>
    <row r="1416" spans="1:4" x14ac:dyDescent="0.25">
      <c r="A1416" s="103"/>
      <c r="B1416" s="102"/>
      <c r="C1416" s="102"/>
      <c r="D1416" s="102"/>
    </row>
    <row r="1417" spans="1:4" x14ac:dyDescent="0.25">
      <c r="A1417" s="103"/>
      <c r="B1417" s="102"/>
      <c r="C1417" s="102"/>
      <c r="D1417" s="102"/>
    </row>
    <row r="1418" spans="1:4" x14ac:dyDescent="0.25">
      <c r="A1418" s="103"/>
      <c r="B1418" s="102"/>
      <c r="C1418" s="102"/>
      <c r="D1418" s="102"/>
    </row>
    <row r="1419" spans="1:4" x14ac:dyDescent="0.25">
      <c r="A1419" s="103"/>
      <c r="B1419" s="102"/>
      <c r="C1419" s="102"/>
      <c r="D1419" s="102"/>
    </row>
    <row r="1420" spans="1:4" x14ac:dyDescent="0.25">
      <c r="A1420" s="103"/>
      <c r="B1420" s="102"/>
      <c r="C1420" s="102"/>
      <c r="D1420" s="102"/>
    </row>
    <row r="1421" spans="1:4" x14ac:dyDescent="0.25">
      <c r="A1421" s="103"/>
      <c r="B1421" s="102"/>
      <c r="C1421" s="102"/>
      <c r="D1421" s="102"/>
    </row>
    <row r="1422" spans="1:4" x14ac:dyDescent="0.25">
      <c r="A1422" s="103"/>
      <c r="B1422" s="102"/>
      <c r="C1422" s="102"/>
      <c r="D1422" s="102"/>
    </row>
    <row r="1423" spans="1:4" x14ac:dyDescent="0.25">
      <c r="A1423" s="103"/>
      <c r="B1423" s="102"/>
      <c r="C1423" s="102"/>
      <c r="D1423" s="102"/>
    </row>
    <row r="1424" spans="1:4" x14ac:dyDescent="0.25">
      <c r="A1424" s="103"/>
      <c r="B1424" s="102"/>
      <c r="C1424" s="102"/>
      <c r="D1424" s="102"/>
    </row>
    <row r="1425" spans="1:4" x14ac:dyDescent="0.25">
      <c r="A1425" s="103"/>
      <c r="B1425" s="102"/>
      <c r="C1425" s="102"/>
      <c r="D1425" s="102"/>
    </row>
    <row r="1426" spans="1:4" x14ac:dyDescent="0.25">
      <c r="A1426" s="103"/>
      <c r="B1426" s="102"/>
      <c r="C1426" s="102"/>
      <c r="D1426" s="102"/>
    </row>
    <row r="1427" spans="1:4" x14ac:dyDescent="0.25">
      <c r="A1427" s="103"/>
      <c r="B1427" s="102"/>
      <c r="C1427" s="102"/>
      <c r="D1427" s="102"/>
    </row>
    <row r="1428" spans="1:4" x14ac:dyDescent="0.25">
      <c r="A1428" s="103"/>
      <c r="B1428" s="102"/>
      <c r="C1428" s="102"/>
      <c r="D1428" s="102"/>
    </row>
    <row r="1429" spans="1:4" x14ac:dyDescent="0.25">
      <c r="A1429" s="103"/>
      <c r="B1429" s="102"/>
      <c r="C1429" s="102"/>
      <c r="D1429" s="102"/>
    </row>
    <row r="1430" spans="1:4" x14ac:dyDescent="0.25">
      <c r="A1430" s="103"/>
      <c r="B1430" s="102"/>
      <c r="C1430" s="102"/>
      <c r="D1430" s="102"/>
    </row>
    <row r="1431" spans="1:4" x14ac:dyDescent="0.25">
      <c r="A1431" s="103"/>
      <c r="B1431" s="102"/>
      <c r="C1431" s="102"/>
      <c r="D1431" s="102"/>
    </row>
    <row r="1432" spans="1:4" x14ac:dyDescent="0.25">
      <c r="A1432" s="103"/>
      <c r="B1432" s="102"/>
      <c r="C1432" s="102"/>
      <c r="D1432" s="102"/>
    </row>
    <row r="1433" spans="1:4" x14ac:dyDescent="0.25">
      <c r="A1433" s="103"/>
      <c r="B1433" s="102"/>
      <c r="C1433" s="102"/>
      <c r="D1433" s="102"/>
    </row>
    <row r="1434" spans="1:4" x14ac:dyDescent="0.25">
      <c r="A1434" s="103"/>
      <c r="B1434" s="102"/>
      <c r="C1434" s="102"/>
      <c r="D1434" s="102"/>
    </row>
    <row r="1435" spans="1:4" x14ac:dyDescent="0.25">
      <c r="A1435" s="103"/>
      <c r="B1435" s="102"/>
      <c r="C1435" s="102"/>
      <c r="D1435" s="102"/>
    </row>
    <row r="1436" spans="1:4" x14ac:dyDescent="0.25">
      <c r="A1436" s="103"/>
      <c r="B1436" s="102"/>
      <c r="C1436" s="102"/>
      <c r="D1436" s="102"/>
    </row>
    <row r="1437" spans="1:4" x14ac:dyDescent="0.25">
      <c r="A1437" s="103"/>
      <c r="B1437" s="102"/>
      <c r="C1437" s="102"/>
      <c r="D1437" s="102"/>
    </row>
    <row r="1438" spans="1:4" x14ac:dyDescent="0.25">
      <c r="A1438" s="103"/>
      <c r="B1438" s="102"/>
      <c r="C1438" s="102"/>
      <c r="D1438" s="102"/>
    </row>
    <row r="1439" spans="1:4" x14ac:dyDescent="0.25">
      <c r="A1439" s="103"/>
      <c r="B1439" s="102"/>
      <c r="C1439" s="102"/>
      <c r="D1439" s="102"/>
    </row>
    <row r="1440" spans="1:4" x14ac:dyDescent="0.25">
      <c r="A1440" s="103"/>
      <c r="B1440" s="102"/>
      <c r="C1440" s="102"/>
      <c r="D1440" s="102"/>
    </row>
    <row r="1441" spans="1:4" x14ac:dyDescent="0.25">
      <c r="A1441" s="103"/>
      <c r="B1441" s="102"/>
      <c r="C1441" s="102"/>
      <c r="D1441" s="102"/>
    </row>
    <row r="1442" spans="1:4" x14ac:dyDescent="0.25">
      <c r="A1442" s="103"/>
      <c r="B1442" s="102"/>
      <c r="C1442" s="102"/>
      <c r="D1442" s="102"/>
    </row>
    <row r="1443" spans="1:4" x14ac:dyDescent="0.25">
      <c r="A1443" s="103"/>
      <c r="B1443" s="102"/>
      <c r="C1443" s="102"/>
      <c r="D1443" s="102"/>
    </row>
    <row r="1444" spans="1:4" x14ac:dyDescent="0.25">
      <c r="A1444" s="103"/>
      <c r="B1444" s="102"/>
      <c r="C1444" s="102"/>
      <c r="D1444" s="102"/>
    </row>
    <row r="1445" spans="1:4" x14ac:dyDescent="0.25">
      <c r="A1445" s="103"/>
      <c r="B1445" s="102"/>
      <c r="C1445" s="102"/>
      <c r="D1445" s="102"/>
    </row>
    <row r="1446" spans="1:4" x14ac:dyDescent="0.25">
      <c r="A1446" s="103"/>
      <c r="B1446" s="102"/>
      <c r="C1446" s="102"/>
      <c r="D1446" s="102"/>
    </row>
    <row r="1447" spans="1:4" x14ac:dyDescent="0.25">
      <c r="A1447" s="103"/>
      <c r="B1447" s="102"/>
      <c r="C1447" s="102"/>
      <c r="D1447" s="102"/>
    </row>
    <row r="1448" spans="1:4" x14ac:dyDescent="0.25">
      <c r="A1448" s="103"/>
      <c r="B1448" s="102"/>
      <c r="C1448" s="102"/>
      <c r="D1448" s="102"/>
    </row>
    <row r="1449" spans="1:4" x14ac:dyDescent="0.25">
      <c r="A1449" s="103"/>
      <c r="B1449" s="102"/>
      <c r="C1449" s="102"/>
      <c r="D1449" s="102"/>
    </row>
    <row r="1450" spans="1:4" x14ac:dyDescent="0.25">
      <c r="A1450" s="103"/>
      <c r="B1450" s="102"/>
      <c r="C1450" s="102"/>
      <c r="D1450" s="102"/>
    </row>
    <row r="1451" spans="1:4" x14ac:dyDescent="0.25">
      <c r="A1451" s="103"/>
      <c r="B1451" s="102"/>
      <c r="C1451" s="102"/>
      <c r="D1451" s="102"/>
    </row>
    <row r="1452" spans="1:4" x14ac:dyDescent="0.25">
      <c r="A1452" s="103"/>
      <c r="B1452" s="102"/>
      <c r="C1452" s="102"/>
      <c r="D1452" s="102"/>
    </row>
    <row r="1453" spans="1:4" x14ac:dyDescent="0.25">
      <c r="A1453" s="103"/>
      <c r="B1453" s="102"/>
      <c r="C1453" s="102"/>
      <c r="D1453" s="102"/>
    </row>
    <row r="1454" spans="1:4" x14ac:dyDescent="0.25">
      <c r="A1454" s="103"/>
      <c r="B1454" s="102"/>
      <c r="C1454" s="102"/>
      <c r="D1454" s="102"/>
    </row>
    <row r="1455" spans="1:4" x14ac:dyDescent="0.25">
      <c r="A1455" s="103"/>
      <c r="B1455" s="102"/>
      <c r="C1455" s="102"/>
      <c r="D1455" s="102"/>
    </row>
    <row r="1456" spans="1:4" x14ac:dyDescent="0.25">
      <c r="A1456" s="103"/>
      <c r="B1456" s="102"/>
      <c r="C1456" s="102"/>
      <c r="D1456" s="102"/>
    </row>
    <row r="1457" spans="1:4" x14ac:dyDescent="0.25">
      <c r="A1457" s="103"/>
      <c r="B1457" s="102"/>
      <c r="C1457" s="102"/>
      <c r="D1457" s="102"/>
    </row>
    <row r="1458" spans="1:4" x14ac:dyDescent="0.25">
      <c r="A1458" s="103"/>
      <c r="B1458" s="102"/>
      <c r="C1458" s="102"/>
      <c r="D1458" s="102"/>
    </row>
    <row r="1459" spans="1:4" x14ac:dyDescent="0.25">
      <c r="A1459" s="103"/>
      <c r="B1459" s="102"/>
      <c r="C1459" s="102"/>
      <c r="D1459" s="102"/>
    </row>
    <row r="1460" spans="1:4" x14ac:dyDescent="0.25">
      <c r="A1460" s="103"/>
      <c r="B1460" s="102"/>
      <c r="C1460" s="102"/>
      <c r="D1460" s="102"/>
    </row>
    <row r="1461" spans="1:4" x14ac:dyDescent="0.25">
      <c r="A1461" s="103"/>
      <c r="B1461" s="102"/>
      <c r="C1461" s="102"/>
      <c r="D1461" s="102"/>
    </row>
    <row r="1462" spans="1:4" x14ac:dyDescent="0.25">
      <c r="A1462" s="103"/>
      <c r="B1462" s="102"/>
      <c r="C1462" s="102"/>
      <c r="D1462" s="102"/>
    </row>
    <row r="1463" spans="1:4" x14ac:dyDescent="0.25">
      <c r="A1463" s="103"/>
      <c r="B1463" s="102"/>
      <c r="C1463" s="102"/>
      <c r="D1463" s="102"/>
    </row>
    <row r="1464" spans="1:4" x14ac:dyDescent="0.25">
      <c r="A1464" s="103"/>
      <c r="B1464" s="102"/>
      <c r="C1464" s="102"/>
      <c r="D1464" s="102"/>
    </row>
    <row r="1465" spans="1:4" x14ac:dyDescent="0.25">
      <c r="A1465" s="103"/>
      <c r="B1465" s="102"/>
      <c r="C1465" s="102"/>
      <c r="D1465" s="102"/>
    </row>
    <row r="1466" spans="1:4" x14ac:dyDescent="0.25">
      <c r="A1466" s="103"/>
      <c r="B1466" s="102"/>
      <c r="C1466" s="102"/>
      <c r="D1466" s="102"/>
    </row>
    <row r="1467" spans="1:4" x14ac:dyDescent="0.25">
      <c r="A1467" s="103"/>
      <c r="B1467" s="102"/>
      <c r="C1467" s="102"/>
      <c r="D1467" s="102"/>
    </row>
    <row r="1468" spans="1:4" x14ac:dyDescent="0.25">
      <c r="A1468" s="103"/>
      <c r="B1468" s="102"/>
      <c r="C1468" s="102"/>
      <c r="D1468" s="102"/>
    </row>
    <row r="1469" spans="1:4" x14ac:dyDescent="0.25">
      <c r="A1469" s="103"/>
      <c r="B1469" s="102"/>
      <c r="C1469" s="102"/>
      <c r="D1469" s="102"/>
    </row>
    <row r="1470" spans="1:4" x14ac:dyDescent="0.25">
      <c r="A1470" s="103"/>
      <c r="B1470" s="102"/>
      <c r="C1470" s="102"/>
      <c r="D1470" s="102"/>
    </row>
    <row r="1471" spans="1:4" x14ac:dyDescent="0.25">
      <c r="A1471" s="103"/>
      <c r="B1471" s="102"/>
      <c r="C1471" s="102"/>
      <c r="D1471" s="102"/>
    </row>
    <row r="1472" spans="1:4" x14ac:dyDescent="0.25">
      <c r="A1472" s="103"/>
      <c r="B1472" s="102"/>
      <c r="C1472" s="102"/>
      <c r="D1472" s="102"/>
    </row>
    <row r="1473" spans="1:4" x14ac:dyDescent="0.25">
      <c r="A1473" s="103"/>
      <c r="B1473" s="102"/>
      <c r="C1473" s="102"/>
      <c r="D1473" s="102"/>
    </row>
    <row r="1474" spans="1:4" x14ac:dyDescent="0.25">
      <c r="A1474" s="103"/>
      <c r="B1474" s="102"/>
      <c r="C1474" s="102"/>
      <c r="D1474" s="102"/>
    </row>
    <row r="1475" spans="1:4" x14ac:dyDescent="0.25">
      <c r="A1475" s="103"/>
      <c r="B1475" s="102"/>
      <c r="C1475" s="102"/>
      <c r="D1475" s="102"/>
    </row>
    <row r="1476" spans="1:4" x14ac:dyDescent="0.25">
      <c r="A1476" s="103"/>
      <c r="B1476" s="102"/>
      <c r="C1476" s="102"/>
      <c r="D1476" s="102"/>
    </row>
    <row r="1477" spans="1:4" x14ac:dyDescent="0.25">
      <c r="A1477" s="103"/>
      <c r="B1477" s="102"/>
      <c r="C1477" s="102"/>
      <c r="D1477" s="102"/>
    </row>
    <row r="1478" spans="1:4" x14ac:dyDescent="0.25">
      <c r="A1478" s="103"/>
      <c r="B1478" s="102"/>
      <c r="C1478" s="102"/>
      <c r="D1478" s="102"/>
    </row>
    <row r="1479" spans="1:4" x14ac:dyDescent="0.25">
      <c r="A1479" s="103"/>
      <c r="B1479" s="102"/>
      <c r="C1479" s="102"/>
      <c r="D1479" s="102"/>
    </row>
    <row r="1480" spans="1:4" x14ac:dyDescent="0.25">
      <c r="A1480" s="103"/>
      <c r="B1480" s="102"/>
      <c r="C1480" s="102"/>
      <c r="D1480" s="102"/>
    </row>
    <row r="1481" spans="1:4" x14ac:dyDescent="0.25">
      <c r="A1481" s="103"/>
      <c r="B1481" s="102"/>
      <c r="C1481" s="102"/>
      <c r="D1481" s="102"/>
    </row>
    <row r="1482" spans="1:4" x14ac:dyDescent="0.25">
      <c r="A1482" s="103"/>
      <c r="B1482" s="102"/>
      <c r="C1482" s="102"/>
      <c r="D1482" s="102"/>
    </row>
    <row r="1483" spans="1:4" x14ac:dyDescent="0.25">
      <c r="A1483" s="103"/>
      <c r="B1483" s="102"/>
      <c r="C1483" s="102"/>
      <c r="D1483" s="102"/>
    </row>
    <row r="1484" spans="1:4" x14ac:dyDescent="0.25">
      <c r="A1484" s="103"/>
      <c r="B1484" s="102"/>
      <c r="C1484" s="102"/>
      <c r="D1484" s="102"/>
    </row>
    <row r="1485" spans="1:4" x14ac:dyDescent="0.25">
      <c r="A1485" s="103"/>
      <c r="B1485" s="102"/>
      <c r="C1485" s="102"/>
      <c r="D1485" s="102"/>
    </row>
    <row r="1486" spans="1:4" x14ac:dyDescent="0.25">
      <c r="A1486" s="103"/>
      <c r="B1486" s="102"/>
      <c r="C1486" s="102"/>
      <c r="D1486" s="102"/>
    </row>
    <row r="1487" spans="1:4" x14ac:dyDescent="0.25">
      <c r="A1487" s="103"/>
      <c r="B1487" s="102"/>
      <c r="C1487" s="102"/>
      <c r="D1487" s="102"/>
    </row>
    <row r="1488" spans="1:4" x14ac:dyDescent="0.25">
      <c r="A1488" s="103"/>
      <c r="B1488" s="102"/>
      <c r="C1488" s="102"/>
      <c r="D1488" s="102"/>
    </row>
    <row r="1489" spans="1:4" x14ac:dyDescent="0.25">
      <c r="A1489" s="103"/>
      <c r="B1489" s="102"/>
      <c r="C1489" s="102"/>
      <c r="D1489" s="102"/>
    </row>
    <row r="1490" spans="1:4" x14ac:dyDescent="0.25">
      <c r="A1490" s="103"/>
      <c r="B1490" s="102"/>
      <c r="C1490" s="102"/>
      <c r="D1490" s="102"/>
    </row>
    <row r="1491" spans="1:4" x14ac:dyDescent="0.25">
      <c r="A1491" s="103"/>
      <c r="B1491" s="102"/>
      <c r="C1491" s="102"/>
      <c r="D1491" s="102"/>
    </row>
    <row r="1492" spans="1:4" x14ac:dyDescent="0.25">
      <c r="A1492" s="103"/>
      <c r="B1492" s="102"/>
      <c r="C1492" s="102"/>
      <c r="D1492" s="102"/>
    </row>
    <row r="1493" spans="1:4" x14ac:dyDescent="0.25">
      <c r="A1493" s="103"/>
      <c r="B1493" s="102"/>
      <c r="C1493" s="102"/>
      <c r="D1493" s="102"/>
    </row>
    <row r="1494" spans="1:4" x14ac:dyDescent="0.25">
      <c r="A1494" s="103"/>
      <c r="B1494" s="102"/>
      <c r="C1494" s="102"/>
      <c r="D1494" s="102"/>
    </row>
    <row r="1495" spans="1:4" x14ac:dyDescent="0.25">
      <c r="A1495" s="103"/>
      <c r="B1495" s="102"/>
      <c r="C1495" s="102"/>
      <c r="D1495" s="102"/>
    </row>
    <row r="1496" spans="1:4" x14ac:dyDescent="0.25">
      <c r="A1496" s="103"/>
      <c r="B1496" s="102"/>
      <c r="C1496" s="102"/>
      <c r="D1496" s="102"/>
    </row>
    <row r="1497" spans="1:4" x14ac:dyDescent="0.25">
      <c r="A1497" s="103"/>
      <c r="B1497" s="102"/>
      <c r="C1497" s="102"/>
      <c r="D1497" s="102"/>
    </row>
    <row r="1498" spans="1:4" x14ac:dyDescent="0.25">
      <c r="A1498" s="103"/>
      <c r="B1498" s="102"/>
      <c r="C1498" s="102"/>
      <c r="D1498" s="102"/>
    </row>
    <row r="1499" spans="1:4" x14ac:dyDescent="0.25">
      <c r="A1499" s="103"/>
      <c r="B1499" s="102"/>
      <c r="C1499" s="102"/>
      <c r="D1499" s="102"/>
    </row>
    <row r="1500" spans="1:4" x14ac:dyDescent="0.25">
      <c r="A1500" s="103"/>
      <c r="B1500" s="102"/>
      <c r="C1500" s="102"/>
      <c r="D1500" s="102"/>
    </row>
    <row r="1501" spans="1:4" x14ac:dyDescent="0.25">
      <c r="A1501" s="103"/>
      <c r="B1501" s="102"/>
      <c r="C1501" s="102"/>
      <c r="D1501" s="102"/>
    </row>
    <row r="1502" spans="1:4" x14ac:dyDescent="0.25">
      <c r="A1502" s="103"/>
      <c r="B1502" s="102"/>
      <c r="C1502" s="102"/>
      <c r="D1502" s="102"/>
    </row>
    <row r="1503" spans="1:4" x14ac:dyDescent="0.25">
      <c r="A1503" s="103"/>
      <c r="B1503" s="102"/>
      <c r="C1503" s="102"/>
      <c r="D1503" s="102"/>
    </row>
    <row r="1504" spans="1:4" x14ac:dyDescent="0.25">
      <c r="A1504" s="103"/>
      <c r="B1504" s="102"/>
      <c r="C1504" s="102"/>
      <c r="D1504" s="102"/>
    </row>
    <row r="1505" spans="1:4" x14ac:dyDescent="0.25">
      <c r="A1505" s="103"/>
      <c r="B1505" s="102"/>
      <c r="C1505" s="102"/>
      <c r="D1505" s="102"/>
    </row>
    <row r="1506" spans="1:4" x14ac:dyDescent="0.25">
      <c r="A1506" s="103"/>
      <c r="B1506" s="102"/>
      <c r="C1506" s="102"/>
      <c r="D1506" s="102"/>
    </row>
    <row r="1507" spans="1:4" x14ac:dyDescent="0.25">
      <c r="A1507" s="103"/>
      <c r="B1507" s="102"/>
      <c r="C1507" s="102"/>
      <c r="D1507" s="102"/>
    </row>
    <row r="1508" spans="1:4" x14ac:dyDescent="0.25">
      <c r="A1508" s="103"/>
      <c r="B1508" s="102"/>
      <c r="C1508" s="102"/>
      <c r="D1508" s="102"/>
    </row>
    <row r="1509" spans="1:4" x14ac:dyDescent="0.25">
      <c r="A1509" s="103"/>
      <c r="B1509" s="102"/>
      <c r="C1509" s="102"/>
      <c r="D1509" s="102"/>
    </row>
    <row r="1510" spans="1:4" x14ac:dyDescent="0.25">
      <c r="A1510" s="103"/>
      <c r="B1510" s="102"/>
      <c r="C1510" s="102"/>
      <c r="D1510" s="102"/>
    </row>
    <row r="1511" spans="1:4" x14ac:dyDescent="0.25">
      <c r="A1511" s="103"/>
      <c r="B1511" s="102"/>
      <c r="C1511" s="102"/>
      <c r="D1511" s="102"/>
    </row>
    <row r="1512" spans="1:4" x14ac:dyDescent="0.25">
      <c r="A1512" s="103"/>
      <c r="B1512" s="102"/>
      <c r="C1512" s="102"/>
      <c r="D1512" s="102"/>
    </row>
    <row r="1513" spans="1:4" x14ac:dyDescent="0.25">
      <c r="A1513" s="103"/>
      <c r="B1513" s="102"/>
      <c r="C1513" s="102"/>
      <c r="D1513" s="102"/>
    </row>
    <row r="1514" spans="1:4" x14ac:dyDescent="0.25">
      <c r="A1514" s="103"/>
      <c r="B1514" s="102"/>
      <c r="C1514" s="102"/>
      <c r="D1514" s="102"/>
    </row>
    <row r="1515" spans="1:4" x14ac:dyDescent="0.25">
      <c r="A1515" s="103"/>
      <c r="B1515" s="102"/>
      <c r="C1515" s="102"/>
      <c r="D1515" s="102"/>
    </row>
    <row r="1516" spans="1:4" x14ac:dyDescent="0.25">
      <c r="A1516" s="103"/>
      <c r="B1516" s="102"/>
      <c r="C1516" s="102"/>
      <c r="D1516" s="102"/>
    </row>
    <row r="1517" spans="1:4" x14ac:dyDescent="0.25">
      <c r="A1517" s="103"/>
      <c r="B1517" s="102"/>
      <c r="C1517" s="102"/>
      <c r="D1517" s="102"/>
    </row>
    <row r="1518" spans="1:4" x14ac:dyDescent="0.25">
      <c r="A1518" s="103"/>
      <c r="B1518" s="102"/>
      <c r="C1518" s="102"/>
      <c r="D1518" s="102"/>
    </row>
    <row r="1519" spans="1:4" x14ac:dyDescent="0.25">
      <c r="A1519" s="103"/>
      <c r="B1519" s="102"/>
      <c r="C1519" s="102"/>
      <c r="D1519" s="102"/>
    </row>
    <row r="1520" spans="1:4" x14ac:dyDescent="0.25">
      <c r="A1520" s="103"/>
      <c r="B1520" s="102"/>
      <c r="C1520" s="102"/>
      <c r="D1520" s="102"/>
    </row>
    <row r="1521" spans="1:4" x14ac:dyDescent="0.25">
      <c r="A1521" s="103"/>
      <c r="B1521" s="102"/>
      <c r="C1521" s="102"/>
      <c r="D1521" s="102"/>
    </row>
    <row r="1522" spans="1:4" x14ac:dyDescent="0.25">
      <c r="A1522" s="103"/>
      <c r="B1522" s="102"/>
      <c r="C1522" s="102"/>
      <c r="D1522" s="102"/>
    </row>
    <row r="1523" spans="1:4" x14ac:dyDescent="0.25">
      <c r="A1523" s="103"/>
      <c r="B1523" s="102"/>
      <c r="C1523" s="102"/>
      <c r="D1523" s="102"/>
    </row>
    <row r="1524" spans="1:4" x14ac:dyDescent="0.25">
      <c r="A1524" s="103"/>
      <c r="B1524" s="102"/>
      <c r="C1524" s="102"/>
      <c r="D1524" s="102"/>
    </row>
    <row r="1525" spans="1:4" x14ac:dyDescent="0.25">
      <c r="A1525" s="103"/>
      <c r="B1525" s="102"/>
      <c r="C1525" s="102"/>
      <c r="D1525" s="102"/>
    </row>
    <row r="1526" spans="1:4" x14ac:dyDescent="0.25">
      <c r="A1526" s="103"/>
      <c r="B1526" s="102"/>
      <c r="C1526" s="102"/>
      <c r="D1526" s="102"/>
    </row>
    <row r="1527" spans="1:4" x14ac:dyDescent="0.25">
      <c r="A1527" s="103"/>
      <c r="B1527" s="102"/>
      <c r="C1527" s="102"/>
      <c r="D1527" s="102"/>
    </row>
    <row r="1528" spans="1:4" x14ac:dyDescent="0.25">
      <c r="A1528" s="103"/>
      <c r="B1528" s="102"/>
      <c r="C1528" s="102"/>
      <c r="D1528" s="102"/>
    </row>
    <row r="1529" spans="1:4" x14ac:dyDescent="0.25">
      <c r="A1529" s="103"/>
      <c r="B1529" s="102"/>
      <c r="C1529" s="102"/>
      <c r="D1529" s="102"/>
    </row>
    <row r="1530" spans="1:4" x14ac:dyDescent="0.25">
      <c r="A1530" s="103"/>
      <c r="B1530" s="102"/>
      <c r="C1530" s="102"/>
      <c r="D1530" s="102"/>
    </row>
    <row r="1531" spans="1:4" x14ac:dyDescent="0.25">
      <c r="A1531" s="103"/>
      <c r="B1531" s="102"/>
      <c r="C1531" s="102"/>
      <c r="D1531" s="102"/>
    </row>
    <row r="1532" spans="1:4" x14ac:dyDescent="0.25">
      <c r="A1532" s="103"/>
      <c r="B1532" s="102"/>
      <c r="C1532" s="102"/>
      <c r="D1532" s="102"/>
    </row>
    <row r="1533" spans="1:4" x14ac:dyDescent="0.25">
      <c r="A1533" s="103"/>
      <c r="B1533" s="102"/>
      <c r="C1533" s="102"/>
      <c r="D1533" s="102"/>
    </row>
    <row r="1534" spans="1:4" x14ac:dyDescent="0.25">
      <c r="A1534" s="103"/>
      <c r="B1534" s="102"/>
      <c r="C1534" s="102"/>
      <c r="D1534" s="102"/>
    </row>
    <row r="1535" spans="1:4" x14ac:dyDescent="0.25">
      <c r="A1535" s="103"/>
      <c r="B1535" s="102"/>
      <c r="C1535" s="102"/>
      <c r="D1535" s="102"/>
    </row>
    <row r="1536" spans="1:4" x14ac:dyDescent="0.25">
      <c r="A1536" s="103"/>
      <c r="B1536" s="102"/>
      <c r="C1536" s="102"/>
      <c r="D1536" s="102"/>
    </row>
    <row r="1537" spans="1:4" x14ac:dyDescent="0.25">
      <c r="A1537" s="103"/>
      <c r="B1537" s="102"/>
      <c r="C1537" s="102"/>
      <c r="D1537" s="102"/>
    </row>
    <row r="1538" spans="1:4" x14ac:dyDescent="0.25">
      <c r="A1538" s="103"/>
      <c r="B1538" s="102"/>
      <c r="C1538" s="102"/>
      <c r="D1538" s="102"/>
    </row>
    <row r="1539" spans="1:4" x14ac:dyDescent="0.25">
      <c r="A1539" s="103"/>
      <c r="B1539" s="102"/>
      <c r="C1539" s="102"/>
      <c r="D1539" s="102"/>
    </row>
    <row r="1540" spans="1:4" x14ac:dyDescent="0.25">
      <c r="A1540" s="103"/>
      <c r="B1540" s="102"/>
      <c r="C1540" s="102"/>
      <c r="D1540" s="102"/>
    </row>
    <row r="1541" spans="1:4" x14ac:dyDescent="0.25">
      <c r="A1541" s="103"/>
      <c r="B1541" s="102"/>
      <c r="C1541" s="102"/>
      <c r="D1541" s="102"/>
    </row>
    <row r="1542" spans="1:4" x14ac:dyDescent="0.25">
      <c r="A1542" s="103"/>
      <c r="B1542" s="102"/>
      <c r="C1542" s="102"/>
      <c r="D1542" s="102"/>
    </row>
    <row r="1543" spans="1:4" x14ac:dyDescent="0.25">
      <c r="A1543" s="103"/>
      <c r="B1543" s="102"/>
      <c r="C1543" s="102"/>
      <c r="D1543" s="102"/>
    </row>
    <row r="1544" spans="1:4" x14ac:dyDescent="0.25">
      <c r="A1544" s="103"/>
      <c r="B1544" s="102"/>
      <c r="C1544" s="102"/>
      <c r="D1544" s="102"/>
    </row>
    <row r="1545" spans="1:4" x14ac:dyDescent="0.25">
      <c r="A1545" s="103"/>
      <c r="B1545" s="102"/>
      <c r="C1545" s="102"/>
      <c r="D1545" s="102"/>
    </row>
    <row r="1546" spans="1:4" x14ac:dyDescent="0.25">
      <c r="A1546" s="103"/>
      <c r="B1546" s="102"/>
      <c r="C1546" s="102"/>
      <c r="D1546" s="102"/>
    </row>
    <row r="1547" spans="1:4" x14ac:dyDescent="0.25">
      <c r="A1547" s="103"/>
      <c r="B1547" s="102"/>
      <c r="C1547" s="102"/>
      <c r="D1547" s="102"/>
    </row>
    <row r="1548" spans="1:4" x14ac:dyDescent="0.25">
      <c r="A1548" s="103"/>
      <c r="B1548" s="102"/>
      <c r="C1548" s="102"/>
      <c r="D1548" s="102"/>
    </row>
    <row r="1549" spans="1:4" x14ac:dyDescent="0.25">
      <c r="A1549" s="103"/>
      <c r="B1549" s="102"/>
      <c r="C1549" s="102"/>
      <c r="D1549" s="102"/>
    </row>
    <row r="1550" spans="1:4" x14ac:dyDescent="0.25">
      <c r="A1550" s="103"/>
      <c r="B1550" s="102"/>
      <c r="C1550" s="102"/>
      <c r="D1550" s="102"/>
    </row>
    <row r="1551" spans="1:4" x14ac:dyDescent="0.25">
      <c r="A1551" s="103"/>
      <c r="B1551" s="102"/>
      <c r="C1551" s="102"/>
      <c r="D1551" s="102"/>
    </row>
    <row r="1552" spans="1:4" x14ac:dyDescent="0.25">
      <c r="A1552" s="103"/>
      <c r="B1552" s="102"/>
      <c r="C1552" s="102"/>
      <c r="D1552" s="102"/>
    </row>
    <row r="1553" spans="1:4" x14ac:dyDescent="0.25">
      <c r="A1553" s="103"/>
      <c r="B1553" s="102"/>
      <c r="C1553" s="102"/>
      <c r="D1553" s="102"/>
    </row>
    <row r="1554" spans="1:4" x14ac:dyDescent="0.25">
      <c r="A1554" s="103"/>
      <c r="B1554" s="102"/>
      <c r="C1554" s="102"/>
      <c r="D1554" s="102"/>
    </row>
    <row r="1555" spans="1:4" x14ac:dyDescent="0.25">
      <c r="A1555" s="103"/>
      <c r="B1555" s="102"/>
      <c r="C1555" s="102"/>
      <c r="D1555" s="102"/>
    </row>
    <row r="1556" spans="1:4" x14ac:dyDescent="0.25">
      <c r="A1556" s="103"/>
      <c r="B1556" s="102"/>
      <c r="C1556" s="102"/>
      <c r="D1556" s="102"/>
    </row>
    <row r="1557" spans="1:4" x14ac:dyDescent="0.25">
      <c r="A1557" s="103"/>
      <c r="B1557" s="102"/>
      <c r="C1557" s="102"/>
      <c r="D1557" s="102"/>
    </row>
    <row r="1558" spans="1:4" x14ac:dyDescent="0.25">
      <c r="A1558" s="103"/>
      <c r="B1558" s="102"/>
      <c r="C1558" s="102"/>
      <c r="D1558" s="102"/>
    </row>
    <row r="1559" spans="1:4" x14ac:dyDescent="0.25">
      <c r="A1559" s="103"/>
      <c r="B1559" s="102"/>
      <c r="C1559" s="102"/>
      <c r="D1559" s="102"/>
    </row>
    <row r="1560" spans="1:4" x14ac:dyDescent="0.25">
      <c r="A1560" s="103"/>
      <c r="B1560" s="102"/>
      <c r="C1560" s="102"/>
      <c r="D1560" s="102"/>
    </row>
    <row r="1561" spans="1:4" x14ac:dyDescent="0.25">
      <c r="A1561" s="103"/>
      <c r="B1561" s="102"/>
      <c r="C1561" s="102"/>
      <c r="D1561" s="102"/>
    </row>
    <row r="1562" spans="1:4" x14ac:dyDescent="0.25">
      <c r="A1562" s="103"/>
      <c r="B1562" s="102"/>
      <c r="C1562" s="102"/>
      <c r="D1562" s="102"/>
    </row>
    <row r="1563" spans="1:4" x14ac:dyDescent="0.25">
      <c r="A1563" s="103"/>
      <c r="B1563" s="102"/>
      <c r="C1563" s="102"/>
      <c r="D1563" s="102"/>
    </row>
    <row r="1564" spans="1:4" x14ac:dyDescent="0.25">
      <c r="A1564" s="103"/>
      <c r="B1564" s="102"/>
      <c r="C1564" s="102"/>
      <c r="D1564" s="102"/>
    </row>
    <row r="1565" spans="1:4" x14ac:dyDescent="0.25">
      <c r="A1565" s="103"/>
      <c r="B1565" s="102"/>
      <c r="C1565" s="102"/>
      <c r="D1565" s="102"/>
    </row>
    <row r="1566" spans="1:4" x14ac:dyDescent="0.25">
      <c r="A1566" s="103"/>
      <c r="B1566" s="102"/>
      <c r="C1566" s="102"/>
      <c r="D1566" s="102"/>
    </row>
    <row r="1567" spans="1:4" x14ac:dyDescent="0.25">
      <c r="A1567" s="103"/>
      <c r="B1567" s="102"/>
      <c r="C1567" s="102"/>
      <c r="D1567" s="102"/>
    </row>
    <row r="1568" spans="1:4" x14ac:dyDescent="0.25">
      <c r="A1568" s="103"/>
      <c r="B1568" s="102"/>
      <c r="C1568" s="102"/>
      <c r="D1568" s="102"/>
    </row>
    <row r="1569" spans="1:4" x14ac:dyDescent="0.25">
      <c r="A1569" s="103"/>
      <c r="B1569" s="102"/>
      <c r="C1569" s="102"/>
      <c r="D1569" s="102"/>
    </row>
    <row r="1570" spans="1:4" x14ac:dyDescent="0.25">
      <c r="A1570" s="103"/>
      <c r="B1570" s="102"/>
      <c r="C1570" s="102"/>
      <c r="D1570" s="102"/>
    </row>
    <row r="1571" spans="1:4" x14ac:dyDescent="0.25">
      <c r="A1571" s="103"/>
      <c r="B1571" s="102"/>
      <c r="C1571" s="102"/>
      <c r="D1571" s="102"/>
    </row>
    <row r="1572" spans="1:4" x14ac:dyDescent="0.25">
      <c r="A1572" s="103"/>
      <c r="B1572" s="102"/>
      <c r="C1572" s="102"/>
      <c r="D1572" s="102"/>
    </row>
    <row r="1573" spans="1:4" x14ac:dyDescent="0.25">
      <c r="A1573" s="103"/>
      <c r="B1573" s="102"/>
      <c r="C1573" s="102"/>
      <c r="D1573" s="102"/>
    </row>
    <row r="1574" spans="1:4" x14ac:dyDescent="0.25">
      <c r="A1574" s="103"/>
      <c r="B1574" s="102"/>
      <c r="C1574" s="102"/>
      <c r="D1574" s="102"/>
    </row>
    <row r="1575" spans="1:4" x14ac:dyDescent="0.25">
      <c r="A1575" s="103"/>
      <c r="B1575" s="102"/>
      <c r="C1575" s="102"/>
      <c r="D1575" s="102"/>
    </row>
    <row r="1576" spans="1:4" x14ac:dyDescent="0.25">
      <c r="A1576" s="103"/>
      <c r="B1576" s="102"/>
      <c r="C1576" s="102"/>
      <c r="D1576" s="102"/>
    </row>
    <row r="1577" spans="1:4" x14ac:dyDescent="0.25">
      <c r="A1577" s="103"/>
      <c r="B1577" s="102"/>
      <c r="C1577" s="102"/>
      <c r="D1577" s="102"/>
    </row>
    <row r="1578" spans="1:4" x14ac:dyDescent="0.25">
      <c r="A1578" s="103"/>
      <c r="B1578" s="102"/>
      <c r="C1578" s="102"/>
      <c r="D1578" s="102"/>
    </row>
    <row r="1579" spans="1:4" x14ac:dyDescent="0.25">
      <c r="A1579" s="103"/>
      <c r="B1579" s="102"/>
      <c r="C1579" s="102"/>
      <c r="D1579" s="102"/>
    </row>
    <row r="1580" spans="1:4" x14ac:dyDescent="0.25">
      <c r="A1580" s="103"/>
      <c r="B1580" s="102"/>
      <c r="C1580" s="102"/>
      <c r="D1580" s="102"/>
    </row>
    <row r="1581" spans="1:4" x14ac:dyDescent="0.25">
      <c r="A1581" s="103"/>
      <c r="B1581" s="102"/>
      <c r="C1581" s="102"/>
      <c r="D1581" s="102"/>
    </row>
    <row r="1582" spans="1:4" x14ac:dyDescent="0.25">
      <c r="A1582" s="103"/>
      <c r="B1582" s="102"/>
      <c r="C1582" s="102"/>
      <c r="D1582" s="102"/>
    </row>
    <row r="1583" spans="1:4" x14ac:dyDescent="0.25">
      <c r="A1583" s="103"/>
      <c r="B1583" s="102"/>
      <c r="C1583" s="102"/>
      <c r="D1583" s="102"/>
    </row>
    <row r="1584" spans="1:4" x14ac:dyDescent="0.25">
      <c r="A1584" s="103"/>
      <c r="B1584" s="102"/>
      <c r="C1584" s="102"/>
      <c r="D1584" s="102"/>
    </row>
    <row r="1585" spans="1:4" x14ac:dyDescent="0.25">
      <c r="A1585" s="103"/>
      <c r="B1585" s="102"/>
      <c r="C1585" s="102"/>
      <c r="D1585" s="102"/>
    </row>
    <row r="1586" spans="1:4" x14ac:dyDescent="0.25">
      <c r="A1586" s="103"/>
      <c r="B1586" s="102"/>
      <c r="C1586" s="102"/>
      <c r="D1586" s="102"/>
    </row>
    <row r="1587" spans="1:4" x14ac:dyDescent="0.25">
      <c r="A1587" s="103"/>
      <c r="B1587" s="102"/>
      <c r="C1587" s="102"/>
      <c r="D1587" s="102"/>
    </row>
    <row r="1588" spans="1:4" x14ac:dyDescent="0.25">
      <c r="A1588" s="103"/>
      <c r="B1588" s="102"/>
      <c r="C1588" s="102"/>
      <c r="D1588" s="102"/>
    </row>
    <row r="1589" spans="1:4" x14ac:dyDescent="0.25">
      <c r="A1589" s="103"/>
      <c r="B1589" s="102"/>
      <c r="C1589" s="102"/>
      <c r="D1589" s="102"/>
    </row>
    <row r="1590" spans="1:4" x14ac:dyDescent="0.25">
      <c r="A1590" s="103"/>
      <c r="B1590" s="102"/>
      <c r="C1590" s="102"/>
      <c r="D1590" s="102"/>
    </row>
    <row r="1591" spans="1:4" x14ac:dyDescent="0.25">
      <c r="A1591" s="103"/>
      <c r="B1591" s="102"/>
      <c r="C1591" s="102"/>
      <c r="D1591" s="102"/>
    </row>
    <row r="1592" spans="1:4" x14ac:dyDescent="0.25">
      <c r="A1592" s="103"/>
      <c r="B1592" s="102"/>
      <c r="C1592" s="102"/>
      <c r="D1592" s="102"/>
    </row>
    <row r="1593" spans="1:4" x14ac:dyDescent="0.25">
      <c r="A1593" s="103"/>
      <c r="B1593" s="102"/>
      <c r="C1593" s="102"/>
      <c r="D1593" s="102"/>
    </row>
    <row r="1594" spans="1:4" x14ac:dyDescent="0.25">
      <c r="A1594" s="103"/>
      <c r="B1594" s="102"/>
      <c r="C1594" s="102"/>
      <c r="D1594" s="102"/>
    </row>
    <row r="1595" spans="1:4" x14ac:dyDescent="0.25">
      <c r="A1595" s="103"/>
      <c r="B1595" s="102"/>
      <c r="C1595" s="102"/>
      <c r="D1595" s="102"/>
    </row>
    <row r="1596" spans="1:4" x14ac:dyDescent="0.25">
      <c r="A1596" s="103"/>
      <c r="B1596" s="102"/>
      <c r="C1596" s="102"/>
      <c r="D1596" s="102"/>
    </row>
    <row r="1597" spans="1:4" x14ac:dyDescent="0.25">
      <c r="A1597" s="103"/>
      <c r="B1597" s="102"/>
      <c r="C1597" s="102"/>
      <c r="D1597" s="102"/>
    </row>
    <row r="1598" spans="1:4" x14ac:dyDescent="0.25">
      <c r="A1598" s="103"/>
      <c r="B1598" s="102"/>
      <c r="C1598" s="102"/>
      <c r="D1598" s="102"/>
    </row>
    <row r="1599" spans="1:4" x14ac:dyDescent="0.25">
      <c r="A1599" s="103"/>
      <c r="B1599" s="102"/>
      <c r="C1599" s="102"/>
      <c r="D1599" s="102"/>
    </row>
    <row r="1600" spans="1:4" x14ac:dyDescent="0.25">
      <c r="A1600" s="103"/>
      <c r="B1600" s="102"/>
      <c r="C1600" s="102"/>
      <c r="D1600" s="102"/>
    </row>
    <row r="1601" spans="1:4" x14ac:dyDescent="0.25">
      <c r="A1601" s="103"/>
      <c r="B1601" s="102"/>
      <c r="C1601" s="102"/>
      <c r="D1601" s="102"/>
    </row>
    <row r="1602" spans="1:4" x14ac:dyDescent="0.25">
      <c r="A1602" s="103"/>
      <c r="B1602" s="102"/>
      <c r="C1602" s="102"/>
      <c r="D1602" s="102"/>
    </row>
    <row r="1603" spans="1:4" x14ac:dyDescent="0.25">
      <c r="A1603" s="103"/>
      <c r="B1603" s="102"/>
      <c r="C1603" s="102"/>
      <c r="D1603" s="102"/>
    </row>
    <row r="1604" spans="1:4" x14ac:dyDescent="0.25">
      <c r="A1604" s="103"/>
      <c r="B1604" s="102"/>
      <c r="C1604" s="102"/>
      <c r="D1604" s="102"/>
    </row>
    <row r="1605" spans="1:4" x14ac:dyDescent="0.25">
      <c r="A1605" s="103"/>
      <c r="B1605" s="102"/>
      <c r="C1605" s="102"/>
      <c r="D1605" s="102"/>
    </row>
    <row r="1606" spans="1:4" x14ac:dyDescent="0.25">
      <c r="A1606" s="103"/>
      <c r="B1606" s="102"/>
      <c r="C1606" s="102"/>
      <c r="D1606" s="102"/>
    </row>
    <row r="1607" spans="1:4" x14ac:dyDescent="0.25">
      <c r="A1607" s="103"/>
      <c r="B1607" s="102"/>
      <c r="C1607" s="102"/>
      <c r="D1607" s="102"/>
    </row>
    <row r="1608" spans="1:4" x14ac:dyDescent="0.25">
      <c r="A1608" s="103"/>
      <c r="B1608" s="102"/>
      <c r="C1608" s="102"/>
      <c r="D1608" s="102"/>
    </row>
    <row r="1609" spans="1:4" x14ac:dyDescent="0.25">
      <c r="A1609" s="103"/>
      <c r="B1609" s="102"/>
      <c r="C1609" s="102"/>
      <c r="D1609" s="102"/>
    </row>
    <row r="1610" spans="1:4" x14ac:dyDescent="0.25">
      <c r="A1610"/>
      <c r="B1610"/>
      <c r="C1610"/>
      <c r="D1610"/>
    </row>
    <row r="1611" spans="1:4" x14ac:dyDescent="0.25">
      <c r="A1611"/>
      <c r="B1611"/>
      <c r="C1611"/>
      <c r="D1611"/>
    </row>
    <row r="1612" spans="1:4" x14ac:dyDescent="0.25">
      <c r="A1612"/>
      <c r="B1612"/>
      <c r="C1612"/>
      <c r="D1612"/>
    </row>
    <row r="1613" spans="1:4" x14ac:dyDescent="0.25">
      <c r="A1613"/>
      <c r="B1613"/>
      <c r="C1613"/>
      <c r="D1613"/>
    </row>
    <row r="1614" spans="1:4" x14ac:dyDescent="0.25">
      <c r="A1614"/>
      <c r="B1614"/>
      <c r="C1614"/>
      <c r="D1614"/>
    </row>
    <row r="1615" spans="1:4" x14ac:dyDescent="0.25">
      <c r="A1615"/>
      <c r="B1615"/>
      <c r="C1615"/>
      <c r="D1615"/>
    </row>
    <row r="1616" spans="1:4" x14ac:dyDescent="0.25">
      <c r="A1616"/>
      <c r="B1616"/>
      <c r="C1616"/>
      <c r="D1616"/>
    </row>
    <row r="1617" spans="1:4" x14ac:dyDescent="0.25">
      <c r="A1617"/>
      <c r="B1617"/>
      <c r="C1617"/>
      <c r="D1617"/>
    </row>
    <row r="1618" spans="1:4" x14ac:dyDescent="0.25">
      <c r="A1618"/>
      <c r="B1618"/>
      <c r="C1618"/>
      <c r="D1618"/>
    </row>
    <row r="1619" spans="1:4" x14ac:dyDescent="0.25">
      <c r="A1619"/>
      <c r="B1619"/>
      <c r="C1619"/>
      <c r="D1619"/>
    </row>
    <row r="1620" spans="1:4" x14ac:dyDescent="0.25">
      <c r="A1620"/>
      <c r="B1620"/>
      <c r="C1620"/>
      <c r="D1620"/>
    </row>
    <row r="1621" spans="1:4" x14ac:dyDescent="0.25">
      <c r="A1621"/>
      <c r="B1621"/>
      <c r="C1621"/>
      <c r="D1621"/>
    </row>
    <row r="1622" spans="1:4" x14ac:dyDescent="0.25">
      <c r="A1622"/>
      <c r="B1622"/>
      <c r="C1622"/>
      <c r="D1622"/>
    </row>
    <row r="1623" spans="1:4" x14ac:dyDescent="0.25">
      <c r="A1623"/>
      <c r="B1623"/>
      <c r="C1623"/>
      <c r="D1623"/>
    </row>
    <row r="1624" spans="1:4" x14ac:dyDescent="0.25">
      <c r="A1624"/>
      <c r="B1624"/>
      <c r="C1624"/>
      <c r="D1624"/>
    </row>
    <row r="1625" spans="1:4" x14ac:dyDescent="0.25">
      <c r="A1625"/>
      <c r="B1625"/>
      <c r="C1625"/>
      <c r="D1625"/>
    </row>
    <row r="1626" spans="1:4" x14ac:dyDescent="0.25">
      <c r="A1626"/>
      <c r="B1626"/>
      <c r="C1626"/>
      <c r="D1626"/>
    </row>
    <row r="1627" spans="1:4" x14ac:dyDescent="0.25">
      <c r="A1627"/>
      <c r="B1627"/>
      <c r="C1627"/>
      <c r="D1627"/>
    </row>
    <row r="1628" spans="1:4" x14ac:dyDescent="0.25">
      <c r="A1628"/>
      <c r="B1628"/>
      <c r="C1628"/>
      <c r="D1628"/>
    </row>
    <row r="1629" spans="1:4" x14ac:dyDescent="0.25">
      <c r="A1629"/>
      <c r="B1629"/>
      <c r="C1629"/>
      <c r="D1629"/>
    </row>
    <row r="1630" spans="1:4" x14ac:dyDescent="0.25">
      <c r="A1630"/>
      <c r="B1630"/>
      <c r="C1630"/>
      <c r="D1630"/>
    </row>
    <row r="1631" spans="1:4" x14ac:dyDescent="0.25">
      <c r="A1631"/>
      <c r="B1631"/>
      <c r="C1631"/>
      <c r="D1631"/>
    </row>
    <row r="1632" spans="1:4" x14ac:dyDescent="0.25">
      <c r="A1632"/>
      <c r="B1632"/>
      <c r="C1632"/>
      <c r="D1632"/>
    </row>
    <row r="1633" spans="1:4" x14ac:dyDescent="0.25">
      <c r="A1633"/>
      <c r="B1633"/>
      <c r="C1633"/>
      <c r="D1633"/>
    </row>
    <row r="1634" spans="1:4" x14ac:dyDescent="0.25">
      <c r="A1634"/>
      <c r="B1634"/>
      <c r="C1634"/>
      <c r="D1634"/>
    </row>
    <row r="1635" spans="1:4" x14ac:dyDescent="0.25">
      <c r="A1635"/>
      <c r="B1635"/>
      <c r="C1635"/>
      <c r="D1635"/>
    </row>
    <row r="1636" spans="1:4" x14ac:dyDescent="0.25">
      <c r="A1636"/>
      <c r="B1636"/>
      <c r="C1636"/>
      <c r="D1636"/>
    </row>
    <row r="1637" spans="1:4" x14ac:dyDescent="0.25">
      <c r="A1637"/>
      <c r="B1637"/>
      <c r="C1637"/>
      <c r="D1637"/>
    </row>
    <row r="1638" spans="1:4" x14ac:dyDescent="0.25">
      <c r="A1638"/>
      <c r="B1638"/>
      <c r="C1638"/>
      <c r="D1638"/>
    </row>
    <row r="1639" spans="1:4" x14ac:dyDescent="0.25">
      <c r="A1639"/>
      <c r="B1639"/>
      <c r="C1639"/>
      <c r="D1639"/>
    </row>
    <row r="1640" spans="1:4" x14ac:dyDescent="0.25">
      <c r="A1640"/>
      <c r="B1640"/>
      <c r="C1640"/>
      <c r="D1640"/>
    </row>
    <row r="1641" spans="1:4" x14ac:dyDescent="0.25">
      <c r="A1641"/>
      <c r="B1641"/>
      <c r="C1641"/>
      <c r="D1641"/>
    </row>
    <row r="1642" spans="1:4" x14ac:dyDescent="0.25">
      <c r="A1642"/>
      <c r="B1642"/>
      <c r="C1642"/>
      <c r="D1642"/>
    </row>
    <row r="1643" spans="1:4" x14ac:dyDescent="0.25">
      <c r="A1643"/>
      <c r="B1643"/>
      <c r="C1643"/>
      <c r="D1643"/>
    </row>
    <row r="1644" spans="1:4" x14ac:dyDescent="0.25">
      <c r="A1644"/>
      <c r="B1644"/>
      <c r="C1644"/>
      <c r="D1644"/>
    </row>
    <row r="1645" spans="1:4" x14ac:dyDescent="0.25">
      <c r="A1645"/>
      <c r="B1645"/>
      <c r="C1645"/>
      <c r="D1645"/>
    </row>
    <row r="1646" spans="1:4" x14ac:dyDescent="0.25">
      <c r="A1646"/>
      <c r="B1646"/>
      <c r="C1646"/>
      <c r="D1646"/>
    </row>
    <row r="1647" spans="1:4" x14ac:dyDescent="0.25">
      <c r="A1647"/>
      <c r="B1647"/>
      <c r="C1647"/>
      <c r="D1647"/>
    </row>
    <row r="1648" spans="1:4" x14ac:dyDescent="0.25">
      <c r="A1648"/>
      <c r="B1648"/>
      <c r="C1648"/>
      <c r="D1648"/>
    </row>
    <row r="1649" spans="1:4" x14ac:dyDescent="0.25">
      <c r="A1649"/>
      <c r="B1649"/>
      <c r="C1649"/>
      <c r="D1649"/>
    </row>
    <row r="1650" spans="1:4" x14ac:dyDescent="0.25">
      <c r="A1650"/>
      <c r="B1650"/>
      <c r="C1650"/>
      <c r="D1650"/>
    </row>
    <row r="1651" spans="1:4" x14ac:dyDescent="0.25">
      <c r="A1651"/>
      <c r="B1651"/>
      <c r="C1651"/>
      <c r="D1651"/>
    </row>
    <row r="1652" spans="1:4" x14ac:dyDescent="0.25">
      <c r="A1652"/>
      <c r="B1652"/>
      <c r="C1652"/>
      <c r="D1652"/>
    </row>
    <row r="1653" spans="1:4" x14ac:dyDescent="0.25">
      <c r="A1653"/>
      <c r="B1653"/>
      <c r="C1653"/>
      <c r="D1653"/>
    </row>
    <row r="1654" spans="1:4" x14ac:dyDescent="0.25">
      <c r="A1654"/>
      <c r="B1654"/>
      <c r="C1654"/>
      <c r="D1654"/>
    </row>
    <row r="1655" spans="1:4" x14ac:dyDescent="0.25">
      <c r="A1655"/>
      <c r="B1655"/>
      <c r="C1655"/>
      <c r="D1655"/>
    </row>
    <row r="1656" spans="1:4" x14ac:dyDescent="0.25">
      <c r="A1656"/>
      <c r="B1656"/>
      <c r="C1656"/>
      <c r="D1656"/>
    </row>
    <row r="1657" spans="1:4" x14ac:dyDescent="0.25">
      <c r="A1657"/>
      <c r="B1657"/>
      <c r="C1657"/>
      <c r="D1657"/>
    </row>
    <row r="1658" spans="1:4" x14ac:dyDescent="0.25">
      <c r="A1658"/>
      <c r="B1658"/>
      <c r="C1658"/>
      <c r="D1658"/>
    </row>
    <row r="1659" spans="1:4" x14ac:dyDescent="0.25">
      <c r="A1659"/>
      <c r="B1659"/>
      <c r="C1659"/>
      <c r="D1659"/>
    </row>
    <row r="1660" spans="1:4" x14ac:dyDescent="0.25">
      <c r="A1660"/>
      <c r="B1660"/>
      <c r="C1660"/>
      <c r="D1660"/>
    </row>
    <row r="1661" spans="1:4" x14ac:dyDescent="0.25">
      <c r="A1661"/>
      <c r="B1661"/>
      <c r="C1661"/>
      <c r="D1661"/>
    </row>
    <row r="1662" spans="1:4" x14ac:dyDescent="0.25">
      <c r="A1662"/>
      <c r="B1662"/>
      <c r="C1662"/>
      <c r="D1662"/>
    </row>
    <row r="1663" spans="1:4" x14ac:dyDescent="0.25">
      <c r="A1663"/>
      <c r="B1663"/>
      <c r="C1663"/>
      <c r="D1663"/>
    </row>
    <row r="1664" spans="1:4" x14ac:dyDescent="0.25">
      <c r="A1664"/>
      <c r="B1664"/>
      <c r="C1664"/>
      <c r="D1664"/>
    </row>
    <row r="1665" spans="1:4" x14ac:dyDescent="0.25">
      <c r="A1665"/>
      <c r="B1665"/>
      <c r="C1665"/>
      <c r="D1665"/>
    </row>
    <row r="1666" spans="1:4" x14ac:dyDescent="0.25">
      <c r="A1666"/>
      <c r="B1666"/>
      <c r="C1666"/>
      <c r="D1666"/>
    </row>
    <row r="1667" spans="1:4" x14ac:dyDescent="0.25">
      <c r="A1667"/>
      <c r="B1667"/>
      <c r="C1667"/>
      <c r="D1667"/>
    </row>
    <row r="1668" spans="1:4" x14ac:dyDescent="0.25">
      <c r="A1668"/>
      <c r="B1668"/>
      <c r="C1668"/>
      <c r="D1668"/>
    </row>
    <row r="1669" spans="1:4" x14ac:dyDescent="0.25">
      <c r="A1669"/>
      <c r="B1669"/>
      <c r="C1669"/>
      <c r="D1669"/>
    </row>
    <row r="1670" spans="1:4" x14ac:dyDescent="0.25">
      <c r="A1670"/>
      <c r="B1670"/>
      <c r="C1670"/>
      <c r="D1670"/>
    </row>
    <row r="1671" spans="1:4" x14ac:dyDescent="0.25">
      <c r="A1671"/>
      <c r="B1671"/>
      <c r="C1671"/>
      <c r="D1671"/>
    </row>
    <row r="1672" spans="1:4" x14ac:dyDescent="0.25">
      <c r="A1672"/>
      <c r="B1672"/>
      <c r="C1672"/>
      <c r="D1672"/>
    </row>
    <row r="1673" spans="1:4" x14ac:dyDescent="0.25">
      <c r="A1673"/>
      <c r="B1673"/>
      <c r="C1673"/>
      <c r="D1673"/>
    </row>
    <row r="1674" spans="1:4" x14ac:dyDescent="0.25">
      <c r="A1674"/>
      <c r="B1674"/>
      <c r="C1674"/>
      <c r="D1674"/>
    </row>
    <row r="1675" spans="1:4" x14ac:dyDescent="0.25">
      <c r="A1675"/>
      <c r="B1675"/>
      <c r="C1675"/>
      <c r="D1675"/>
    </row>
    <row r="1676" spans="1:4" x14ac:dyDescent="0.25">
      <c r="A1676"/>
      <c r="B1676"/>
      <c r="C1676"/>
      <c r="D1676"/>
    </row>
    <row r="1677" spans="1:4" x14ac:dyDescent="0.25">
      <c r="A1677"/>
      <c r="B1677"/>
      <c r="C1677"/>
      <c r="D1677"/>
    </row>
    <row r="1678" spans="1:4" x14ac:dyDescent="0.25">
      <c r="A1678"/>
      <c r="B1678"/>
      <c r="C1678"/>
      <c r="D1678"/>
    </row>
    <row r="1679" spans="1:4" x14ac:dyDescent="0.25">
      <c r="A1679"/>
      <c r="B1679"/>
      <c r="C1679"/>
      <c r="D1679"/>
    </row>
    <row r="1680" spans="1:4" x14ac:dyDescent="0.25">
      <c r="A1680"/>
      <c r="B1680"/>
      <c r="C1680"/>
      <c r="D1680"/>
    </row>
    <row r="1681" spans="1:4" x14ac:dyDescent="0.25">
      <c r="A1681"/>
      <c r="B1681"/>
      <c r="C1681"/>
      <c r="D1681"/>
    </row>
    <row r="1682" spans="1:4" x14ac:dyDescent="0.25">
      <c r="A1682"/>
      <c r="B1682"/>
      <c r="C1682"/>
      <c r="D1682"/>
    </row>
    <row r="1683" spans="1:4" x14ac:dyDescent="0.25">
      <c r="A1683"/>
      <c r="B1683"/>
      <c r="C1683"/>
      <c r="D1683"/>
    </row>
    <row r="1684" spans="1:4" x14ac:dyDescent="0.25">
      <c r="A1684"/>
      <c r="B1684"/>
      <c r="C1684"/>
      <c r="D1684"/>
    </row>
    <row r="1685" spans="1:4" x14ac:dyDescent="0.25">
      <c r="A1685"/>
      <c r="B1685"/>
      <c r="C1685"/>
      <c r="D1685"/>
    </row>
    <row r="1686" spans="1:4" x14ac:dyDescent="0.25">
      <c r="A1686"/>
      <c r="B1686"/>
      <c r="C1686"/>
      <c r="D1686"/>
    </row>
    <row r="1687" spans="1:4" x14ac:dyDescent="0.25">
      <c r="A1687"/>
      <c r="B1687"/>
      <c r="C1687"/>
      <c r="D1687"/>
    </row>
    <row r="1688" spans="1:4" x14ac:dyDescent="0.25">
      <c r="A1688"/>
      <c r="B1688"/>
      <c r="C1688"/>
      <c r="D1688"/>
    </row>
    <row r="1689" spans="1:4" x14ac:dyDescent="0.25">
      <c r="A1689"/>
      <c r="B1689"/>
      <c r="C1689"/>
      <c r="D1689"/>
    </row>
    <row r="1690" spans="1:4" x14ac:dyDescent="0.25">
      <c r="A1690"/>
      <c r="B1690"/>
      <c r="C1690"/>
      <c r="D1690"/>
    </row>
    <row r="1691" spans="1:4" x14ac:dyDescent="0.25">
      <c r="A1691"/>
      <c r="B1691"/>
      <c r="C1691"/>
      <c r="D1691"/>
    </row>
    <row r="1692" spans="1:4" x14ac:dyDescent="0.25">
      <c r="A1692"/>
      <c r="B1692"/>
      <c r="C1692"/>
      <c r="D1692"/>
    </row>
    <row r="1693" spans="1:4" x14ac:dyDescent="0.25">
      <c r="A1693"/>
      <c r="B1693"/>
      <c r="C1693"/>
      <c r="D1693"/>
    </row>
    <row r="1694" spans="1:4" x14ac:dyDescent="0.25">
      <c r="A1694"/>
      <c r="B1694"/>
      <c r="C1694"/>
      <c r="D1694"/>
    </row>
    <row r="1695" spans="1:4" x14ac:dyDescent="0.25">
      <c r="A1695"/>
      <c r="B1695"/>
      <c r="C1695"/>
      <c r="D1695"/>
    </row>
    <row r="1696" spans="1:4" x14ac:dyDescent="0.25">
      <c r="A1696"/>
      <c r="B1696"/>
      <c r="C1696"/>
      <c r="D1696"/>
    </row>
    <row r="1697" spans="1:4" x14ac:dyDescent="0.25">
      <c r="A1697"/>
      <c r="B1697"/>
      <c r="C1697"/>
      <c r="D1697"/>
    </row>
    <row r="1698" spans="1:4" x14ac:dyDescent="0.25">
      <c r="A1698"/>
      <c r="B1698"/>
      <c r="C1698"/>
      <c r="D1698"/>
    </row>
    <row r="1699" spans="1:4" x14ac:dyDescent="0.25">
      <c r="A1699"/>
      <c r="B1699"/>
      <c r="C1699"/>
      <c r="D1699"/>
    </row>
    <row r="1700" spans="1:4" x14ac:dyDescent="0.25">
      <c r="A1700"/>
      <c r="B1700"/>
      <c r="C1700"/>
      <c r="D1700"/>
    </row>
    <row r="1701" spans="1:4" x14ac:dyDescent="0.25">
      <c r="A1701"/>
      <c r="B1701"/>
      <c r="C1701"/>
      <c r="D1701"/>
    </row>
    <row r="1702" spans="1:4" x14ac:dyDescent="0.25">
      <c r="A1702"/>
      <c r="B1702"/>
      <c r="C1702"/>
      <c r="D1702"/>
    </row>
    <row r="1703" spans="1:4" x14ac:dyDescent="0.25">
      <c r="A1703"/>
      <c r="B1703"/>
      <c r="C1703"/>
      <c r="D1703"/>
    </row>
    <row r="1704" spans="1:4" x14ac:dyDescent="0.25">
      <c r="A1704"/>
      <c r="B1704"/>
      <c r="C1704"/>
      <c r="D1704"/>
    </row>
    <row r="1705" spans="1:4" x14ac:dyDescent="0.25">
      <c r="A1705"/>
      <c r="B1705"/>
      <c r="C1705"/>
      <c r="D1705"/>
    </row>
    <row r="1706" spans="1:4" x14ac:dyDescent="0.25">
      <c r="A1706"/>
      <c r="B1706"/>
      <c r="C1706"/>
      <c r="D1706"/>
    </row>
    <row r="1707" spans="1:4" x14ac:dyDescent="0.25">
      <c r="A1707"/>
      <c r="B1707"/>
      <c r="C1707"/>
      <c r="D1707"/>
    </row>
    <row r="1708" spans="1:4" x14ac:dyDescent="0.25">
      <c r="A1708"/>
      <c r="B1708"/>
      <c r="C1708"/>
      <c r="D1708"/>
    </row>
    <row r="1709" spans="1:4" x14ac:dyDescent="0.25">
      <c r="A1709"/>
      <c r="B1709"/>
      <c r="C1709"/>
      <c r="D1709"/>
    </row>
    <row r="1710" spans="1:4" x14ac:dyDescent="0.25">
      <c r="A1710"/>
      <c r="B1710"/>
      <c r="C1710"/>
      <c r="D1710"/>
    </row>
    <row r="1711" spans="1:4" x14ac:dyDescent="0.25">
      <c r="A1711"/>
      <c r="B1711"/>
      <c r="C1711"/>
      <c r="D1711"/>
    </row>
    <row r="1712" spans="1:4" x14ac:dyDescent="0.25">
      <c r="A1712"/>
      <c r="B1712"/>
      <c r="C1712"/>
      <c r="D1712"/>
    </row>
    <row r="1713" spans="1:4" x14ac:dyDescent="0.25">
      <c r="A1713"/>
      <c r="B1713"/>
      <c r="C1713"/>
      <c r="D1713"/>
    </row>
    <row r="1714" spans="1:4" x14ac:dyDescent="0.25">
      <c r="A1714"/>
      <c r="B1714"/>
      <c r="C1714"/>
      <c r="D1714"/>
    </row>
    <row r="1715" spans="1:4" x14ac:dyDescent="0.25">
      <c r="A1715"/>
      <c r="B1715"/>
      <c r="C1715"/>
      <c r="D1715"/>
    </row>
    <row r="1716" spans="1:4" x14ac:dyDescent="0.25">
      <c r="A1716"/>
      <c r="B1716"/>
      <c r="C1716"/>
      <c r="D1716"/>
    </row>
    <row r="1717" spans="1:4" x14ac:dyDescent="0.25">
      <c r="A1717"/>
      <c r="B1717"/>
      <c r="C1717"/>
      <c r="D1717"/>
    </row>
    <row r="1718" spans="1:4" x14ac:dyDescent="0.25">
      <c r="A1718"/>
      <c r="B1718"/>
      <c r="C1718"/>
      <c r="D1718"/>
    </row>
    <row r="1719" spans="1:4" x14ac:dyDescent="0.25">
      <c r="A1719"/>
      <c r="B1719"/>
      <c r="C1719"/>
      <c r="D1719"/>
    </row>
    <row r="1720" spans="1:4" x14ac:dyDescent="0.25">
      <c r="A1720"/>
      <c r="B1720"/>
      <c r="C1720"/>
      <c r="D1720"/>
    </row>
    <row r="1721" spans="1:4" x14ac:dyDescent="0.25">
      <c r="A1721"/>
      <c r="B1721"/>
      <c r="C1721"/>
      <c r="D1721"/>
    </row>
    <row r="1722" spans="1:4" x14ac:dyDescent="0.25">
      <c r="A1722"/>
      <c r="B1722"/>
      <c r="C1722"/>
      <c r="D1722"/>
    </row>
    <row r="1723" spans="1:4" x14ac:dyDescent="0.25">
      <c r="A1723"/>
      <c r="B1723"/>
      <c r="C1723"/>
      <c r="D1723"/>
    </row>
    <row r="1724" spans="1:4" x14ac:dyDescent="0.25">
      <c r="A1724"/>
      <c r="B1724"/>
      <c r="C1724"/>
      <c r="D1724"/>
    </row>
    <row r="1725" spans="1:4" x14ac:dyDescent="0.25">
      <c r="A1725"/>
      <c r="B1725"/>
      <c r="C1725"/>
      <c r="D1725"/>
    </row>
    <row r="1726" spans="1:4" x14ac:dyDescent="0.25">
      <c r="A1726"/>
      <c r="B1726"/>
      <c r="C1726"/>
      <c r="D1726"/>
    </row>
    <row r="1727" spans="1:4" x14ac:dyDescent="0.25">
      <c r="A1727"/>
      <c r="B1727"/>
      <c r="C1727"/>
      <c r="D1727"/>
    </row>
    <row r="1728" spans="1:4" x14ac:dyDescent="0.25">
      <c r="A1728"/>
      <c r="B1728"/>
      <c r="C1728"/>
      <c r="D1728"/>
    </row>
    <row r="1729" spans="1:4" x14ac:dyDescent="0.25">
      <c r="A1729"/>
      <c r="B1729"/>
      <c r="C1729"/>
      <c r="D1729"/>
    </row>
    <row r="1730" spans="1:4" x14ac:dyDescent="0.25">
      <c r="A1730"/>
      <c r="B1730"/>
      <c r="C1730"/>
      <c r="D1730"/>
    </row>
    <row r="1731" spans="1:4" x14ac:dyDescent="0.25">
      <c r="A1731"/>
      <c r="B1731"/>
      <c r="C1731"/>
      <c r="D1731"/>
    </row>
    <row r="1732" spans="1:4" x14ac:dyDescent="0.25">
      <c r="A1732"/>
      <c r="B1732"/>
      <c r="C1732"/>
      <c r="D1732"/>
    </row>
    <row r="1733" spans="1:4" x14ac:dyDescent="0.25">
      <c r="A1733"/>
      <c r="B1733"/>
      <c r="C1733"/>
      <c r="D1733"/>
    </row>
    <row r="1734" spans="1:4" x14ac:dyDescent="0.25">
      <c r="A1734"/>
      <c r="B1734"/>
      <c r="C1734"/>
      <c r="D1734"/>
    </row>
    <row r="1735" spans="1:4" x14ac:dyDescent="0.25">
      <c r="A1735"/>
      <c r="B1735"/>
      <c r="C1735"/>
      <c r="D1735"/>
    </row>
    <row r="1736" spans="1:4" x14ac:dyDescent="0.25">
      <c r="A1736"/>
      <c r="B1736"/>
      <c r="C1736"/>
      <c r="D1736"/>
    </row>
    <row r="1737" spans="1:4" x14ac:dyDescent="0.25">
      <c r="A1737"/>
      <c r="B1737"/>
      <c r="C1737"/>
      <c r="D1737"/>
    </row>
    <row r="1738" spans="1:4" x14ac:dyDescent="0.25">
      <c r="A1738"/>
      <c r="B1738"/>
      <c r="C1738"/>
      <c r="D1738"/>
    </row>
    <row r="1739" spans="1:4" x14ac:dyDescent="0.25">
      <c r="A1739"/>
      <c r="B1739"/>
      <c r="C1739"/>
      <c r="D1739"/>
    </row>
    <row r="1740" spans="1:4" x14ac:dyDescent="0.25">
      <c r="A1740"/>
      <c r="B1740"/>
      <c r="C1740"/>
      <c r="D1740"/>
    </row>
    <row r="1741" spans="1:4" x14ac:dyDescent="0.25">
      <c r="A1741"/>
      <c r="B1741"/>
      <c r="C1741"/>
      <c r="D1741"/>
    </row>
    <row r="1742" spans="1:4" x14ac:dyDescent="0.25">
      <c r="A1742"/>
      <c r="B1742"/>
      <c r="C1742"/>
      <c r="D1742"/>
    </row>
    <row r="1743" spans="1:4" x14ac:dyDescent="0.25">
      <c r="A1743"/>
      <c r="B1743"/>
      <c r="C1743"/>
      <c r="D1743"/>
    </row>
    <row r="1744" spans="1:4" x14ac:dyDescent="0.25">
      <c r="A1744"/>
      <c r="B1744"/>
      <c r="C1744"/>
      <c r="D1744"/>
    </row>
    <row r="1745" spans="1:4" x14ac:dyDescent="0.25">
      <c r="A1745"/>
      <c r="B1745"/>
      <c r="C1745"/>
      <c r="D1745"/>
    </row>
    <row r="1746" spans="1:4" x14ac:dyDescent="0.25">
      <c r="A1746"/>
      <c r="B1746"/>
      <c r="C1746"/>
      <c r="D1746"/>
    </row>
    <row r="1747" spans="1:4" x14ac:dyDescent="0.25">
      <c r="A1747"/>
      <c r="B1747"/>
      <c r="C1747"/>
      <c r="D1747"/>
    </row>
    <row r="1748" spans="1:4" x14ac:dyDescent="0.25">
      <c r="A1748"/>
      <c r="B1748"/>
      <c r="C1748"/>
      <c r="D1748"/>
    </row>
    <row r="1749" spans="1:4" x14ac:dyDescent="0.25">
      <c r="A1749"/>
      <c r="B1749"/>
      <c r="C1749"/>
      <c r="D1749"/>
    </row>
    <row r="1750" spans="1:4" x14ac:dyDescent="0.25">
      <c r="A1750"/>
      <c r="B1750"/>
      <c r="C1750"/>
      <c r="D1750"/>
    </row>
    <row r="1751" spans="1:4" x14ac:dyDescent="0.25">
      <c r="A1751"/>
      <c r="B1751"/>
      <c r="C1751"/>
      <c r="D1751"/>
    </row>
    <row r="1752" spans="1:4" x14ac:dyDescent="0.25">
      <c r="A1752"/>
      <c r="B1752"/>
      <c r="C1752"/>
      <c r="D1752"/>
    </row>
    <row r="1753" spans="1:4" x14ac:dyDescent="0.25">
      <c r="A1753"/>
      <c r="B1753"/>
      <c r="C1753"/>
      <c r="D1753"/>
    </row>
    <row r="1754" spans="1:4" x14ac:dyDescent="0.25">
      <c r="A1754"/>
      <c r="B1754"/>
      <c r="C1754"/>
      <c r="D1754"/>
    </row>
    <row r="1755" spans="1:4" x14ac:dyDescent="0.25">
      <c r="A1755"/>
      <c r="B1755"/>
      <c r="C1755"/>
      <c r="D1755"/>
    </row>
    <row r="1756" spans="1:4" x14ac:dyDescent="0.25">
      <c r="A1756"/>
      <c r="B1756"/>
      <c r="C1756"/>
      <c r="D1756"/>
    </row>
    <row r="1757" spans="1:4" x14ac:dyDescent="0.25">
      <c r="A1757"/>
      <c r="B1757"/>
      <c r="C1757"/>
      <c r="D1757"/>
    </row>
    <row r="1758" spans="1:4" x14ac:dyDescent="0.25">
      <c r="A1758"/>
      <c r="B1758"/>
      <c r="C1758"/>
      <c r="D1758"/>
    </row>
    <row r="1759" spans="1:4" x14ac:dyDescent="0.25">
      <c r="A1759"/>
      <c r="B1759"/>
      <c r="C1759"/>
      <c r="D1759"/>
    </row>
    <row r="1760" spans="1:4" x14ac:dyDescent="0.25">
      <c r="A1760"/>
      <c r="B1760"/>
      <c r="C1760"/>
      <c r="D1760"/>
    </row>
    <row r="1761" spans="1:4" x14ac:dyDescent="0.25">
      <c r="A1761"/>
      <c r="B1761"/>
      <c r="C1761"/>
      <c r="D1761"/>
    </row>
    <row r="1762" spans="1:4" x14ac:dyDescent="0.25">
      <c r="A1762"/>
      <c r="B1762"/>
      <c r="C1762"/>
      <c r="D1762"/>
    </row>
    <row r="1763" spans="1:4" x14ac:dyDescent="0.25">
      <c r="A1763"/>
      <c r="B1763"/>
      <c r="C1763"/>
      <c r="D1763"/>
    </row>
    <row r="1764" spans="1:4" x14ac:dyDescent="0.25">
      <c r="A1764"/>
      <c r="B1764"/>
      <c r="C1764"/>
      <c r="D1764"/>
    </row>
    <row r="1765" spans="1:4" x14ac:dyDescent="0.25">
      <c r="A1765"/>
      <c r="B1765"/>
      <c r="C1765"/>
      <c r="D1765"/>
    </row>
    <row r="1766" spans="1:4" x14ac:dyDescent="0.25">
      <c r="A1766"/>
      <c r="B1766"/>
      <c r="C1766"/>
      <c r="D1766"/>
    </row>
    <row r="1767" spans="1:4" x14ac:dyDescent="0.25">
      <c r="A1767"/>
      <c r="B1767"/>
      <c r="C1767"/>
      <c r="D1767"/>
    </row>
    <row r="1768" spans="1:4" x14ac:dyDescent="0.25">
      <c r="A1768"/>
      <c r="B1768"/>
      <c r="C1768"/>
      <c r="D1768"/>
    </row>
    <row r="1769" spans="1:4" x14ac:dyDescent="0.25">
      <c r="A1769"/>
      <c r="B1769"/>
      <c r="C1769"/>
      <c r="D1769"/>
    </row>
    <row r="1770" spans="1:4" x14ac:dyDescent="0.25">
      <c r="A1770"/>
      <c r="B1770"/>
      <c r="C1770"/>
      <c r="D1770"/>
    </row>
    <row r="1771" spans="1:4" x14ac:dyDescent="0.25">
      <c r="A1771"/>
      <c r="B1771"/>
      <c r="C1771"/>
      <c r="D1771"/>
    </row>
    <row r="1772" spans="1:4" x14ac:dyDescent="0.25">
      <c r="A1772"/>
      <c r="B1772"/>
      <c r="C1772"/>
      <c r="D1772"/>
    </row>
    <row r="1773" spans="1:4" x14ac:dyDescent="0.25">
      <c r="A1773"/>
      <c r="B1773"/>
      <c r="C1773"/>
      <c r="D1773"/>
    </row>
    <row r="1774" spans="1:4" x14ac:dyDescent="0.25">
      <c r="A1774"/>
      <c r="B1774"/>
      <c r="C1774"/>
      <c r="D1774"/>
    </row>
    <row r="1775" spans="1:4" x14ac:dyDescent="0.25">
      <c r="A1775"/>
      <c r="B1775"/>
      <c r="C1775"/>
      <c r="D1775"/>
    </row>
    <row r="1776" spans="1:4" x14ac:dyDescent="0.25">
      <c r="A1776"/>
      <c r="B1776"/>
      <c r="C1776"/>
      <c r="D1776"/>
    </row>
    <row r="1777" spans="1:4" x14ac:dyDescent="0.25">
      <c r="A1777"/>
      <c r="B1777"/>
      <c r="C1777"/>
      <c r="D1777"/>
    </row>
    <row r="1778" spans="1:4" x14ac:dyDescent="0.25">
      <c r="A1778"/>
      <c r="B1778"/>
      <c r="C1778"/>
      <c r="D1778"/>
    </row>
    <row r="1779" spans="1:4" x14ac:dyDescent="0.25">
      <c r="A1779"/>
      <c r="B1779"/>
      <c r="C1779"/>
      <c r="D1779"/>
    </row>
    <row r="1780" spans="1:4" x14ac:dyDescent="0.25">
      <c r="A1780"/>
      <c r="B1780"/>
      <c r="C1780"/>
      <c r="D1780"/>
    </row>
    <row r="1781" spans="1:4" x14ac:dyDescent="0.25">
      <c r="A1781"/>
      <c r="B1781"/>
      <c r="C1781"/>
      <c r="D1781"/>
    </row>
    <row r="1782" spans="1:4" x14ac:dyDescent="0.25">
      <c r="A1782"/>
      <c r="B1782"/>
      <c r="C1782"/>
      <c r="D1782"/>
    </row>
    <row r="1783" spans="1:4" x14ac:dyDescent="0.25">
      <c r="A1783"/>
      <c r="B1783"/>
      <c r="C1783"/>
      <c r="D1783"/>
    </row>
    <row r="1784" spans="1:4" x14ac:dyDescent="0.25">
      <c r="A1784"/>
      <c r="B1784"/>
      <c r="C1784"/>
      <c r="D1784"/>
    </row>
    <row r="1785" spans="1:4" x14ac:dyDescent="0.25">
      <c r="A1785"/>
      <c r="B1785"/>
      <c r="C1785"/>
      <c r="D1785"/>
    </row>
    <row r="1786" spans="1:4" x14ac:dyDescent="0.25">
      <c r="A1786"/>
      <c r="B1786"/>
      <c r="C1786"/>
      <c r="D1786"/>
    </row>
    <row r="1787" spans="1:4" x14ac:dyDescent="0.25">
      <c r="A1787"/>
      <c r="B1787"/>
      <c r="C1787"/>
      <c r="D1787"/>
    </row>
    <row r="1788" spans="1:4" x14ac:dyDescent="0.25">
      <c r="A1788"/>
      <c r="B1788"/>
      <c r="C1788"/>
      <c r="D1788"/>
    </row>
    <row r="1789" spans="1:4" x14ac:dyDescent="0.25">
      <c r="A1789"/>
      <c r="B1789"/>
      <c r="C1789"/>
      <c r="D1789"/>
    </row>
    <row r="1790" spans="1:4" x14ac:dyDescent="0.25">
      <c r="A1790"/>
      <c r="B1790"/>
      <c r="C1790"/>
      <c r="D1790"/>
    </row>
    <row r="1791" spans="1:4" x14ac:dyDescent="0.25">
      <c r="A1791"/>
      <c r="B1791"/>
      <c r="C1791"/>
      <c r="D1791"/>
    </row>
    <row r="1792" spans="1:4" x14ac:dyDescent="0.25">
      <c r="A1792"/>
      <c r="B1792"/>
      <c r="C1792"/>
      <c r="D1792"/>
    </row>
    <row r="1793" spans="1:4" x14ac:dyDescent="0.25">
      <c r="A1793"/>
      <c r="B1793"/>
      <c r="C1793"/>
      <c r="D1793"/>
    </row>
    <row r="1794" spans="1:4" x14ac:dyDescent="0.25">
      <c r="A1794"/>
      <c r="B1794"/>
      <c r="C1794"/>
      <c r="D1794"/>
    </row>
    <row r="1795" spans="1:4" x14ac:dyDescent="0.25">
      <c r="A1795"/>
      <c r="B1795"/>
      <c r="C1795"/>
      <c r="D1795"/>
    </row>
    <row r="1796" spans="1:4" x14ac:dyDescent="0.25">
      <c r="A1796"/>
      <c r="B1796"/>
      <c r="C1796"/>
      <c r="D1796"/>
    </row>
    <row r="1797" spans="1:4" x14ac:dyDescent="0.25">
      <c r="A1797"/>
      <c r="B1797"/>
      <c r="C1797"/>
      <c r="D1797"/>
    </row>
    <row r="1798" spans="1:4" x14ac:dyDescent="0.25">
      <c r="A1798"/>
      <c r="B1798"/>
      <c r="C1798"/>
      <c r="D1798"/>
    </row>
    <row r="1799" spans="1:4" x14ac:dyDescent="0.25">
      <c r="A1799"/>
      <c r="B1799"/>
      <c r="C1799"/>
      <c r="D1799"/>
    </row>
    <row r="1800" spans="1:4" x14ac:dyDescent="0.25">
      <c r="A1800"/>
      <c r="B1800"/>
      <c r="C1800"/>
      <c r="D1800"/>
    </row>
    <row r="1801" spans="1:4" x14ac:dyDescent="0.25">
      <c r="A1801"/>
      <c r="B1801"/>
      <c r="C1801"/>
      <c r="D1801"/>
    </row>
    <row r="1802" spans="1:4" x14ac:dyDescent="0.25">
      <c r="A1802"/>
      <c r="B1802"/>
      <c r="C1802"/>
      <c r="D1802"/>
    </row>
    <row r="1803" spans="1:4" x14ac:dyDescent="0.25">
      <c r="A1803"/>
      <c r="B1803"/>
      <c r="C1803"/>
      <c r="D1803"/>
    </row>
    <row r="1804" spans="1:4" x14ac:dyDescent="0.25">
      <c r="A1804"/>
      <c r="B1804"/>
      <c r="C1804"/>
      <c r="D1804"/>
    </row>
    <row r="1805" spans="1:4" x14ac:dyDescent="0.25">
      <c r="A1805"/>
      <c r="B1805"/>
      <c r="C1805"/>
      <c r="D1805"/>
    </row>
    <row r="1806" spans="1:4" x14ac:dyDescent="0.25">
      <c r="A1806"/>
      <c r="B1806"/>
      <c r="C1806"/>
      <c r="D1806"/>
    </row>
    <row r="1807" spans="1:4" x14ac:dyDescent="0.25">
      <c r="A1807"/>
      <c r="B1807"/>
      <c r="C1807"/>
      <c r="D1807"/>
    </row>
    <row r="1808" spans="1:4" x14ac:dyDescent="0.25">
      <c r="A1808"/>
      <c r="B1808"/>
      <c r="C1808"/>
      <c r="D1808"/>
    </row>
    <row r="1809" spans="1:4" x14ac:dyDescent="0.25">
      <c r="A1809"/>
      <c r="B1809"/>
      <c r="C1809"/>
      <c r="D1809"/>
    </row>
    <row r="1810" spans="1:4" x14ac:dyDescent="0.25">
      <c r="A1810"/>
      <c r="B1810"/>
      <c r="C1810"/>
      <c r="D1810"/>
    </row>
    <row r="1811" spans="1:4" x14ac:dyDescent="0.25">
      <c r="A1811"/>
      <c r="B1811"/>
      <c r="C1811"/>
      <c r="D1811"/>
    </row>
    <row r="1812" spans="1:4" x14ac:dyDescent="0.25">
      <c r="A1812"/>
      <c r="B1812"/>
      <c r="C1812"/>
      <c r="D1812"/>
    </row>
    <row r="1813" spans="1:4" x14ac:dyDescent="0.25">
      <c r="A1813"/>
      <c r="B1813"/>
      <c r="C1813"/>
      <c r="D1813"/>
    </row>
    <row r="1814" spans="1:4" x14ac:dyDescent="0.25">
      <c r="A1814"/>
      <c r="B1814"/>
      <c r="C1814"/>
      <c r="D1814"/>
    </row>
    <row r="1815" spans="1:4" x14ac:dyDescent="0.25">
      <c r="A1815"/>
      <c r="B1815"/>
      <c r="C1815"/>
      <c r="D1815"/>
    </row>
    <row r="1816" spans="1:4" x14ac:dyDescent="0.25">
      <c r="A1816"/>
      <c r="B1816"/>
      <c r="C1816"/>
      <c r="D1816"/>
    </row>
    <row r="1817" spans="1:4" x14ac:dyDescent="0.25">
      <c r="A1817"/>
      <c r="B1817"/>
      <c r="C1817"/>
      <c r="D1817"/>
    </row>
    <row r="1818" spans="1:4" x14ac:dyDescent="0.25">
      <c r="A1818"/>
      <c r="B1818"/>
      <c r="C1818"/>
      <c r="D1818"/>
    </row>
    <row r="1819" spans="1:4" x14ac:dyDescent="0.25">
      <c r="A1819"/>
      <c r="B1819"/>
      <c r="C1819"/>
      <c r="D1819"/>
    </row>
    <row r="1820" spans="1:4" x14ac:dyDescent="0.25">
      <c r="A1820"/>
      <c r="B1820"/>
      <c r="C1820"/>
      <c r="D1820"/>
    </row>
    <row r="1821" spans="1:4" x14ac:dyDescent="0.25">
      <c r="A1821"/>
      <c r="B1821"/>
      <c r="C1821"/>
      <c r="D1821"/>
    </row>
    <row r="1822" spans="1:4" x14ac:dyDescent="0.25">
      <c r="A1822"/>
      <c r="B1822"/>
      <c r="C1822"/>
      <c r="D1822"/>
    </row>
    <row r="1823" spans="1:4" x14ac:dyDescent="0.25">
      <c r="A1823"/>
      <c r="B1823"/>
      <c r="C1823"/>
      <c r="D1823"/>
    </row>
    <row r="1824" spans="1:4" x14ac:dyDescent="0.25">
      <c r="A1824"/>
      <c r="B1824"/>
      <c r="C1824"/>
      <c r="D1824"/>
    </row>
    <row r="1825" spans="1:4" x14ac:dyDescent="0.25">
      <c r="A1825"/>
      <c r="B1825"/>
      <c r="C1825"/>
      <c r="D1825"/>
    </row>
    <row r="1826" spans="1:4" x14ac:dyDescent="0.25">
      <c r="A1826"/>
      <c r="B1826"/>
      <c r="C1826"/>
      <c r="D1826"/>
    </row>
    <row r="1827" spans="1:4" x14ac:dyDescent="0.25">
      <c r="A1827"/>
      <c r="B1827"/>
      <c r="C1827"/>
      <c r="D1827"/>
    </row>
    <row r="1828" spans="1:4" x14ac:dyDescent="0.25">
      <c r="A1828"/>
      <c r="B1828"/>
      <c r="C1828"/>
      <c r="D1828"/>
    </row>
    <row r="1829" spans="1:4" x14ac:dyDescent="0.25">
      <c r="A1829"/>
      <c r="B1829"/>
      <c r="C1829"/>
      <c r="D1829"/>
    </row>
    <row r="1830" spans="1:4" x14ac:dyDescent="0.25">
      <c r="A1830"/>
      <c r="B1830"/>
      <c r="C1830"/>
      <c r="D1830"/>
    </row>
    <row r="1831" spans="1:4" x14ac:dyDescent="0.25">
      <c r="A1831"/>
      <c r="B1831"/>
      <c r="C1831"/>
      <c r="D1831"/>
    </row>
    <row r="1832" spans="1:4" x14ac:dyDescent="0.25">
      <c r="A1832"/>
      <c r="B1832"/>
      <c r="C1832"/>
      <c r="D1832"/>
    </row>
    <row r="1833" spans="1:4" x14ac:dyDescent="0.25">
      <c r="A1833"/>
      <c r="B1833"/>
      <c r="C1833"/>
      <c r="D1833"/>
    </row>
    <row r="1834" spans="1:4" x14ac:dyDescent="0.25">
      <c r="A1834"/>
      <c r="B1834"/>
      <c r="C1834"/>
      <c r="D1834"/>
    </row>
    <row r="1835" spans="1:4" x14ac:dyDescent="0.25">
      <c r="A1835"/>
      <c r="B1835"/>
      <c r="C1835"/>
      <c r="D1835"/>
    </row>
    <row r="1836" spans="1:4" x14ac:dyDescent="0.25">
      <c r="A1836"/>
      <c r="B1836"/>
      <c r="C1836"/>
      <c r="D1836"/>
    </row>
    <row r="1837" spans="1:4" x14ac:dyDescent="0.25">
      <c r="A1837"/>
      <c r="B1837"/>
      <c r="C1837"/>
      <c r="D1837"/>
    </row>
    <row r="1838" spans="1:4" x14ac:dyDescent="0.25">
      <c r="A1838"/>
      <c r="B1838"/>
      <c r="C1838"/>
      <c r="D1838"/>
    </row>
    <row r="1839" spans="1:4" x14ac:dyDescent="0.25">
      <c r="A1839"/>
      <c r="B1839"/>
      <c r="C1839"/>
      <c r="D1839"/>
    </row>
    <row r="1840" spans="1:4" x14ac:dyDescent="0.25">
      <c r="A1840"/>
      <c r="B1840"/>
      <c r="C1840"/>
      <c r="D1840"/>
    </row>
    <row r="1841" spans="1:4" x14ac:dyDescent="0.25">
      <c r="A1841"/>
      <c r="B1841"/>
      <c r="C1841"/>
      <c r="D1841"/>
    </row>
    <row r="1842" spans="1:4" x14ac:dyDescent="0.25">
      <c r="A1842"/>
      <c r="B1842"/>
      <c r="C1842"/>
      <c r="D1842"/>
    </row>
    <row r="1843" spans="1:4" x14ac:dyDescent="0.25">
      <c r="A1843"/>
      <c r="B1843"/>
      <c r="C1843"/>
      <c r="D1843"/>
    </row>
    <row r="1844" spans="1:4" x14ac:dyDescent="0.25">
      <c r="A1844"/>
      <c r="B1844"/>
      <c r="C1844"/>
      <c r="D1844"/>
    </row>
    <row r="1845" spans="1:4" x14ac:dyDescent="0.25">
      <c r="A1845"/>
      <c r="B1845"/>
      <c r="C1845"/>
      <c r="D1845"/>
    </row>
    <row r="1846" spans="1:4" x14ac:dyDescent="0.25">
      <c r="A1846"/>
      <c r="B1846"/>
      <c r="C1846"/>
      <c r="D1846"/>
    </row>
    <row r="1847" spans="1:4" x14ac:dyDescent="0.25">
      <c r="A1847"/>
      <c r="B1847"/>
      <c r="C1847"/>
      <c r="D1847"/>
    </row>
    <row r="1848" spans="1:4" x14ac:dyDescent="0.25">
      <c r="A1848"/>
      <c r="B1848"/>
      <c r="C1848"/>
      <c r="D1848"/>
    </row>
    <row r="1849" spans="1:4" x14ac:dyDescent="0.25">
      <c r="A1849"/>
      <c r="B1849"/>
      <c r="C1849"/>
      <c r="D1849"/>
    </row>
    <row r="1850" spans="1:4" x14ac:dyDescent="0.25">
      <c r="A1850"/>
      <c r="B1850"/>
      <c r="C1850"/>
      <c r="D1850"/>
    </row>
    <row r="1851" spans="1:4" x14ac:dyDescent="0.25">
      <c r="A1851"/>
      <c r="B1851"/>
      <c r="C1851"/>
      <c r="D1851"/>
    </row>
    <row r="1852" spans="1:4" x14ac:dyDescent="0.25">
      <c r="A1852"/>
      <c r="B1852"/>
      <c r="C1852"/>
      <c r="D1852"/>
    </row>
    <row r="1853" spans="1:4" x14ac:dyDescent="0.25">
      <c r="A1853"/>
      <c r="B1853"/>
      <c r="C1853"/>
      <c r="D1853"/>
    </row>
    <row r="1854" spans="1:4" x14ac:dyDescent="0.25">
      <c r="A1854"/>
      <c r="B1854"/>
      <c r="C1854"/>
      <c r="D1854"/>
    </row>
    <row r="1855" spans="1:4" x14ac:dyDescent="0.25">
      <c r="A1855"/>
      <c r="B1855"/>
      <c r="C1855"/>
      <c r="D1855"/>
    </row>
    <row r="1856" spans="1:4" x14ac:dyDescent="0.25">
      <c r="A1856"/>
      <c r="B1856"/>
      <c r="C1856"/>
      <c r="D1856"/>
    </row>
    <row r="1857" spans="1:4" x14ac:dyDescent="0.25">
      <c r="A1857"/>
      <c r="B1857"/>
      <c r="C1857"/>
      <c r="D1857"/>
    </row>
    <row r="1858" spans="1:4" x14ac:dyDescent="0.25">
      <c r="A1858"/>
      <c r="B1858"/>
      <c r="C1858"/>
      <c r="D1858"/>
    </row>
    <row r="1859" spans="1:4" x14ac:dyDescent="0.25">
      <c r="A1859"/>
      <c r="B1859"/>
      <c r="C1859"/>
      <c r="D1859"/>
    </row>
    <row r="1860" spans="1:4" x14ac:dyDescent="0.25">
      <c r="A1860"/>
      <c r="B1860"/>
      <c r="C1860"/>
      <c r="D1860"/>
    </row>
    <row r="1861" spans="1:4" x14ac:dyDescent="0.25">
      <c r="A1861"/>
      <c r="B1861"/>
      <c r="C1861"/>
      <c r="D1861"/>
    </row>
    <row r="1862" spans="1:4" x14ac:dyDescent="0.25">
      <c r="A1862"/>
      <c r="B1862"/>
      <c r="C1862"/>
      <c r="D1862"/>
    </row>
    <row r="1863" spans="1:4" x14ac:dyDescent="0.25">
      <c r="A1863"/>
      <c r="B1863"/>
      <c r="C1863"/>
      <c r="D1863"/>
    </row>
    <row r="1864" spans="1:4" x14ac:dyDescent="0.25">
      <c r="A1864"/>
      <c r="B1864"/>
      <c r="C1864"/>
      <c r="D1864"/>
    </row>
    <row r="1865" spans="1:4" x14ac:dyDescent="0.25">
      <c r="A1865"/>
      <c r="B1865"/>
      <c r="C1865"/>
      <c r="D1865"/>
    </row>
    <row r="1866" spans="1:4" x14ac:dyDescent="0.25">
      <c r="A1866"/>
      <c r="B1866"/>
      <c r="C1866"/>
      <c r="D1866"/>
    </row>
    <row r="1867" spans="1:4" x14ac:dyDescent="0.25">
      <c r="A1867"/>
      <c r="B1867"/>
      <c r="C1867"/>
      <c r="D1867"/>
    </row>
    <row r="1868" spans="1:4" x14ac:dyDescent="0.25">
      <c r="A1868"/>
      <c r="B1868"/>
      <c r="C1868"/>
      <c r="D1868"/>
    </row>
    <row r="1869" spans="1:4" x14ac:dyDescent="0.25">
      <c r="A1869"/>
      <c r="B1869"/>
      <c r="C1869"/>
      <c r="D1869"/>
    </row>
    <row r="1870" spans="1:4" x14ac:dyDescent="0.25">
      <c r="A1870"/>
      <c r="B1870"/>
      <c r="C1870"/>
      <c r="D1870"/>
    </row>
    <row r="1871" spans="1:4" x14ac:dyDescent="0.25">
      <c r="A1871"/>
      <c r="B1871"/>
      <c r="C1871"/>
      <c r="D1871"/>
    </row>
    <row r="1872" spans="1:4" x14ac:dyDescent="0.25">
      <c r="A1872"/>
      <c r="B1872"/>
      <c r="C1872"/>
      <c r="D1872"/>
    </row>
    <row r="1873" spans="1:4" x14ac:dyDescent="0.25">
      <c r="A1873"/>
      <c r="B1873"/>
      <c r="C1873"/>
      <c r="D1873"/>
    </row>
    <row r="1874" spans="1:4" x14ac:dyDescent="0.25">
      <c r="A1874"/>
      <c r="B1874"/>
      <c r="C1874"/>
      <c r="D1874"/>
    </row>
    <row r="1875" spans="1:4" x14ac:dyDescent="0.25">
      <c r="A1875"/>
      <c r="B1875"/>
      <c r="C1875"/>
      <c r="D1875"/>
    </row>
    <row r="1876" spans="1:4" x14ac:dyDescent="0.25">
      <c r="A1876"/>
      <c r="B1876"/>
      <c r="C1876"/>
      <c r="D1876"/>
    </row>
    <row r="1877" spans="1:4" x14ac:dyDescent="0.25">
      <c r="A1877"/>
      <c r="B1877"/>
      <c r="C1877"/>
      <c r="D1877"/>
    </row>
    <row r="1878" spans="1:4" x14ac:dyDescent="0.25">
      <c r="A1878"/>
      <c r="B1878"/>
      <c r="C1878"/>
      <c r="D1878"/>
    </row>
    <row r="1879" spans="1:4" x14ac:dyDescent="0.25">
      <c r="A1879"/>
      <c r="B1879"/>
      <c r="C1879"/>
      <c r="D1879"/>
    </row>
    <row r="1880" spans="1:4" x14ac:dyDescent="0.25">
      <c r="A1880"/>
      <c r="B1880"/>
      <c r="C1880"/>
      <c r="D1880"/>
    </row>
    <row r="1881" spans="1:4" x14ac:dyDescent="0.25">
      <c r="A1881"/>
      <c r="B1881"/>
      <c r="C1881"/>
      <c r="D1881"/>
    </row>
    <row r="1882" spans="1:4" x14ac:dyDescent="0.25">
      <c r="A1882"/>
      <c r="B1882"/>
      <c r="C1882"/>
      <c r="D1882"/>
    </row>
    <row r="1883" spans="1:4" x14ac:dyDescent="0.25">
      <c r="A1883"/>
      <c r="B1883"/>
      <c r="C1883"/>
      <c r="D1883"/>
    </row>
    <row r="1884" spans="1:4" x14ac:dyDescent="0.25">
      <c r="A1884"/>
      <c r="B1884"/>
      <c r="C1884"/>
      <c r="D1884"/>
    </row>
    <row r="1885" spans="1:4" x14ac:dyDescent="0.25">
      <c r="A1885"/>
      <c r="B1885"/>
      <c r="C1885"/>
      <c r="D1885"/>
    </row>
    <row r="1886" spans="1:4" x14ac:dyDescent="0.25">
      <c r="A1886"/>
      <c r="B1886"/>
      <c r="C1886"/>
      <c r="D1886"/>
    </row>
    <row r="1887" spans="1:4" x14ac:dyDescent="0.25">
      <c r="A1887"/>
      <c r="B1887"/>
      <c r="C1887"/>
      <c r="D1887"/>
    </row>
    <row r="1888" spans="1:4" x14ac:dyDescent="0.25">
      <c r="A1888"/>
      <c r="B1888"/>
      <c r="C1888"/>
      <c r="D1888"/>
    </row>
    <row r="1889" spans="1:4" x14ac:dyDescent="0.25">
      <c r="A1889"/>
      <c r="B1889"/>
      <c r="C1889"/>
      <c r="D1889"/>
    </row>
    <row r="1890" spans="1:4" x14ac:dyDescent="0.25">
      <c r="A1890"/>
      <c r="B1890"/>
      <c r="C1890"/>
      <c r="D1890"/>
    </row>
    <row r="1891" spans="1:4" x14ac:dyDescent="0.25">
      <c r="A1891"/>
      <c r="B1891"/>
      <c r="C1891"/>
      <c r="D1891"/>
    </row>
    <row r="1892" spans="1:4" x14ac:dyDescent="0.25">
      <c r="A1892"/>
      <c r="B1892"/>
      <c r="C1892"/>
      <c r="D1892"/>
    </row>
    <row r="1893" spans="1:4" x14ac:dyDescent="0.25">
      <c r="A1893"/>
      <c r="B1893"/>
      <c r="C1893"/>
      <c r="D1893"/>
    </row>
    <row r="1894" spans="1:4" x14ac:dyDescent="0.25">
      <c r="A1894"/>
      <c r="B1894"/>
      <c r="C1894"/>
      <c r="D1894"/>
    </row>
    <row r="1895" spans="1:4" x14ac:dyDescent="0.25">
      <c r="A1895"/>
      <c r="B1895"/>
      <c r="C1895"/>
      <c r="D1895"/>
    </row>
    <row r="1896" spans="1:4" x14ac:dyDescent="0.25">
      <c r="A1896"/>
      <c r="B1896"/>
      <c r="C1896"/>
      <c r="D1896"/>
    </row>
    <row r="1897" spans="1:4" x14ac:dyDescent="0.25">
      <c r="A1897"/>
      <c r="B1897"/>
      <c r="C1897"/>
      <c r="D1897"/>
    </row>
    <row r="1898" spans="1:4" x14ac:dyDescent="0.25">
      <c r="A1898"/>
      <c r="B1898"/>
      <c r="C1898"/>
      <c r="D1898"/>
    </row>
    <row r="1899" spans="1:4" x14ac:dyDescent="0.25">
      <c r="A1899"/>
      <c r="B1899"/>
      <c r="C1899"/>
      <c r="D1899"/>
    </row>
    <row r="1900" spans="1:4" x14ac:dyDescent="0.25">
      <c r="A1900"/>
      <c r="B1900"/>
      <c r="C1900"/>
      <c r="D1900"/>
    </row>
    <row r="1901" spans="1:4" x14ac:dyDescent="0.25">
      <c r="A1901"/>
      <c r="B1901"/>
      <c r="C1901"/>
      <c r="D1901"/>
    </row>
    <row r="1902" spans="1:4" x14ac:dyDescent="0.25">
      <c r="A1902"/>
      <c r="B1902"/>
      <c r="C1902"/>
      <c r="D1902"/>
    </row>
    <row r="1903" spans="1:4" x14ac:dyDescent="0.25">
      <c r="A1903"/>
      <c r="B1903"/>
      <c r="C1903"/>
      <c r="D1903"/>
    </row>
    <row r="1904" spans="1:4" x14ac:dyDescent="0.25">
      <c r="A1904"/>
      <c r="B1904"/>
      <c r="C1904"/>
      <c r="D1904"/>
    </row>
    <row r="1905" spans="1:4" x14ac:dyDescent="0.25">
      <c r="A1905"/>
      <c r="B1905"/>
      <c r="C1905"/>
      <c r="D1905"/>
    </row>
    <row r="1906" spans="1:4" x14ac:dyDescent="0.25">
      <c r="A1906"/>
      <c r="B1906"/>
      <c r="C1906"/>
      <c r="D1906"/>
    </row>
    <row r="1907" spans="1:4" x14ac:dyDescent="0.25">
      <c r="A1907"/>
      <c r="B1907"/>
      <c r="C1907"/>
      <c r="D1907"/>
    </row>
    <row r="1908" spans="1:4" x14ac:dyDescent="0.25">
      <c r="A1908"/>
      <c r="B1908"/>
      <c r="C1908"/>
      <c r="D1908"/>
    </row>
    <row r="1909" spans="1:4" x14ac:dyDescent="0.25">
      <c r="A1909"/>
      <c r="B1909"/>
      <c r="C1909"/>
      <c r="D1909"/>
    </row>
    <row r="1910" spans="1:4" x14ac:dyDescent="0.25">
      <c r="A1910"/>
      <c r="B1910"/>
      <c r="C1910"/>
      <c r="D1910"/>
    </row>
    <row r="1911" spans="1:4" x14ac:dyDescent="0.25">
      <c r="A1911"/>
      <c r="B1911"/>
      <c r="C1911"/>
      <c r="D1911"/>
    </row>
    <row r="1912" spans="1:4" x14ac:dyDescent="0.25">
      <c r="A1912"/>
      <c r="B1912"/>
      <c r="C1912"/>
      <c r="D1912"/>
    </row>
    <row r="1913" spans="1:4" x14ac:dyDescent="0.25">
      <c r="A1913"/>
      <c r="B1913"/>
      <c r="C1913"/>
      <c r="D1913"/>
    </row>
    <row r="1914" spans="1:4" x14ac:dyDescent="0.25">
      <c r="A1914"/>
      <c r="B1914"/>
      <c r="C1914"/>
      <c r="D1914"/>
    </row>
    <row r="1915" spans="1:4" x14ac:dyDescent="0.25">
      <c r="A1915"/>
      <c r="B1915"/>
      <c r="C1915"/>
      <c r="D1915"/>
    </row>
    <row r="1916" spans="1:4" x14ac:dyDescent="0.25">
      <c r="A1916"/>
      <c r="B1916"/>
      <c r="C1916"/>
      <c r="D1916"/>
    </row>
    <row r="1917" spans="1:4" x14ac:dyDescent="0.25">
      <c r="A1917"/>
      <c r="B1917"/>
      <c r="C1917"/>
      <c r="D1917"/>
    </row>
    <row r="1918" spans="1:4" x14ac:dyDescent="0.25">
      <c r="A1918"/>
      <c r="B1918"/>
      <c r="C1918"/>
      <c r="D1918"/>
    </row>
    <row r="1919" spans="1:4" x14ac:dyDescent="0.25">
      <c r="A1919"/>
      <c r="B1919"/>
      <c r="C1919"/>
      <c r="D1919"/>
    </row>
    <row r="1920" spans="1:4" x14ac:dyDescent="0.25">
      <c r="A1920"/>
      <c r="B1920"/>
      <c r="C1920"/>
      <c r="D1920"/>
    </row>
    <row r="1921" spans="1:4" x14ac:dyDescent="0.25">
      <c r="A1921"/>
      <c r="B1921"/>
      <c r="C1921"/>
      <c r="D1921"/>
    </row>
    <row r="1922" spans="1:4" x14ac:dyDescent="0.25">
      <c r="A1922"/>
      <c r="B1922"/>
      <c r="C1922"/>
      <c r="D1922"/>
    </row>
    <row r="1923" spans="1:4" x14ac:dyDescent="0.25">
      <c r="A1923"/>
      <c r="B1923"/>
      <c r="C1923"/>
      <c r="D1923"/>
    </row>
    <row r="1924" spans="1:4" x14ac:dyDescent="0.25">
      <c r="A1924"/>
      <c r="B1924"/>
      <c r="C1924"/>
      <c r="D1924"/>
    </row>
    <row r="1925" spans="1:4" x14ac:dyDescent="0.25">
      <c r="A1925"/>
      <c r="B1925"/>
      <c r="C1925"/>
      <c r="D1925"/>
    </row>
    <row r="1926" spans="1:4" x14ac:dyDescent="0.25">
      <c r="A1926"/>
      <c r="B1926"/>
      <c r="C1926"/>
      <c r="D1926"/>
    </row>
    <row r="1927" spans="1:4" x14ac:dyDescent="0.25">
      <c r="A1927"/>
      <c r="B1927"/>
      <c r="C1927"/>
      <c r="D1927"/>
    </row>
    <row r="1928" spans="1:4" x14ac:dyDescent="0.25">
      <c r="A1928"/>
      <c r="B1928"/>
      <c r="C1928"/>
      <c r="D1928"/>
    </row>
    <row r="1929" spans="1:4" x14ac:dyDescent="0.25">
      <c r="A1929"/>
      <c r="B1929"/>
      <c r="C1929"/>
      <c r="D1929"/>
    </row>
    <row r="1930" spans="1:4" x14ac:dyDescent="0.25">
      <c r="A1930"/>
      <c r="B1930"/>
      <c r="C1930"/>
      <c r="D1930"/>
    </row>
    <row r="1931" spans="1:4" x14ac:dyDescent="0.25">
      <c r="A1931"/>
      <c r="B1931"/>
      <c r="C1931"/>
      <c r="D1931"/>
    </row>
    <row r="1932" spans="1:4" x14ac:dyDescent="0.25">
      <c r="A1932"/>
      <c r="B1932"/>
      <c r="C1932"/>
      <c r="D1932"/>
    </row>
    <row r="1933" spans="1:4" x14ac:dyDescent="0.25">
      <c r="A1933"/>
      <c r="B1933"/>
      <c r="C1933"/>
      <c r="D1933"/>
    </row>
    <row r="1934" spans="1:4" x14ac:dyDescent="0.25">
      <c r="A1934"/>
      <c r="B1934"/>
      <c r="C1934"/>
      <c r="D1934"/>
    </row>
    <row r="1935" spans="1:4" x14ac:dyDescent="0.25">
      <c r="A1935"/>
      <c r="B1935"/>
      <c r="C1935"/>
      <c r="D1935"/>
    </row>
    <row r="1936" spans="1:4" x14ac:dyDescent="0.25">
      <c r="A1936"/>
      <c r="B1936"/>
      <c r="C1936"/>
      <c r="D1936"/>
    </row>
    <row r="1937" spans="1:4" x14ac:dyDescent="0.25">
      <c r="A1937"/>
      <c r="B1937"/>
      <c r="C1937"/>
      <c r="D1937"/>
    </row>
    <row r="1938" spans="1:4" x14ac:dyDescent="0.25">
      <c r="A1938"/>
      <c r="B1938"/>
      <c r="C1938"/>
      <c r="D1938"/>
    </row>
    <row r="1939" spans="1:4" x14ac:dyDescent="0.25">
      <c r="A1939"/>
      <c r="B1939"/>
      <c r="C1939"/>
      <c r="D1939"/>
    </row>
    <row r="1940" spans="1:4" x14ac:dyDescent="0.25">
      <c r="A1940"/>
      <c r="B1940"/>
      <c r="C1940"/>
      <c r="D1940"/>
    </row>
    <row r="1941" spans="1:4" x14ac:dyDescent="0.25">
      <c r="A1941"/>
      <c r="B1941"/>
      <c r="C1941"/>
      <c r="D1941"/>
    </row>
    <row r="1942" spans="1:4" x14ac:dyDescent="0.25">
      <c r="A1942"/>
      <c r="B1942"/>
      <c r="C1942"/>
      <c r="D1942"/>
    </row>
    <row r="1943" spans="1:4" x14ac:dyDescent="0.25">
      <c r="A1943"/>
      <c r="B1943"/>
      <c r="C1943"/>
      <c r="D1943"/>
    </row>
    <row r="1944" spans="1:4" x14ac:dyDescent="0.25">
      <c r="A1944"/>
      <c r="B1944"/>
      <c r="C1944"/>
      <c r="D1944"/>
    </row>
    <row r="1945" spans="1:4" x14ac:dyDescent="0.25">
      <c r="A1945"/>
      <c r="B1945"/>
      <c r="C1945"/>
      <c r="D1945"/>
    </row>
    <row r="1946" spans="1:4" x14ac:dyDescent="0.25">
      <c r="A1946"/>
      <c r="B1946"/>
      <c r="C1946"/>
      <c r="D1946"/>
    </row>
    <row r="1947" spans="1:4" x14ac:dyDescent="0.25">
      <c r="A1947"/>
      <c r="B1947"/>
      <c r="C1947"/>
      <c r="D1947"/>
    </row>
    <row r="1948" spans="1:4" x14ac:dyDescent="0.25">
      <c r="A1948"/>
      <c r="B1948"/>
      <c r="C1948"/>
      <c r="D1948"/>
    </row>
    <row r="1949" spans="1:4" x14ac:dyDescent="0.25">
      <c r="A1949"/>
      <c r="B1949"/>
      <c r="C1949"/>
      <c r="D1949"/>
    </row>
    <row r="1950" spans="1:4" x14ac:dyDescent="0.25">
      <c r="A1950"/>
      <c r="B1950"/>
      <c r="C1950"/>
      <c r="D1950"/>
    </row>
    <row r="1951" spans="1:4" x14ac:dyDescent="0.25">
      <c r="A1951"/>
      <c r="B1951"/>
      <c r="C1951"/>
      <c r="D1951"/>
    </row>
    <row r="1952" spans="1:4" x14ac:dyDescent="0.25">
      <c r="A1952"/>
      <c r="B1952"/>
      <c r="C1952"/>
      <c r="D1952"/>
    </row>
    <row r="1953" spans="1:4" x14ac:dyDescent="0.25">
      <c r="A1953"/>
      <c r="B1953"/>
      <c r="C1953"/>
      <c r="D1953"/>
    </row>
    <row r="1954" spans="1:4" x14ac:dyDescent="0.25">
      <c r="A1954"/>
      <c r="B1954"/>
      <c r="C1954"/>
      <c r="D1954"/>
    </row>
    <row r="1955" spans="1:4" x14ac:dyDescent="0.25">
      <c r="A1955"/>
      <c r="B1955"/>
      <c r="C1955"/>
      <c r="D1955"/>
    </row>
    <row r="1956" spans="1:4" x14ac:dyDescent="0.25">
      <c r="A1956"/>
      <c r="B1956"/>
      <c r="C1956"/>
      <c r="D1956"/>
    </row>
    <row r="1957" spans="1:4" x14ac:dyDescent="0.25">
      <c r="A1957"/>
      <c r="B1957"/>
      <c r="C1957"/>
      <c r="D1957"/>
    </row>
    <row r="1958" spans="1:4" x14ac:dyDescent="0.25">
      <c r="A1958"/>
      <c r="B1958"/>
      <c r="C1958"/>
      <c r="D1958"/>
    </row>
    <row r="1959" spans="1:4" x14ac:dyDescent="0.25">
      <c r="A1959"/>
      <c r="B1959"/>
      <c r="C1959"/>
      <c r="D1959"/>
    </row>
    <row r="1960" spans="1:4" x14ac:dyDescent="0.25">
      <c r="A1960"/>
      <c r="B1960"/>
      <c r="C1960"/>
      <c r="D1960"/>
    </row>
    <row r="1961" spans="1:4" x14ac:dyDescent="0.25">
      <c r="A1961"/>
      <c r="B1961"/>
      <c r="C1961"/>
      <c r="D1961"/>
    </row>
    <row r="1962" spans="1:4" x14ac:dyDescent="0.25">
      <c r="A1962"/>
      <c r="B1962"/>
      <c r="C1962"/>
      <c r="D1962"/>
    </row>
    <row r="1963" spans="1:4" x14ac:dyDescent="0.25">
      <c r="A1963"/>
      <c r="B1963"/>
      <c r="C1963"/>
      <c r="D1963"/>
    </row>
    <row r="1964" spans="1:4" x14ac:dyDescent="0.25">
      <c r="A1964"/>
      <c r="B1964"/>
      <c r="C1964"/>
      <c r="D1964"/>
    </row>
    <row r="1965" spans="1:4" x14ac:dyDescent="0.25">
      <c r="A1965"/>
      <c r="B1965"/>
      <c r="C1965"/>
      <c r="D1965"/>
    </row>
    <row r="1966" spans="1:4" x14ac:dyDescent="0.25">
      <c r="A1966"/>
      <c r="B1966"/>
      <c r="C1966"/>
      <c r="D1966"/>
    </row>
    <row r="1967" spans="1:4" x14ac:dyDescent="0.25">
      <c r="A1967"/>
      <c r="B1967"/>
      <c r="C1967"/>
      <c r="D1967"/>
    </row>
    <row r="1968" spans="1:4" x14ac:dyDescent="0.25">
      <c r="A1968"/>
      <c r="B1968"/>
      <c r="C1968"/>
      <c r="D1968"/>
    </row>
    <row r="1969" spans="1:4" x14ac:dyDescent="0.25">
      <c r="A1969"/>
      <c r="B1969"/>
      <c r="C1969"/>
      <c r="D1969"/>
    </row>
    <row r="1970" spans="1:4" x14ac:dyDescent="0.25">
      <c r="A1970"/>
      <c r="B1970"/>
      <c r="C1970"/>
      <c r="D1970"/>
    </row>
    <row r="1971" spans="1:4" x14ac:dyDescent="0.25">
      <c r="A1971"/>
      <c r="B1971"/>
      <c r="C1971"/>
      <c r="D1971"/>
    </row>
    <row r="1972" spans="1:4" x14ac:dyDescent="0.25">
      <c r="A1972"/>
      <c r="B1972"/>
      <c r="C1972"/>
      <c r="D1972"/>
    </row>
    <row r="1973" spans="1:4" x14ac:dyDescent="0.25">
      <c r="A1973"/>
      <c r="B1973"/>
      <c r="C1973"/>
      <c r="D1973"/>
    </row>
    <row r="1974" spans="1:4" x14ac:dyDescent="0.25">
      <c r="A1974"/>
      <c r="B1974"/>
      <c r="C1974"/>
      <c r="D1974"/>
    </row>
    <row r="1975" spans="1:4" x14ac:dyDescent="0.25">
      <c r="A1975"/>
      <c r="B1975"/>
      <c r="C1975"/>
      <c r="D1975"/>
    </row>
    <row r="1976" spans="1:4" x14ac:dyDescent="0.25">
      <c r="A1976"/>
      <c r="B1976"/>
      <c r="C1976"/>
      <c r="D1976"/>
    </row>
    <row r="1977" spans="1:4" x14ac:dyDescent="0.25">
      <c r="A1977"/>
      <c r="B1977"/>
      <c r="C1977"/>
      <c r="D1977"/>
    </row>
    <row r="1978" spans="1:4" x14ac:dyDescent="0.25">
      <c r="A1978"/>
      <c r="B1978"/>
      <c r="C1978"/>
      <c r="D1978"/>
    </row>
    <row r="1979" spans="1:4" x14ac:dyDescent="0.25">
      <c r="A1979"/>
      <c r="B1979"/>
      <c r="C1979"/>
      <c r="D1979"/>
    </row>
    <row r="1980" spans="1:4" x14ac:dyDescent="0.25">
      <c r="A1980"/>
      <c r="B1980"/>
      <c r="C1980"/>
      <c r="D1980"/>
    </row>
    <row r="1981" spans="1:4" x14ac:dyDescent="0.25">
      <c r="A1981"/>
      <c r="B1981"/>
      <c r="C1981"/>
      <c r="D1981"/>
    </row>
    <row r="1982" spans="1:4" x14ac:dyDescent="0.25">
      <c r="A1982"/>
      <c r="B1982"/>
      <c r="C1982"/>
      <c r="D1982"/>
    </row>
    <row r="1983" spans="1:4" x14ac:dyDescent="0.25">
      <c r="A1983"/>
      <c r="B1983"/>
      <c r="C1983"/>
      <c r="D1983"/>
    </row>
    <row r="1984" spans="1:4" x14ac:dyDescent="0.25">
      <c r="A1984"/>
      <c r="B1984"/>
      <c r="C1984"/>
      <c r="D1984"/>
    </row>
    <row r="1985" spans="1:4" x14ac:dyDescent="0.25">
      <c r="A1985"/>
      <c r="B1985"/>
      <c r="C1985"/>
      <c r="D1985"/>
    </row>
    <row r="1986" spans="1:4" x14ac:dyDescent="0.25">
      <c r="A1986"/>
      <c r="B1986"/>
      <c r="C1986"/>
      <c r="D1986"/>
    </row>
    <row r="1987" spans="1:4" x14ac:dyDescent="0.25">
      <c r="A1987"/>
      <c r="B1987"/>
      <c r="C1987"/>
      <c r="D1987"/>
    </row>
    <row r="1988" spans="1:4" x14ac:dyDescent="0.25">
      <c r="A1988"/>
      <c r="B1988"/>
      <c r="C1988"/>
      <c r="D1988"/>
    </row>
    <row r="1989" spans="1:4" x14ac:dyDescent="0.25">
      <c r="A1989"/>
      <c r="B1989"/>
      <c r="C1989"/>
      <c r="D1989"/>
    </row>
    <row r="1990" spans="1:4" x14ac:dyDescent="0.25">
      <c r="A1990"/>
      <c r="B1990"/>
      <c r="C1990"/>
      <c r="D1990"/>
    </row>
    <row r="1991" spans="1:4" x14ac:dyDescent="0.25">
      <c r="A1991"/>
      <c r="B1991"/>
      <c r="C1991"/>
      <c r="D1991"/>
    </row>
    <row r="1992" spans="1:4" x14ac:dyDescent="0.25">
      <c r="A1992"/>
      <c r="B1992"/>
      <c r="C1992"/>
      <c r="D1992"/>
    </row>
    <row r="1993" spans="1:4" x14ac:dyDescent="0.25">
      <c r="A1993"/>
      <c r="B1993"/>
      <c r="C1993"/>
      <c r="D1993"/>
    </row>
    <row r="1994" spans="1:4" x14ac:dyDescent="0.25">
      <c r="A1994"/>
      <c r="B1994"/>
      <c r="C1994"/>
      <c r="D1994"/>
    </row>
    <row r="1995" spans="1:4" x14ac:dyDescent="0.25">
      <c r="A1995"/>
      <c r="B1995"/>
      <c r="C1995"/>
      <c r="D1995"/>
    </row>
    <row r="1996" spans="1:4" x14ac:dyDescent="0.25">
      <c r="A1996"/>
      <c r="B1996"/>
      <c r="C1996"/>
      <c r="D1996"/>
    </row>
    <row r="1997" spans="1:4" x14ac:dyDescent="0.25">
      <c r="A1997"/>
      <c r="B1997"/>
      <c r="C1997"/>
      <c r="D1997"/>
    </row>
    <row r="1998" spans="1:4" x14ac:dyDescent="0.25">
      <c r="A1998"/>
      <c r="B1998"/>
      <c r="C1998"/>
      <c r="D1998"/>
    </row>
    <row r="1999" spans="1:4" x14ac:dyDescent="0.25">
      <c r="A1999"/>
      <c r="B1999"/>
      <c r="C1999"/>
      <c r="D1999"/>
    </row>
    <row r="2000" spans="1:4" x14ac:dyDescent="0.25">
      <c r="A2000"/>
      <c r="B2000"/>
      <c r="C2000"/>
      <c r="D2000"/>
    </row>
    <row r="2001" spans="1:4" x14ac:dyDescent="0.25">
      <c r="A2001"/>
      <c r="B2001"/>
      <c r="C2001"/>
      <c r="D2001"/>
    </row>
    <row r="2002" spans="1:4" x14ac:dyDescent="0.25">
      <c r="A2002"/>
      <c r="B2002"/>
      <c r="C2002"/>
      <c r="D2002"/>
    </row>
    <row r="2003" spans="1:4" x14ac:dyDescent="0.25">
      <c r="A2003"/>
      <c r="B2003"/>
      <c r="C2003"/>
      <c r="D2003"/>
    </row>
    <row r="2004" spans="1:4" x14ac:dyDescent="0.25">
      <c r="A2004"/>
      <c r="B2004"/>
      <c r="C2004"/>
      <c r="D2004"/>
    </row>
    <row r="2005" spans="1:4" x14ac:dyDescent="0.25">
      <c r="A2005"/>
      <c r="B2005"/>
      <c r="C2005"/>
      <c r="D2005"/>
    </row>
    <row r="2006" spans="1:4" x14ac:dyDescent="0.25">
      <c r="A2006"/>
      <c r="B2006"/>
      <c r="C2006"/>
      <c r="D2006"/>
    </row>
    <row r="2007" spans="1:4" x14ac:dyDescent="0.25">
      <c r="A2007"/>
      <c r="B2007"/>
      <c r="C2007"/>
      <c r="D2007"/>
    </row>
    <row r="2008" spans="1:4" x14ac:dyDescent="0.25">
      <c r="A2008"/>
      <c r="B2008"/>
      <c r="C2008"/>
      <c r="D2008"/>
    </row>
    <row r="2009" spans="1:4" x14ac:dyDescent="0.25">
      <c r="A2009"/>
      <c r="B2009"/>
      <c r="C2009"/>
      <c r="D2009"/>
    </row>
    <row r="2010" spans="1:4" x14ac:dyDescent="0.25">
      <c r="A2010"/>
      <c r="B2010"/>
      <c r="C2010"/>
      <c r="D2010"/>
    </row>
    <row r="2011" spans="1:4" x14ac:dyDescent="0.25">
      <c r="A2011"/>
      <c r="B2011"/>
      <c r="C2011"/>
      <c r="D2011"/>
    </row>
    <row r="2012" spans="1:4" x14ac:dyDescent="0.25">
      <c r="A2012"/>
      <c r="B2012"/>
      <c r="C2012"/>
      <c r="D2012"/>
    </row>
    <row r="2013" spans="1:4" x14ac:dyDescent="0.25">
      <c r="A2013"/>
      <c r="B2013"/>
      <c r="C2013"/>
      <c r="D2013"/>
    </row>
    <row r="2014" spans="1:4" x14ac:dyDescent="0.25">
      <c r="A2014"/>
      <c r="B2014"/>
      <c r="C2014"/>
      <c r="D2014"/>
    </row>
    <row r="2015" spans="1:4" x14ac:dyDescent="0.25">
      <c r="A2015"/>
      <c r="B2015"/>
      <c r="C2015"/>
      <c r="D2015"/>
    </row>
    <row r="2016" spans="1:4" x14ac:dyDescent="0.25">
      <c r="A2016"/>
      <c r="B2016"/>
      <c r="C2016"/>
      <c r="D2016"/>
    </row>
    <row r="2017" spans="1:4" x14ac:dyDescent="0.25">
      <c r="A2017"/>
      <c r="B2017"/>
      <c r="C2017"/>
      <c r="D2017"/>
    </row>
    <row r="2018" spans="1:4" x14ac:dyDescent="0.25">
      <c r="A2018"/>
      <c r="B2018"/>
      <c r="C2018"/>
      <c r="D2018"/>
    </row>
    <row r="2019" spans="1:4" x14ac:dyDescent="0.25">
      <c r="A2019"/>
      <c r="B2019"/>
      <c r="C2019"/>
      <c r="D2019"/>
    </row>
    <row r="2020" spans="1:4" x14ac:dyDescent="0.25">
      <c r="A2020"/>
      <c r="B2020"/>
      <c r="C2020"/>
      <c r="D2020"/>
    </row>
    <row r="2021" spans="1:4" x14ac:dyDescent="0.25">
      <c r="A2021"/>
      <c r="B2021"/>
      <c r="C2021"/>
      <c r="D2021"/>
    </row>
    <row r="2022" spans="1:4" x14ac:dyDescent="0.25">
      <c r="A2022"/>
      <c r="B2022"/>
      <c r="C2022"/>
      <c r="D2022"/>
    </row>
    <row r="2023" spans="1:4" x14ac:dyDescent="0.25">
      <c r="A2023"/>
      <c r="B2023"/>
      <c r="C2023"/>
      <c r="D2023"/>
    </row>
    <row r="2024" spans="1:4" x14ac:dyDescent="0.25">
      <c r="A2024"/>
      <c r="B2024"/>
      <c r="C2024"/>
      <c r="D2024"/>
    </row>
    <row r="2025" spans="1:4" x14ac:dyDescent="0.25">
      <c r="A2025"/>
      <c r="B2025"/>
      <c r="C2025"/>
      <c r="D2025"/>
    </row>
    <row r="2026" spans="1:4" x14ac:dyDescent="0.25">
      <c r="A2026"/>
      <c r="B2026"/>
      <c r="C2026"/>
      <c r="D2026"/>
    </row>
    <row r="2027" spans="1:4" x14ac:dyDescent="0.25">
      <c r="A2027"/>
      <c r="B2027"/>
      <c r="C2027"/>
      <c r="D2027"/>
    </row>
    <row r="2028" spans="1:4" x14ac:dyDescent="0.25">
      <c r="A2028"/>
      <c r="B2028"/>
      <c r="C2028"/>
      <c r="D2028"/>
    </row>
    <row r="2029" spans="1:4" x14ac:dyDescent="0.25">
      <c r="A2029"/>
      <c r="B2029"/>
      <c r="C2029"/>
      <c r="D2029"/>
    </row>
    <row r="2030" spans="1:4" x14ac:dyDescent="0.25">
      <c r="A2030"/>
      <c r="B2030"/>
      <c r="C2030"/>
      <c r="D2030"/>
    </row>
    <row r="2031" spans="1:4" x14ac:dyDescent="0.25">
      <c r="A2031"/>
      <c r="B2031"/>
      <c r="C2031"/>
      <c r="D2031"/>
    </row>
    <row r="2032" spans="1:4" x14ac:dyDescent="0.25">
      <c r="A2032"/>
      <c r="B2032"/>
      <c r="C2032"/>
      <c r="D2032"/>
    </row>
    <row r="2033" spans="1:4" x14ac:dyDescent="0.25">
      <c r="A2033"/>
      <c r="B2033"/>
      <c r="C2033"/>
      <c r="D2033"/>
    </row>
    <row r="2034" spans="1:4" x14ac:dyDescent="0.25">
      <c r="A2034"/>
      <c r="B2034"/>
      <c r="C2034"/>
      <c r="D2034"/>
    </row>
    <row r="2035" spans="1:4" x14ac:dyDescent="0.25">
      <c r="A2035"/>
      <c r="B2035"/>
      <c r="C2035"/>
      <c r="D2035"/>
    </row>
    <row r="2036" spans="1:4" x14ac:dyDescent="0.25">
      <c r="A2036"/>
      <c r="B2036"/>
      <c r="C2036"/>
      <c r="D2036"/>
    </row>
    <row r="2037" spans="1:4" x14ac:dyDescent="0.25">
      <c r="A2037"/>
      <c r="B2037"/>
      <c r="C2037"/>
      <c r="D2037"/>
    </row>
    <row r="2038" spans="1:4" x14ac:dyDescent="0.25">
      <c r="A2038"/>
      <c r="B2038"/>
      <c r="C2038"/>
      <c r="D2038"/>
    </row>
    <row r="2039" spans="1:4" x14ac:dyDescent="0.25">
      <c r="A2039"/>
      <c r="B2039"/>
      <c r="C2039"/>
      <c r="D2039"/>
    </row>
    <row r="2040" spans="1:4" x14ac:dyDescent="0.25">
      <c r="A2040"/>
      <c r="B2040"/>
      <c r="C2040"/>
      <c r="D2040"/>
    </row>
    <row r="2041" spans="1:4" x14ac:dyDescent="0.25">
      <c r="A2041"/>
      <c r="B2041"/>
      <c r="C2041"/>
      <c r="D2041"/>
    </row>
    <row r="2042" spans="1:4" x14ac:dyDescent="0.25">
      <c r="A2042"/>
      <c r="B2042"/>
      <c r="C2042"/>
      <c r="D2042"/>
    </row>
    <row r="2043" spans="1:4" x14ac:dyDescent="0.25">
      <c r="A2043"/>
      <c r="B2043"/>
      <c r="C2043"/>
      <c r="D2043"/>
    </row>
    <row r="2044" spans="1:4" x14ac:dyDescent="0.25">
      <c r="A2044"/>
      <c r="B2044"/>
      <c r="C2044"/>
      <c r="D2044"/>
    </row>
    <row r="2045" spans="1:4" x14ac:dyDescent="0.25">
      <c r="A2045"/>
      <c r="B2045"/>
      <c r="C2045"/>
      <c r="D2045"/>
    </row>
    <row r="2046" spans="1:4" x14ac:dyDescent="0.25">
      <c r="A2046"/>
      <c r="B2046"/>
      <c r="C2046"/>
      <c r="D2046"/>
    </row>
    <row r="2047" spans="1:4" x14ac:dyDescent="0.25">
      <c r="A2047"/>
      <c r="B2047"/>
      <c r="C2047"/>
      <c r="D2047"/>
    </row>
    <row r="2048" spans="1:4" x14ac:dyDescent="0.25">
      <c r="A2048"/>
      <c r="B2048"/>
      <c r="C2048"/>
      <c r="D2048"/>
    </row>
    <row r="2049" spans="1:4" x14ac:dyDescent="0.25">
      <c r="A2049"/>
      <c r="B2049"/>
      <c r="C2049"/>
      <c r="D2049"/>
    </row>
    <row r="2050" spans="1:4" x14ac:dyDescent="0.25">
      <c r="A2050"/>
      <c r="B2050"/>
      <c r="C2050"/>
      <c r="D2050"/>
    </row>
    <row r="2051" spans="1:4" x14ac:dyDescent="0.25">
      <c r="A2051"/>
      <c r="B2051"/>
      <c r="C2051"/>
      <c r="D2051"/>
    </row>
    <row r="2052" spans="1:4" x14ac:dyDescent="0.25">
      <c r="A2052"/>
      <c r="B2052"/>
      <c r="C2052"/>
      <c r="D2052"/>
    </row>
    <row r="2053" spans="1:4" x14ac:dyDescent="0.25">
      <c r="A2053"/>
      <c r="B2053"/>
      <c r="C2053"/>
      <c r="D2053"/>
    </row>
    <row r="2054" spans="1:4" x14ac:dyDescent="0.25">
      <c r="A2054"/>
      <c r="B2054"/>
      <c r="C2054"/>
      <c r="D2054"/>
    </row>
    <row r="2055" spans="1:4" x14ac:dyDescent="0.25">
      <c r="A2055"/>
      <c r="B2055"/>
      <c r="C2055"/>
      <c r="D2055"/>
    </row>
    <row r="2056" spans="1:4" x14ac:dyDescent="0.25">
      <c r="A2056"/>
      <c r="B2056"/>
      <c r="C2056"/>
      <c r="D2056"/>
    </row>
    <row r="2057" spans="1:4" x14ac:dyDescent="0.25">
      <c r="A2057"/>
      <c r="B2057"/>
      <c r="C2057"/>
      <c r="D2057"/>
    </row>
    <row r="2058" spans="1:4" x14ac:dyDescent="0.25">
      <c r="A2058"/>
      <c r="B2058"/>
      <c r="C2058"/>
      <c r="D2058"/>
    </row>
    <row r="2059" spans="1:4" x14ac:dyDescent="0.25">
      <c r="A2059"/>
      <c r="B2059"/>
      <c r="C2059"/>
      <c r="D2059"/>
    </row>
    <row r="2060" spans="1:4" x14ac:dyDescent="0.25">
      <c r="A2060"/>
      <c r="B2060"/>
      <c r="C2060"/>
      <c r="D2060"/>
    </row>
    <row r="2061" spans="1:4" x14ac:dyDescent="0.25">
      <c r="A2061"/>
      <c r="B2061"/>
      <c r="C2061"/>
      <c r="D2061"/>
    </row>
    <row r="2062" spans="1:4" x14ac:dyDescent="0.25">
      <c r="A2062"/>
      <c r="B2062"/>
      <c r="C2062"/>
      <c r="D2062"/>
    </row>
    <row r="2063" spans="1:4" x14ac:dyDescent="0.25">
      <c r="A2063"/>
      <c r="B2063"/>
      <c r="C2063"/>
      <c r="D2063"/>
    </row>
    <row r="2064" spans="1:4" x14ac:dyDescent="0.25">
      <c r="A2064"/>
      <c r="B2064"/>
      <c r="C2064"/>
      <c r="D2064"/>
    </row>
    <row r="2065" spans="1:4" x14ac:dyDescent="0.25">
      <c r="A2065"/>
      <c r="B2065"/>
      <c r="C2065"/>
      <c r="D2065"/>
    </row>
    <row r="2066" spans="1:4" x14ac:dyDescent="0.25">
      <c r="A2066"/>
      <c r="B2066"/>
      <c r="C2066"/>
      <c r="D2066"/>
    </row>
    <row r="2067" spans="1:4" x14ac:dyDescent="0.25">
      <c r="A2067"/>
      <c r="B2067"/>
      <c r="C2067"/>
      <c r="D2067"/>
    </row>
    <row r="2068" spans="1:4" x14ac:dyDescent="0.25">
      <c r="A2068"/>
      <c r="B2068"/>
      <c r="C2068"/>
      <c r="D2068"/>
    </row>
    <row r="2069" spans="1:4" x14ac:dyDescent="0.25">
      <c r="A2069"/>
      <c r="B2069"/>
      <c r="C2069"/>
      <c r="D2069"/>
    </row>
    <row r="2070" spans="1:4" x14ac:dyDescent="0.25">
      <c r="A2070"/>
      <c r="B2070"/>
      <c r="C2070"/>
      <c r="D2070"/>
    </row>
    <row r="2071" spans="1:4" x14ac:dyDescent="0.25">
      <c r="A2071"/>
      <c r="B2071"/>
      <c r="C2071"/>
      <c r="D2071"/>
    </row>
    <row r="2072" spans="1:4" x14ac:dyDescent="0.25">
      <c r="A2072"/>
      <c r="B2072"/>
      <c r="C2072"/>
      <c r="D2072"/>
    </row>
    <row r="2073" spans="1:4" x14ac:dyDescent="0.25">
      <c r="A2073"/>
      <c r="B2073"/>
      <c r="C2073"/>
      <c r="D2073"/>
    </row>
    <row r="2074" spans="1:4" x14ac:dyDescent="0.25">
      <c r="A2074"/>
      <c r="B2074"/>
      <c r="C2074"/>
      <c r="D2074"/>
    </row>
    <row r="2075" spans="1:4" x14ac:dyDescent="0.25">
      <c r="A2075"/>
      <c r="B2075"/>
      <c r="C2075"/>
      <c r="D2075"/>
    </row>
    <row r="2076" spans="1:4" x14ac:dyDescent="0.25">
      <c r="A2076"/>
      <c r="B2076"/>
      <c r="C2076"/>
      <c r="D2076"/>
    </row>
    <row r="2077" spans="1:4" x14ac:dyDescent="0.25">
      <c r="A2077"/>
      <c r="B2077"/>
      <c r="C2077"/>
      <c r="D2077"/>
    </row>
    <row r="2078" spans="1:4" x14ac:dyDescent="0.25">
      <c r="A2078"/>
      <c r="B2078"/>
      <c r="C2078"/>
      <c r="D2078"/>
    </row>
    <row r="2079" spans="1:4" x14ac:dyDescent="0.25">
      <c r="A2079"/>
      <c r="B2079"/>
      <c r="C2079"/>
      <c r="D2079"/>
    </row>
    <row r="2080" spans="1:4" x14ac:dyDescent="0.25">
      <c r="A2080"/>
      <c r="B2080"/>
      <c r="C2080"/>
      <c r="D2080"/>
    </row>
    <row r="2081" spans="1:4" x14ac:dyDescent="0.25">
      <c r="A2081"/>
      <c r="B2081"/>
      <c r="C2081"/>
      <c r="D2081"/>
    </row>
    <row r="2082" spans="1:4" x14ac:dyDescent="0.25">
      <c r="A2082"/>
      <c r="B2082"/>
      <c r="C2082"/>
      <c r="D2082"/>
    </row>
    <row r="2083" spans="1:4" x14ac:dyDescent="0.25">
      <c r="A2083"/>
      <c r="B2083"/>
      <c r="C2083"/>
      <c r="D2083"/>
    </row>
    <row r="2084" spans="1:4" x14ac:dyDescent="0.25">
      <c r="A2084"/>
      <c r="B2084"/>
      <c r="C2084"/>
      <c r="D2084"/>
    </row>
    <row r="2085" spans="1:4" x14ac:dyDescent="0.25">
      <c r="A2085"/>
      <c r="B2085"/>
      <c r="C2085"/>
      <c r="D2085"/>
    </row>
    <row r="2086" spans="1:4" x14ac:dyDescent="0.25">
      <c r="A2086"/>
      <c r="B2086"/>
      <c r="C2086"/>
      <c r="D2086"/>
    </row>
    <row r="2087" spans="1:4" x14ac:dyDescent="0.25">
      <c r="A2087"/>
      <c r="B2087"/>
      <c r="C2087"/>
      <c r="D2087"/>
    </row>
    <row r="2088" spans="1:4" x14ac:dyDescent="0.25">
      <c r="A2088"/>
      <c r="B2088"/>
      <c r="C2088"/>
      <c r="D2088"/>
    </row>
    <row r="2089" spans="1:4" x14ac:dyDescent="0.25">
      <c r="A2089"/>
      <c r="B2089"/>
      <c r="C2089"/>
      <c r="D2089"/>
    </row>
    <row r="2090" spans="1:4" x14ac:dyDescent="0.25">
      <c r="A2090"/>
      <c r="B2090"/>
      <c r="C2090"/>
      <c r="D2090"/>
    </row>
    <row r="2091" spans="1:4" x14ac:dyDescent="0.25">
      <c r="A2091"/>
      <c r="B2091"/>
      <c r="C2091"/>
      <c r="D2091"/>
    </row>
    <row r="2092" spans="1:4" x14ac:dyDescent="0.25">
      <c r="A2092"/>
      <c r="B2092"/>
      <c r="C2092"/>
      <c r="D2092"/>
    </row>
    <row r="2093" spans="1:4" x14ac:dyDescent="0.25">
      <c r="A2093"/>
      <c r="B2093"/>
      <c r="C2093"/>
      <c r="D2093"/>
    </row>
    <row r="2094" spans="1:4" x14ac:dyDescent="0.25">
      <c r="A2094"/>
      <c r="B2094"/>
      <c r="C2094"/>
      <c r="D2094"/>
    </row>
    <row r="2095" spans="1:4" x14ac:dyDescent="0.25">
      <c r="A2095"/>
      <c r="B2095"/>
      <c r="C2095"/>
      <c r="D2095"/>
    </row>
    <row r="2096" spans="1:4" x14ac:dyDescent="0.25">
      <c r="A2096"/>
      <c r="B2096"/>
      <c r="C2096"/>
      <c r="D2096"/>
    </row>
    <row r="2097" spans="1:4" x14ac:dyDescent="0.25">
      <c r="A2097"/>
      <c r="B2097"/>
      <c r="C2097"/>
      <c r="D2097"/>
    </row>
    <row r="2098" spans="1:4" x14ac:dyDescent="0.25">
      <c r="A2098"/>
      <c r="B2098"/>
      <c r="C2098"/>
      <c r="D2098"/>
    </row>
    <row r="2099" spans="1:4" x14ac:dyDescent="0.25">
      <c r="A2099"/>
      <c r="B2099"/>
      <c r="C2099"/>
      <c r="D2099"/>
    </row>
    <row r="2100" spans="1:4" x14ac:dyDescent="0.25">
      <c r="A2100"/>
      <c r="B2100"/>
      <c r="C2100"/>
      <c r="D2100"/>
    </row>
    <row r="2101" spans="1:4" x14ac:dyDescent="0.25">
      <c r="A2101"/>
      <c r="B2101"/>
      <c r="C2101"/>
      <c r="D2101"/>
    </row>
    <row r="2102" spans="1:4" x14ac:dyDescent="0.25">
      <c r="A2102"/>
      <c r="B2102"/>
      <c r="C2102"/>
      <c r="D2102"/>
    </row>
    <row r="2103" spans="1:4" x14ac:dyDescent="0.25">
      <c r="A2103"/>
      <c r="B2103"/>
      <c r="C2103"/>
      <c r="D2103"/>
    </row>
    <row r="2104" spans="1:4" x14ac:dyDescent="0.25">
      <c r="A2104"/>
      <c r="B2104"/>
      <c r="C2104"/>
      <c r="D2104"/>
    </row>
    <row r="2105" spans="1:4" x14ac:dyDescent="0.25">
      <c r="A2105"/>
      <c r="B2105"/>
      <c r="C2105"/>
      <c r="D2105"/>
    </row>
    <row r="2106" spans="1:4" x14ac:dyDescent="0.25">
      <c r="A2106"/>
      <c r="B2106"/>
      <c r="C2106"/>
      <c r="D2106"/>
    </row>
    <row r="2107" spans="1:4" x14ac:dyDescent="0.25">
      <c r="A2107"/>
      <c r="B2107"/>
      <c r="C2107"/>
      <c r="D2107"/>
    </row>
    <row r="2108" spans="1:4" x14ac:dyDescent="0.25">
      <c r="A2108"/>
      <c r="B2108"/>
      <c r="C2108"/>
      <c r="D2108"/>
    </row>
    <row r="2109" spans="1:4" x14ac:dyDescent="0.25">
      <c r="A2109"/>
      <c r="B2109"/>
      <c r="C2109"/>
      <c r="D2109"/>
    </row>
    <row r="2110" spans="1:4" x14ac:dyDescent="0.25">
      <c r="A2110"/>
      <c r="B2110"/>
      <c r="C2110"/>
      <c r="D2110"/>
    </row>
    <row r="2111" spans="1:4" x14ac:dyDescent="0.25">
      <c r="A2111"/>
      <c r="B2111"/>
      <c r="C2111"/>
      <c r="D2111"/>
    </row>
    <row r="2112" spans="1:4" x14ac:dyDescent="0.25">
      <c r="A2112"/>
      <c r="B2112"/>
      <c r="C2112"/>
      <c r="D2112"/>
    </row>
    <row r="2113" spans="1:4" x14ac:dyDescent="0.25">
      <c r="A2113"/>
      <c r="B2113"/>
      <c r="C2113"/>
      <c r="D2113"/>
    </row>
    <row r="2114" spans="1:4" x14ac:dyDescent="0.25">
      <c r="A2114"/>
      <c r="B2114"/>
      <c r="C2114"/>
      <c r="D2114"/>
    </row>
    <row r="2115" spans="1:4" x14ac:dyDescent="0.25">
      <c r="A2115"/>
      <c r="B2115"/>
      <c r="C2115"/>
      <c r="D2115"/>
    </row>
    <row r="2116" spans="1:4" x14ac:dyDescent="0.25">
      <c r="A2116"/>
      <c r="B2116"/>
      <c r="C2116"/>
      <c r="D2116"/>
    </row>
    <row r="2117" spans="1:4" x14ac:dyDescent="0.25">
      <c r="A2117"/>
      <c r="B2117"/>
      <c r="C2117"/>
      <c r="D2117"/>
    </row>
    <row r="2118" spans="1:4" x14ac:dyDescent="0.25">
      <c r="A2118"/>
      <c r="B2118"/>
      <c r="C2118"/>
      <c r="D2118"/>
    </row>
    <row r="2119" spans="1:4" x14ac:dyDescent="0.25">
      <c r="A2119"/>
      <c r="B2119"/>
      <c r="C2119"/>
      <c r="D2119"/>
    </row>
    <row r="2120" spans="1:4" x14ac:dyDescent="0.25">
      <c r="A2120"/>
      <c r="B2120"/>
      <c r="C2120"/>
      <c r="D2120"/>
    </row>
    <row r="2121" spans="1:4" x14ac:dyDescent="0.25">
      <c r="A2121"/>
      <c r="B2121"/>
      <c r="C2121"/>
      <c r="D2121"/>
    </row>
    <row r="2122" spans="1:4" x14ac:dyDescent="0.25">
      <c r="A2122"/>
      <c r="B2122"/>
      <c r="C2122"/>
      <c r="D2122"/>
    </row>
    <row r="2123" spans="1:4" x14ac:dyDescent="0.25">
      <c r="A2123"/>
      <c r="B2123"/>
      <c r="C2123"/>
      <c r="D2123"/>
    </row>
    <row r="2124" spans="1:4" x14ac:dyDescent="0.25">
      <c r="A2124"/>
      <c r="B2124"/>
      <c r="C2124"/>
      <c r="D2124"/>
    </row>
    <row r="2125" spans="1:4" x14ac:dyDescent="0.25">
      <c r="A2125"/>
      <c r="B2125"/>
      <c r="C2125"/>
      <c r="D2125"/>
    </row>
    <row r="2126" spans="1:4" x14ac:dyDescent="0.25">
      <c r="A2126"/>
      <c r="B2126"/>
      <c r="C2126"/>
      <c r="D2126"/>
    </row>
    <row r="2127" spans="1:4" x14ac:dyDescent="0.25">
      <c r="A2127"/>
      <c r="B2127"/>
      <c r="C2127"/>
      <c r="D2127"/>
    </row>
    <row r="2128" spans="1:4" x14ac:dyDescent="0.25">
      <c r="A2128"/>
      <c r="B2128"/>
      <c r="C2128"/>
      <c r="D2128"/>
    </row>
    <row r="2129" spans="1:4" x14ac:dyDescent="0.25">
      <c r="A2129"/>
      <c r="B2129"/>
      <c r="C2129"/>
      <c r="D2129"/>
    </row>
    <row r="2130" spans="1:4" x14ac:dyDescent="0.25">
      <c r="A2130"/>
      <c r="B2130"/>
      <c r="C2130"/>
      <c r="D2130"/>
    </row>
    <row r="2131" spans="1:4" x14ac:dyDescent="0.25">
      <c r="A2131"/>
      <c r="B2131"/>
      <c r="C2131"/>
      <c r="D2131"/>
    </row>
    <row r="2132" spans="1:4" x14ac:dyDescent="0.25">
      <c r="A2132"/>
      <c r="B2132"/>
      <c r="C2132"/>
      <c r="D2132"/>
    </row>
    <row r="2133" spans="1:4" x14ac:dyDescent="0.25">
      <c r="A2133"/>
      <c r="B2133"/>
      <c r="C2133"/>
      <c r="D2133"/>
    </row>
    <row r="2134" spans="1:4" x14ac:dyDescent="0.25">
      <c r="A2134"/>
      <c r="B2134"/>
      <c r="C2134"/>
      <c r="D2134"/>
    </row>
    <row r="2135" spans="1:4" x14ac:dyDescent="0.25">
      <c r="A2135"/>
      <c r="B2135"/>
      <c r="C2135"/>
      <c r="D2135"/>
    </row>
    <row r="2136" spans="1:4" x14ac:dyDescent="0.25">
      <c r="A2136"/>
      <c r="B2136"/>
      <c r="C2136"/>
      <c r="D2136"/>
    </row>
    <row r="2137" spans="1:4" x14ac:dyDescent="0.25">
      <c r="A2137"/>
      <c r="B2137"/>
      <c r="C2137"/>
      <c r="D2137"/>
    </row>
    <row r="2138" spans="1:4" x14ac:dyDescent="0.25">
      <c r="A2138"/>
      <c r="B2138"/>
      <c r="C2138"/>
      <c r="D2138"/>
    </row>
    <row r="2139" spans="1:4" x14ac:dyDescent="0.25">
      <c r="A2139"/>
      <c r="B2139"/>
      <c r="C2139"/>
      <c r="D2139"/>
    </row>
    <row r="2140" spans="1:4" x14ac:dyDescent="0.25">
      <c r="A2140"/>
      <c r="B2140"/>
      <c r="C2140"/>
      <c r="D2140"/>
    </row>
    <row r="2141" spans="1:4" x14ac:dyDescent="0.25">
      <c r="A2141"/>
      <c r="B2141"/>
      <c r="C2141"/>
      <c r="D2141"/>
    </row>
    <row r="2142" spans="1:4" x14ac:dyDescent="0.25">
      <c r="A2142"/>
      <c r="B2142"/>
      <c r="C2142"/>
      <c r="D2142"/>
    </row>
    <row r="2143" spans="1:4" x14ac:dyDescent="0.25">
      <c r="A2143"/>
      <c r="B2143"/>
      <c r="C2143"/>
      <c r="D2143"/>
    </row>
    <row r="2144" spans="1:4" x14ac:dyDescent="0.25">
      <c r="A2144"/>
      <c r="B2144"/>
      <c r="C2144"/>
      <c r="D2144"/>
    </row>
    <row r="2145" spans="1:4" x14ac:dyDescent="0.25">
      <c r="A2145"/>
      <c r="B2145"/>
      <c r="C2145"/>
      <c r="D2145"/>
    </row>
    <row r="2146" spans="1:4" x14ac:dyDescent="0.25">
      <c r="A2146"/>
      <c r="B2146"/>
      <c r="C2146"/>
      <c r="D2146"/>
    </row>
    <row r="2147" spans="1:4" x14ac:dyDescent="0.25">
      <c r="A2147"/>
      <c r="B2147"/>
      <c r="C2147"/>
      <c r="D2147"/>
    </row>
    <row r="2148" spans="1:4" x14ac:dyDescent="0.25">
      <c r="A2148"/>
      <c r="B2148"/>
      <c r="C2148"/>
      <c r="D2148"/>
    </row>
    <row r="2149" spans="1:4" x14ac:dyDescent="0.25">
      <c r="A2149"/>
      <c r="B2149"/>
      <c r="C2149"/>
      <c r="D2149"/>
    </row>
    <row r="2150" spans="1:4" x14ac:dyDescent="0.25">
      <c r="A2150"/>
      <c r="B2150"/>
      <c r="C2150"/>
      <c r="D2150"/>
    </row>
    <row r="2151" spans="1:4" x14ac:dyDescent="0.25">
      <c r="A2151"/>
      <c r="B2151"/>
      <c r="C2151"/>
      <c r="D2151"/>
    </row>
    <row r="2152" spans="1:4" x14ac:dyDescent="0.25">
      <c r="A2152"/>
      <c r="B2152"/>
      <c r="C2152"/>
      <c r="D2152"/>
    </row>
    <row r="2153" spans="1:4" x14ac:dyDescent="0.25">
      <c r="A2153"/>
      <c r="B2153"/>
      <c r="C2153"/>
      <c r="D2153"/>
    </row>
    <row r="2154" spans="1:4" x14ac:dyDescent="0.25">
      <c r="A2154"/>
      <c r="B2154"/>
      <c r="C2154"/>
      <c r="D2154"/>
    </row>
    <row r="2155" spans="1:4" x14ac:dyDescent="0.25">
      <c r="A2155"/>
      <c r="B2155"/>
      <c r="C2155"/>
      <c r="D2155"/>
    </row>
    <row r="2156" spans="1:4" x14ac:dyDescent="0.25">
      <c r="A2156"/>
      <c r="B2156"/>
      <c r="C2156"/>
      <c r="D2156"/>
    </row>
    <row r="2157" spans="1:4" x14ac:dyDescent="0.25">
      <c r="A2157"/>
      <c r="B2157"/>
      <c r="C2157"/>
      <c r="D2157"/>
    </row>
    <row r="2158" spans="1:4" x14ac:dyDescent="0.25">
      <c r="A2158"/>
      <c r="B2158"/>
      <c r="C2158"/>
      <c r="D2158"/>
    </row>
    <row r="2159" spans="1:4" x14ac:dyDescent="0.25">
      <c r="A2159"/>
      <c r="B2159"/>
      <c r="C2159"/>
      <c r="D2159"/>
    </row>
    <row r="2160" spans="1:4" x14ac:dyDescent="0.25">
      <c r="A2160"/>
      <c r="B2160"/>
      <c r="C2160"/>
      <c r="D2160"/>
    </row>
    <row r="2161" spans="1:4" x14ac:dyDescent="0.25">
      <c r="A2161"/>
      <c r="B2161"/>
      <c r="C2161"/>
      <c r="D2161"/>
    </row>
    <row r="2162" spans="1:4" x14ac:dyDescent="0.25">
      <c r="A2162"/>
      <c r="B2162"/>
      <c r="C2162"/>
      <c r="D2162"/>
    </row>
    <row r="2163" spans="1:4" x14ac:dyDescent="0.25">
      <c r="A2163"/>
      <c r="B2163"/>
      <c r="C2163"/>
      <c r="D2163"/>
    </row>
    <row r="2164" spans="1:4" x14ac:dyDescent="0.25">
      <c r="A2164"/>
      <c r="B2164"/>
      <c r="C2164"/>
      <c r="D2164"/>
    </row>
    <row r="2165" spans="1:4" x14ac:dyDescent="0.25">
      <c r="A2165"/>
      <c r="B2165"/>
      <c r="C2165"/>
      <c r="D2165"/>
    </row>
    <row r="2166" spans="1:4" x14ac:dyDescent="0.25">
      <c r="A2166"/>
      <c r="B2166"/>
      <c r="C2166"/>
      <c r="D2166"/>
    </row>
    <row r="2167" spans="1:4" x14ac:dyDescent="0.25">
      <c r="A2167"/>
      <c r="B2167"/>
      <c r="C2167"/>
      <c r="D2167"/>
    </row>
    <row r="2168" spans="1:4" x14ac:dyDescent="0.25">
      <c r="A2168"/>
      <c r="B2168"/>
      <c r="C2168"/>
      <c r="D2168"/>
    </row>
    <row r="2169" spans="1:4" x14ac:dyDescent="0.25">
      <c r="A2169"/>
      <c r="B2169"/>
      <c r="C2169"/>
      <c r="D2169"/>
    </row>
    <row r="2170" spans="1:4" x14ac:dyDescent="0.25">
      <c r="A2170"/>
      <c r="B2170"/>
      <c r="C2170"/>
      <c r="D2170"/>
    </row>
    <row r="2171" spans="1:4" x14ac:dyDescent="0.25">
      <c r="A2171"/>
      <c r="B2171"/>
      <c r="C2171"/>
      <c r="D2171"/>
    </row>
    <row r="2172" spans="1:4" x14ac:dyDescent="0.25">
      <c r="A2172"/>
      <c r="B2172"/>
      <c r="C2172"/>
      <c r="D2172"/>
    </row>
    <row r="2173" spans="1:4" x14ac:dyDescent="0.25">
      <c r="A2173"/>
      <c r="B2173"/>
      <c r="C2173"/>
      <c r="D2173"/>
    </row>
    <row r="2174" spans="1:4" x14ac:dyDescent="0.25">
      <c r="A2174"/>
      <c r="B2174"/>
      <c r="C2174"/>
      <c r="D2174"/>
    </row>
    <row r="2175" spans="1:4" x14ac:dyDescent="0.25">
      <c r="A2175"/>
      <c r="B2175"/>
      <c r="C2175"/>
      <c r="D2175"/>
    </row>
    <row r="2176" spans="1:4" x14ac:dyDescent="0.25">
      <c r="A2176"/>
      <c r="B2176"/>
      <c r="C2176"/>
      <c r="D2176"/>
    </row>
    <row r="2177" spans="1:4" x14ac:dyDescent="0.25">
      <c r="A2177"/>
      <c r="B2177"/>
      <c r="C2177"/>
      <c r="D2177"/>
    </row>
    <row r="2178" spans="1:4" x14ac:dyDescent="0.25">
      <c r="A2178"/>
      <c r="B2178"/>
      <c r="C2178"/>
      <c r="D2178"/>
    </row>
    <row r="2179" spans="1:4" x14ac:dyDescent="0.25">
      <c r="A2179"/>
      <c r="B2179"/>
      <c r="C2179"/>
      <c r="D2179"/>
    </row>
    <row r="2180" spans="1:4" x14ac:dyDescent="0.25">
      <c r="A2180"/>
      <c r="B2180"/>
      <c r="C2180"/>
      <c r="D2180"/>
    </row>
    <row r="2181" spans="1:4" x14ac:dyDescent="0.25">
      <c r="A2181"/>
      <c r="B2181"/>
      <c r="C2181"/>
      <c r="D2181"/>
    </row>
    <row r="2182" spans="1:4" x14ac:dyDescent="0.25">
      <c r="A2182"/>
      <c r="B2182"/>
      <c r="C2182"/>
      <c r="D2182"/>
    </row>
    <row r="2183" spans="1:4" x14ac:dyDescent="0.25">
      <c r="A2183"/>
      <c r="B2183"/>
      <c r="C2183"/>
      <c r="D2183"/>
    </row>
    <row r="2184" spans="1:4" x14ac:dyDescent="0.25">
      <c r="A2184"/>
      <c r="B2184"/>
      <c r="C2184"/>
      <c r="D2184"/>
    </row>
    <row r="2185" spans="1:4" x14ac:dyDescent="0.25">
      <c r="A2185"/>
      <c r="B2185"/>
      <c r="C2185"/>
      <c r="D2185"/>
    </row>
    <row r="2186" spans="1:4" x14ac:dyDescent="0.25">
      <c r="A2186"/>
      <c r="B2186"/>
      <c r="C2186"/>
      <c r="D2186"/>
    </row>
    <row r="2187" spans="1:4" x14ac:dyDescent="0.25">
      <c r="A2187"/>
      <c r="B2187"/>
      <c r="C2187"/>
      <c r="D2187"/>
    </row>
    <row r="2188" spans="1:4" x14ac:dyDescent="0.25">
      <c r="A2188"/>
      <c r="B2188"/>
      <c r="C2188"/>
      <c r="D2188"/>
    </row>
    <row r="2189" spans="1:4" x14ac:dyDescent="0.25">
      <c r="A2189"/>
      <c r="B2189"/>
      <c r="C2189"/>
      <c r="D2189"/>
    </row>
    <row r="2190" spans="1:4" x14ac:dyDescent="0.25">
      <c r="A2190"/>
      <c r="B2190"/>
      <c r="C2190"/>
      <c r="D2190"/>
    </row>
    <row r="2191" spans="1:4" x14ac:dyDescent="0.25">
      <c r="A2191"/>
      <c r="B2191"/>
      <c r="C2191"/>
      <c r="D2191"/>
    </row>
    <row r="2192" spans="1:4" x14ac:dyDescent="0.25">
      <c r="A2192"/>
      <c r="B2192"/>
      <c r="C2192"/>
      <c r="D2192"/>
    </row>
    <row r="2193" spans="1:4" x14ac:dyDescent="0.25">
      <c r="A2193"/>
      <c r="B2193"/>
      <c r="C2193"/>
      <c r="D2193"/>
    </row>
    <row r="2194" spans="1:4" x14ac:dyDescent="0.25">
      <c r="A2194"/>
      <c r="B2194"/>
      <c r="C2194"/>
      <c r="D2194"/>
    </row>
    <row r="2195" spans="1:4" x14ac:dyDescent="0.25">
      <c r="A2195"/>
      <c r="B2195"/>
      <c r="C2195"/>
      <c r="D2195"/>
    </row>
    <row r="2196" spans="1:4" x14ac:dyDescent="0.25">
      <c r="A2196"/>
      <c r="B2196"/>
      <c r="C2196"/>
      <c r="D2196"/>
    </row>
    <row r="2197" spans="1:4" x14ac:dyDescent="0.25">
      <c r="A2197"/>
      <c r="B2197"/>
      <c r="C2197"/>
      <c r="D2197"/>
    </row>
    <row r="2198" spans="1:4" x14ac:dyDescent="0.25">
      <c r="A2198"/>
      <c r="B2198"/>
      <c r="C2198"/>
      <c r="D2198"/>
    </row>
    <row r="2199" spans="1:4" x14ac:dyDescent="0.25">
      <c r="A2199"/>
      <c r="B2199"/>
      <c r="C2199"/>
      <c r="D2199"/>
    </row>
    <row r="2200" spans="1:4" x14ac:dyDescent="0.25">
      <c r="A2200"/>
      <c r="B2200"/>
      <c r="C2200"/>
      <c r="D2200"/>
    </row>
    <row r="2201" spans="1:4" x14ac:dyDescent="0.25">
      <c r="A2201"/>
      <c r="B2201"/>
      <c r="C2201"/>
      <c r="D2201"/>
    </row>
    <row r="2202" spans="1:4" x14ac:dyDescent="0.25">
      <c r="A2202"/>
      <c r="B2202"/>
      <c r="C2202"/>
      <c r="D2202"/>
    </row>
    <row r="2203" spans="1:4" x14ac:dyDescent="0.25">
      <c r="A2203"/>
      <c r="B2203"/>
      <c r="C2203"/>
      <c r="D2203"/>
    </row>
    <row r="2204" spans="1:4" x14ac:dyDescent="0.25">
      <c r="A2204"/>
      <c r="B2204"/>
      <c r="C2204"/>
      <c r="D2204"/>
    </row>
    <row r="2205" spans="1:4" x14ac:dyDescent="0.25">
      <c r="A2205"/>
      <c r="B2205"/>
      <c r="C2205"/>
      <c r="D2205"/>
    </row>
    <row r="2206" spans="1:4" x14ac:dyDescent="0.25">
      <c r="A2206"/>
      <c r="B2206"/>
      <c r="C2206"/>
      <c r="D2206"/>
    </row>
    <row r="2207" spans="1:4" x14ac:dyDescent="0.25">
      <c r="A2207"/>
      <c r="B2207"/>
      <c r="C2207"/>
      <c r="D2207"/>
    </row>
    <row r="2208" spans="1:4" x14ac:dyDescent="0.25">
      <c r="A2208"/>
      <c r="B2208"/>
      <c r="C2208"/>
      <c r="D2208"/>
    </row>
    <row r="2209" spans="1:4" x14ac:dyDescent="0.25">
      <c r="A2209"/>
      <c r="B2209"/>
      <c r="C2209"/>
      <c r="D2209"/>
    </row>
    <row r="2210" spans="1:4" x14ac:dyDescent="0.25">
      <c r="A2210"/>
      <c r="B2210"/>
      <c r="C2210"/>
      <c r="D2210"/>
    </row>
    <row r="2211" spans="1:4" x14ac:dyDescent="0.25">
      <c r="A2211"/>
      <c r="B2211"/>
      <c r="C2211"/>
      <c r="D2211"/>
    </row>
    <row r="2212" spans="1:4" x14ac:dyDescent="0.25">
      <c r="A2212"/>
      <c r="B2212"/>
      <c r="C2212"/>
      <c r="D2212"/>
    </row>
    <row r="2213" spans="1:4" x14ac:dyDescent="0.25">
      <c r="A2213"/>
      <c r="B2213"/>
      <c r="C2213"/>
      <c r="D2213"/>
    </row>
    <row r="2214" spans="1:4" x14ac:dyDescent="0.25">
      <c r="A2214"/>
      <c r="B2214"/>
      <c r="C2214"/>
      <c r="D2214"/>
    </row>
    <row r="2215" spans="1:4" x14ac:dyDescent="0.25">
      <c r="A2215"/>
      <c r="B2215"/>
      <c r="C2215"/>
      <c r="D2215"/>
    </row>
    <row r="2216" spans="1:4" x14ac:dyDescent="0.25">
      <c r="A2216"/>
      <c r="B2216"/>
      <c r="C2216"/>
      <c r="D2216"/>
    </row>
    <row r="2217" spans="1:4" x14ac:dyDescent="0.25">
      <c r="A2217"/>
      <c r="B2217"/>
      <c r="C2217"/>
      <c r="D2217"/>
    </row>
    <row r="2218" spans="1:4" x14ac:dyDescent="0.25">
      <c r="A2218"/>
      <c r="B2218"/>
      <c r="C2218"/>
      <c r="D2218"/>
    </row>
    <row r="2219" spans="1:4" x14ac:dyDescent="0.25">
      <c r="A2219"/>
      <c r="B2219"/>
      <c r="C2219"/>
      <c r="D2219"/>
    </row>
    <row r="2220" spans="1:4" x14ac:dyDescent="0.25">
      <c r="A2220"/>
      <c r="B2220"/>
      <c r="C2220"/>
      <c r="D2220"/>
    </row>
    <row r="2221" spans="1:4" x14ac:dyDescent="0.25">
      <c r="A2221"/>
      <c r="B2221"/>
      <c r="C2221"/>
      <c r="D2221"/>
    </row>
    <row r="2222" spans="1:4" x14ac:dyDescent="0.25">
      <c r="A2222"/>
      <c r="B2222"/>
      <c r="C2222"/>
      <c r="D2222"/>
    </row>
    <row r="2223" spans="1:4" x14ac:dyDescent="0.25">
      <c r="A2223"/>
      <c r="B2223"/>
      <c r="C2223"/>
      <c r="D2223"/>
    </row>
    <row r="2224" spans="1:4" x14ac:dyDescent="0.25">
      <c r="A2224"/>
      <c r="B2224"/>
      <c r="C2224"/>
      <c r="D2224"/>
    </row>
    <row r="2225" spans="1:4" x14ac:dyDescent="0.25">
      <c r="A2225"/>
      <c r="B2225"/>
      <c r="C2225"/>
      <c r="D2225"/>
    </row>
    <row r="2226" spans="1:4" x14ac:dyDescent="0.25">
      <c r="A2226"/>
      <c r="B2226"/>
      <c r="C2226"/>
      <c r="D2226"/>
    </row>
    <row r="2227" spans="1:4" x14ac:dyDescent="0.25">
      <c r="A2227"/>
      <c r="B2227"/>
      <c r="C2227"/>
      <c r="D2227"/>
    </row>
    <row r="2228" spans="1:4" x14ac:dyDescent="0.25">
      <c r="A2228"/>
      <c r="B2228"/>
      <c r="C2228"/>
      <c r="D2228"/>
    </row>
    <row r="2229" spans="1:4" x14ac:dyDescent="0.25">
      <c r="A2229"/>
      <c r="B2229"/>
      <c r="C2229"/>
      <c r="D2229"/>
    </row>
    <row r="2230" spans="1:4" x14ac:dyDescent="0.25">
      <c r="A2230"/>
      <c r="B2230"/>
      <c r="C2230"/>
      <c r="D2230"/>
    </row>
    <row r="2231" spans="1:4" x14ac:dyDescent="0.25">
      <c r="A2231"/>
      <c r="B2231"/>
      <c r="C2231"/>
      <c r="D2231"/>
    </row>
    <row r="2232" spans="1:4" x14ac:dyDescent="0.25">
      <c r="A2232"/>
      <c r="B2232"/>
      <c r="C2232"/>
      <c r="D2232"/>
    </row>
    <row r="2233" spans="1:4" x14ac:dyDescent="0.25">
      <c r="A2233"/>
      <c r="B2233"/>
      <c r="C2233"/>
      <c r="D2233"/>
    </row>
    <row r="2234" spans="1:4" x14ac:dyDescent="0.25">
      <c r="A2234"/>
      <c r="B2234"/>
      <c r="C2234"/>
      <c r="D2234"/>
    </row>
    <row r="2235" spans="1:4" x14ac:dyDescent="0.25">
      <c r="A2235"/>
      <c r="B2235"/>
      <c r="C2235"/>
      <c r="D2235"/>
    </row>
    <row r="2236" spans="1:4" x14ac:dyDescent="0.25">
      <c r="A2236"/>
      <c r="B2236"/>
      <c r="C2236"/>
      <c r="D2236"/>
    </row>
    <row r="2237" spans="1:4" x14ac:dyDescent="0.25">
      <c r="A2237"/>
      <c r="B2237"/>
      <c r="C2237"/>
      <c r="D2237"/>
    </row>
    <row r="2238" spans="1:4" x14ac:dyDescent="0.25">
      <c r="A2238"/>
      <c r="B2238"/>
      <c r="C2238"/>
      <c r="D2238"/>
    </row>
    <row r="2239" spans="1:4" x14ac:dyDescent="0.25">
      <c r="A2239"/>
      <c r="B2239"/>
      <c r="C2239"/>
      <c r="D2239"/>
    </row>
    <row r="2240" spans="1:4" x14ac:dyDescent="0.25">
      <c r="A2240"/>
      <c r="B2240"/>
      <c r="C2240"/>
      <c r="D2240"/>
    </row>
    <row r="2241" spans="1:4" x14ac:dyDescent="0.25">
      <c r="A2241"/>
      <c r="B2241"/>
      <c r="C2241"/>
      <c r="D2241"/>
    </row>
    <row r="2242" spans="1:4" x14ac:dyDescent="0.25">
      <c r="A2242"/>
      <c r="B2242"/>
      <c r="C2242"/>
      <c r="D2242"/>
    </row>
    <row r="2243" spans="1:4" x14ac:dyDescent="0.25">
      <c r="A2243"/>
      <c r="B2243"/>
      <c r="C2243"/>
      <c r="D2243"/>
    </row>
    <row r="2244" spans="1:4" x14ac:dyDescent="0.25">
      <c r="A2244"/>
      <c r="B2244"/>
      <c r="C2244"/>
      <c r="D2244"/>
    </row>
    <row r="2245" spans="1:4" x14ac:dyDescent="0.25">
      <c r="A2245"/>
      <c r="B2245"/>
      <c r="C2245"/>
      <c r="D2245"/>
    </row>
    <row r="2246" spans="1:4" x14ac:dyDescent="0.25">
      <c r="A2246"/>
      <c r="B2246"/>
      <c r="C2246"/>
      <c r="D2246"/>
    </row>
    <row r="2247" spans="1:4" x14ac:dyDescent="0.25">
      <c r="A2247"/>
      <c r="B2247"/>
      <c r="C2247"/>
      <c r="D2247"/>
    </row>
    <row r="2248" spans="1:4" x14ac:dyDescent="0.25">
      <c r="A2248"/>
      <c r="B2248"/>
      <c r="C2248"/>
      <c r="D2248"/>
    </row>
    <row r="2249" spans="1:4" x14ac:dyDescent="0.25">
      <c r="A2249"/>
      <c r="B2249"/>
      <c r="C2249"/>
      <c r="D2249"/>
    </row>
    <row r="2250" spans="1:4" x14ac:dyDescent="0.25">
      <c r="A2250"/>
      <c r="B2250"/>
      <c r="C2250"/>
      <c r="D2250"/>
    </row>
    <row r="2251" spans="1:4" x14ac:dyDescent="0.25">
      <c r="A2251"/>
      <c r="B2251"/>
      <c r="C2251"/>
      <c r="D2251"/>
    </row>
    <row r="2252" spans="1:4" x14ac:dyDescent="0.25">
      <c r="A2252"/>
      <c r="B2252"/>
      <c r="C2252"/>
      <c r="D2252"/>
    </row>
    <row r="2253" spans="1:4" x14ac:dyDescent="0.25">
      <c r="A2253"/>
      <c r="B2253"/>
      <c r="C2253"/>
      <c r="D2253"/>
    </row>
    <row r="2254" spans="1:4" x14ac:dyDescent="0.25">
      <c r="A2254"/>
      <c r="B2254"/>
      <c r="C2254"/>
      <c r="D2254"/>
    </row>
    <row r="2255" spans="1:4" x14ac:dyDescent="0.25">
      <c r="A2255"/>
      <c r="B2255"/>
      <c r="C2255"/>
      <c r="D2255"/>
    </row>
    <row r="2256" spans="1:4" x14ac:dyDescent="0.25">
      <c r="A2256"/>
      <c r="B2256"/>
      <c r="C2256"/>
      <c r="D2256"/>
    </row>
    <row r="2257" spans="1:4" x14ac:dyDescent="0.25">
      <c r="A2257"/>
      <c r="B2257"/>
      <c r="C2257"/>
      <c r="D2257"/>
    </row>
    <row r="2258" spans="1:4" x14ac:dyDescent="0.25">
      <c r="A2258"/>
      <c r="B2258"/>
      <c r="C2258"/>
      <c r="D2258"/>
    </row>
    <row r="2259" spans="1:4" x14ac:dyDescent="0.25">
      <c r="A2259"/>
      <c r="B2259"/>
      <c r="C2259"/>
      <c r="D2259"/>
    </row>
    <row r="2260" spans="1:4" x14ac:dyDescent="0.25">
      <c r="A2260"/>
      <c r="B2260"/>
      <c r="C2260"/>
      <c r="D2260"/>
    </row>
    <row r="2261" spans="1:4" x14ac:dyDescent="0.25">
      <c r="A2261"/>
      <c r="B2261"/>
      <c r="C2261"/>
      <c r="D2261"/>
    </row>
    <row r="2262" spans="1:4" x14ac:dyDescent="0.25">
      <c r="A2262"/>
      <c r="B2262"/>
      <c r="C2262"/>
      <c r="D2262"/>
    </row>
    <row r="2263" spans="1:4" x14ac:dyDescent="0.25">
      <c r="A2263"/>
      <c r="B2263"/>
      <c r="C2263"/>
      <c r="D2263"/>
    </row>
    <row r="2264" spans="1:4" x14ac:dyDescent="0.25">
      <c r="A2264"/>
      <c r="B2264"/>
      <c r="C2264"/>
      <c r="D2264"/>
    </row>
    <row r="2265" spans="1:4" x14ac:dyDescent="0.25">
      <c r="A2265"/>
      <c r="B2265"/>
      <c r="C2265"/>
      <c r="D2265"/>
    </row>
    <row r="2266" spans="1:4" x14ac:dyDescent="0.25">
      <c r="A2266"/>
      <c r="B2266"/>
      <c r="C2266"/>
      <c r="D2266"/>
    </row>
    <row r="2267" spans="1:4" x14ac:dyDescent="0.25">
      <c r="A2267"/>
      <c r="B2267"/>
      <c r="C2267"/>
      <c r="D2267"/>
    </row>
    <row r="2268" spans="1:4" x14ac:dyDescent="0.25">
      <c r="A2268"/>
      <c r="B2268"/>
      <c r="C2268"/>
      <c r="D2268"/>
    </row>
    <row r="2269" spans="1:4" x14ac:dyDescent="0.25">
      <c r="A2269"/>
      <c r="B2269"/>
      <c r="C2269"/>
      <c r="D2269"/>
    </row>
    <row r="2270" spans="1:4" x14ac:dyDescent="0.25">
      <c r="A2270"/>
      <c r="B2270"/>
      <c r="C2270"/>
      <c r="D2270"/>
    </row>
    <row r="2271" spans="1:4" x14ac:dyDescent="0.25">
      <c r="A2271"/>
      <c r="B2271"/>
      <c r="C2271"/>
      <c r="D2271"/>
    </row>
    <row r="2272" spans="1:4" x14ac:dyDescent="0.25">
      <c r="A2272"/>
      <c r="B2272"/>
      <c r="C2272"/>
      <c r="D2272"/>
    </row>
    <row r="2273" spans="1:4" x14ac:dyDescent="0.25">
      <c r="A2273"/>
      <c r="B2273"/>
      <c r="C2273"/>
      <c r="D2273"/>
    </row>
    <row r="2274" spans="1:4" x14ac:dyDescent="0.25">
      <c r="A2274"/>
      <c r="B2274"/>
      <c r="C2274"/>
      <c r="D2274"/>
    </row>
    <row r="2275" spans="1:4" x14ac:dyDescent="0.25">
      <c r="A2275"/>
      <c r="B2275"/>
      <c r="C2275"/>
      <c r="D2275"/>
    </row>
    <row r="2276" spans="1:4" x14ac:dyDescent="0.25">
      <c r="A2276"/>
      <c r="B2276"/>
      <c r="C2276"/>
      <c r="D2276"/>
    </row>
    <row r="2277" spans="1:4" x14ac:dyDescent="0.25">
      <c r="A2277"/>
      <c r="B2277"/>
      <c r="C2277"/>
      <c r="D2277"/>
    </row>
    <row r="2278" spans="1:4" x14ac:dyDescent="0.25">
      <c r="A2278"/>
      <c r="B2278"/>
      <c r="C2278"/>
      <c r="D2278"/>
    </row>
    <row r="2279" spans="1:4" x14ac:dyDescent="0.25">
      <c r="A2279"/>
      <c r="B2279"/>
      <c r="C2279"/>
      <c r="D2279"/>
    </row>
    <row r="2280" spans="1:4" x14ac:dyDescent="0.25">
      <c r="A2280"/>
      <c r="B2280"/>
      <c r="C2280"/>
      <c r="D2280"/>
    </row>
    <row r="2281" spans="1:4" x14ac:dyDescent="0.25">
      <c r="A2281"/>
      <c r="B2281"/>
      <c r="C2281"/>
      <c r="D2281"/>
    </row>
    <row r="2282" spans="1:4" x14ac:dyDescent="0.25">
      <c r="A2282"/>
      <c r="B2282"/>
      <c r="C2282"/>
      <c r="D2282"/>
    </row>
    <row r="2283" spans="1:4" x14ac:dyDescent="0.25">
      <c r="A2283"/>
      <c r="B2283"/>
      <c r="C2283"/>
      <c r="D2283"/>
    </row>
    <row r="2284" spans="1:4" x14ac:dyDescent="0.25">
      <c r="A2284"/>
      <c r="B2284"/>
      <c r="C2284"/>
      <c r="D2284"/>
    </row>
    <row r="2285" spans="1:4" x14ac:dyDescent="0.25">
      <c r="A2285"/>
      <c r="B2285"/>
      <c r="C2285"/>
      <c r="D2285"/>
    </row>
    <row r="2286" spans="1:4" x14ac:dyDescent="0.25">
      <c r="A2286"/>
      <c r="B2286"/>
      <c r="C2286"/>
      <c r="D2286"/>
    </row>
    <row r="2287" spans="1:4" x14ac:dyDescent="0.25">
      <c r="A2287"/>
      <c r="B2287"/>
      <c r="C2287"/>
      <c r="D2287"/>
    </row>
    <row r="2288" spans="1:4" x14ac:dyDescent="0.25">
      <c r="A2288"/>
      <c r="B2288"/>
      <c r="C2288"/>
      <c r="D2288"/>
    </row>
    <row r="2289" spans="1:4" x14ac:dyDescent="0.25">
      <c r="A2289"/>
      <c r="B2289"/>
      <c r="C2289"/>
      <c r="D2289"/>
    </row>
    <row r="2290" spans="1:4" x14ac:dyDescent="0.25">
      <c r="A2290"/>
      <c r="B2290"/>
      <c r="C2290"/>
      <c r="D2290"/>
    </row>
    <row r="2291" spans="1:4" x14ac:dyDescent="0.25">
      <c r="A2291"/>
      <c r="B2291"/>
      <c r="C2291"/>
      <c r="D2291"/>
    </row>
    <row r="2292" spans="1:4" x14ac:dyDescent="0.25">
      <c r="A2292"/>
      <c r="B2292"/>
      <c r="C2292"/>
      <c r="D2292"/>
    </row>
    <row r="2293" spans="1:4" x14ac:dyDescent="0.25">
      <c r="A2293"/>
      <c r="B2293"/>
      <c r="C2293"/>
      <c r="D2293"/>
    </row>
    <row r="2294" spans="1:4" x14ac:dyDescent="0.25">
      <c r="A2294"/>
      <c r="B2294"/>
      <c r="C2294"/>
      <c r="D2294"/>
    </row>
    <row r="2295" spans="1:4" x14ac:dyDescent="0.25">
      <c r="A2295"/>
      <c r="B2295"/>
      <c r="C2295"/>
      <c r="D2295"/>
    </row>
    <row r="2296" spans="1:4" x14ac:dyDescent="0.25">
      <c r="A2296"/>
      <c r="B2296"/>
      <c r="C2296"/>
      <c r="D2296"/>
    </row>
    <row r="2297" spans="1:4" x14ac:dyDescent="0.25">
      <c r="A2297"/>
      <c r="B2297"/>
      <c r="C2297"/>
      <c r="D2297"/>
    </row>
    <row r="2298" spans="1:4" x14ac:dyDescent="0.25">
      <c r="A2298"/>
      <c r="B2298"/>
      <c r="C2298"/>
      <c r="D2298"/>
    </row>
    <row r="2299" spans="1:4" x14ac:dyDescent="0.25">
      <c r="A2299"/>
      <c r="B2299"/>
      <c r="C2299"/>
      <c r="D2299"/>
    </row>
    <row r="2300" spans="1:4" x14ac:dyDescent="0.25">
      <c r="A2300"/>
      <c r="B2300"/>
      <c r="C2300"/>
      <c r="D2300"/>
    </row>
    <row r="2301" spans="1:4" x14ac:dyDescent="0.25">
      <c r="A2301"/>
      <c r="B2301"/>
      <c r="C2301"/>
      <c r="D2301"/>
    </row>
    <row r="2302" spans="1:4" x14ac:dyDescent="0.25">
      <c r="A2302"/>
      <c r="B2302"/>
      <c r="C2302"/>
      <c r="D2302"/>
    </row>
    <row r="2303" spans="1:4" x14ac:dyDescent="0.25">
      <c r="A2303"/>
      <c r="B2303"/>
      <c r="C2303"/>
      <c r="D2303"/>
    </row>
    <row r="2304" spans="1:4" x14ac:dyDescent="0.25">
      <c r="A2304"/>
      <c r="B2304"/>
      <c r="C2304"/>
      <c r="D2304"/>
    </row>
    <row r="2305" spans="1:4" x14ac:dyDescent="0.25">
      <c r="A2305"/>
      <c r="B2305"/>
      <c r="C2305"/>
      <c r="D2305"/>
    </row>
    <row r="2306" spans="1:4" x14ac:dyDescent="0.25">
      <c r="A2306"/>
      <c r="B2306"/>
      <c r="C2306"/>
      <c r="D2306"/>
    </row>
    <row r="2307" spans="1:4" x14ac:dyDescent="0.25">
      <c r="A2307"/>
      <c r="B2307"/>
      <c r="C2307"/>
      <c r="D2307"/>
    </row>
    <row r="2308" spans="1:4" x14ac:dyDescent="0.25">
      <c r="A2308"/>
      <c r="B2308"/>
      <c r="C2308"/>
      <c r="D2308"/>
    </row>
    <row r="2309" spans="1:4" x14ac:dyDescent="0.25">
      <c r="A2309"/>
      <c r="B2309"/>
      <c r="C2309"/>
      <c r="D2309"/>
    </row>
    <row r="2310" spans="1:4" x14ac:dyDescent="0.25">
      <c r="A2310"/>
      <c r="B2310"/>
      <c r="C2310"/>
      <c r="D2310"/>
    </row>
    <row r="2311" spans="1:4" x14ac:dyDescent="0.25">
      <c r="A2311"/>
      <c r="B2311"/>
      <c r="C2311"/>
      <c r="D2311"/>
    </row>
    <row r="2312" spans="1:4" x14ac:dyDescent="0.25">
      <c r="A2312"/>
      <c r="B2312"/>
      <c r="C2312"/>
      <c r="D2312"/>
    </row>
    <row r="2313" spans="1:4" x14ac:dyDescent="0.25">
      <c r="A2313"/>
      <c r="B2313"/>
      <c r="C2313"/>
      <c r="D2313"/>
    </row>
    <row r="2314" spans="1:4" x14ac:dyDescent="0.25">
      <c r="A2314"/>
      <c r="B2314"/>
      <c r="C2314"/>
      <c r="D2314"/>
    </row>
    <row r="2315" spans="1:4" x14ac:dyDescent="0.25">
      <c r="A2315"/>
      <c r="B2315"/>
      <c r="C2315"/>
      <c r="D2315"/>
    </row>
    <row r="2316" spans="1:4" x14ac:dyDescent="0.25">
      <c r="A2316"/>
      <c r="B2316"/>
      <c r="C2316"/>
      <c r="D2316"/>
    </row>
    <row r="2317" spans="1:4" x14ac:dyDescent="0.25">
      <c r="A2317"/>
      <c r="B2317"/>
      <c r="C2317"/>
      <c r="D2317"/>
    </row>
    <row r="2318" spans="1:4" x14ac:dyDescent="0.25">
      <c r="A2318"/>
      <c r="B2318"/>
      <c r="C2318"/>
      <c r="D2318"/>
    </row>
    <row r="2319" spans="1:4" x14ac:dyDescent="0.25">
      <c r="A2319"/>
      <c r="B2319"/>
      <c r="C2319"/>
      <c r="D2319"/>
    </row>
    <row r="2320" spans="1:4" x14ac:dyDescent="0.25">
      <c r="A2320"/>
      <c r="B2320"/>
      <c r="C2320"/>
      <c r="D2320"/>
    </row>
    <row r="2321" spans="1:4" x14ac:dyDescent="0.25">
      <c r="A2321"/>
      <c r="B2321"/>
      <c r="C2321"/>
      <c r="D2321"/>
    </row>
    <row r="2322" spans="1:4" x14ac:dyDescent="0.25">
      <c r="A2322"/>
      <c r="B2322"/>
      <c r="C2322"/>
      <c r="D2322"/>
    </row>
    <row r="2323" spans="1:4" x14ac:dyDescent="0.25">
      <c r="A2323"/>
      <c r="B2323"/>
      <c r="C2323"/>
      <c r="D2323"/>
    </row>
    <row r="2324" spans="1:4" x14ac:dyDescent="0.25">
      <c r="A2324"/>
      <c r="B2324"/>
      <c r="C2324"/>
      <c r="D2324"/>
    </row>
    <row r="2325" spans="1:4" x14ac:dyDescent="0.25">
      <c r="A2325"/>
      <c r="B2325"/>
      <c r="C2325"/>
      <c r="D2325"/>
    </row>
    <row r="2326" spans="1:4" x14ac:dyDescent="0.25">
      <c r="A2326"/>
      <c r="B2326"/>
      <c r="C2326"/>
      <c r="D2326"/>
    </row>
    <row r="2327" spans="1:4" x14ac:dyDescent="0.25">
      <c r="A2327"/>
      <c r="B2327"/>
      <c r="C2327"/>
      <c r="D2327"/>
    </row>
    <row r="2328" spans="1:4" x14ac:dyDescent="0.25">
      <c r="A2328"/>
      <c r="B2328"/>
      <c r="C2328"/>
      <c r="D2328"/>
    </row>
    <row r="2329" spans="1:4" x14ac:dyDescent="0.25">
      <c r="A2329"/>
      <c r="B2329"/>
      <c r="C2329"/>
      <c r="D2329"/>
    </row>
    <row r="2330" spans="1:4" x14ac:dyDescent="0.25">
      <c r="A2330"/>
      <c r="B2330"/>
      <c r="C2330"/>
      <c r="D2330"/>
    </row>
    <row r="2331" spans="1:4" x14ac:dyDescent="0.25">
      <c r="A2331"/>
      <c r="B2331"/>
      <c r="C2331"/>
      <c r="D2331"/>
    </row>
    <row r="2332" spans="1:4" x14ac:dyDescent="0.25">
      <c r="A2332"/>
      <c r="B2332"/>
      <c r="C2332"/>
      <c r="D2332"/>
    </row>
    <row r="2333" spans="1:4" x14ac:dyDescent="0.25">
      <c r="A2333"/>
      <c r="B2333"/>
      <c r="C2333"/>
      <c r="D2333"/>
    </row>
    <row r="2334" spans="1:4" x14ac:dyDescent="0.25">
      <c r="A2334"/>
      <c r="B2334"/>
      <c r="C2334"/>
      <c r="D2334"/>
    </row>
    <row r="2335" spans="1:4" x14ac:dyDescent="0.25">
      <c r="A2335"/>
      <c r="B2335"/>
      <c r="C2335"/>
      <c r="D2335"/>
    </row>
    <row r="2336" spans="1:4" x14ac:dyDescent="0.25">
      <c r="A2336"/>
      <c r="B2336"/>
      <c r="C2336"/>
      <c r="D2336"/>
    </row>
    <row r="2337" spans="1:4" x14ac:dyDescent="0.25">
      <c r="A2337"/>
      <c r="B2337"/>
      <c r="C2337"/>
      <c r="D2337"/>
    </row>
    <row r="2338" spans="1:4" x14ac:dyDescent="0.25">
      <c r="A2338"/>
      <c r="B2338"/>
      <c r="C2338"/>
      <c r="D2338"/>
    </row>
    <row r="2339" spans="1:4" x14ac:dyDescent="0.25">
      <c r="A2339"/>
      <c r="B2339"/>
      <c r="C2339"/>
      <c r="D2339"/>
    </row>
    <row r="2340" spans="1:4" x14ac:dyDescent="0.25">
      <c r="A2340"/>
      <c r="B2340"/>
      <c r="C2340"/>
      <c r="D2340"/>
    </row>
    <row r="2341" spans="1:4" x14ac:dyDescent="0.25">
      <c r="A2341"/>
      <c r="B2341"/>
      <c r="C2341"/>
      <c r="D2341"/>
    </row>
    <row r="2342" spans="1:4" x14ac:dyDescent="0.25">
      <c r="A2342"/>
      <c r="B2342"/>
      <c r="C2342"/>
      <c r="D2342"/>
    </row>
    <row r="2343" spans="1:4" x14ac:dyDescent="0.25">
      <c r="A2343"/>
      <c r="B2343"/>
      <c r="C2343"/>
      <c r="D2343"/>
    </row>
    <row r="2344" spans="1:4" x14ac:dyDescent="0.25">
      <c r="A2344"/>
      <c r="B2344"/>
      <c r="C2344"/>
      <c r="D2344"/>
    </row>
    <row r="2345" spans="1:4" x14ac:dyDescent="0.25">
      <c r="A2345"/>
      <c r="B2345"/>
      <c r="C2345"/>
      <c r="D2345"/>
    </row>
    <row r="2346" spans="1:4" x14ac:dyDescent="0.25">
      <c r="A2346"/>
      <c r="B2346"/>
      <c r="C2346"/>
      <c r="D2346"/>
    </row>
    <row r="2347" spans="1:4" x14ac:dyDescent="0.25">
      <c r="A2347"/>
      <c r="B2347"/>
      <c r="C2347"/>
      <c r="D2347"/>
    </row>
    <row r="2348" spans="1:4" x14ac:dyDescent="0.25">
      <c r="A2348"/>
      <c r="B2348"/>
      <c r="C2348"/>
      <c r="D2348"/>
    </row>
    <row r="2349" spans="1:4" x14ac:dyDescent="0.25">
      <c r="A2349"/>
      <c r="B2349"/>
      <c r="C2349"/>
      <c r="D2349"/>
    </row>
    <row r="2350" spans="1:4" x14ac:dyDescent="0.25">
      <c r="A2350"/>
      <c r="B2350"/>
      <c r="C2350"/>
      <c r="D2350"/>
    </row>
    <row r="2351" spans="1:4" x14ac:dyDescent="0.25">
      <c r="A2351"/>
      <c r="B2351"/>
      <c r="C2351"/>
      <c r="D2351"/>
    </row>
    <row r="2352" spans="1:4" x14ac:dyDescent="0.25">
      <c r="A2352"/>
      <c r="B2352"/>
      <c r="C2352"/>
      <c r="D2352"/>
    </row>
    <row r="2353" spans="1:4" x14ac:dyDescent="0.25">
      <c r="A2353"/>
      <c r="B2353"/>
      <c r="C2353"/>
      <c r="D2353"/>
    </row>
    <row r="2354" spans="1:4" x14ac:dyDescent="0.25">
      <c r="A2354"/>
      <c r="B2354"/>
      <c r="C2354"/>
      <c r="D2354"/>
    </row>
    <row r="2355" spans="1:4" x14ac:dyDescent="0.25">
      <c r="A2355"/>
      <c r="B2355"/>
      <c r="C2355"/>
      <c r="D2355"/>
    </row>
    <row r="2356" spans="1:4" x14ac:dyDescent="0.25">
      <c r="A2356"/>
      <c r="B2356"/>
      <c r="C2356"/>
      <c r="D2356"/>
    </row>
    <row r="2357" spans="1:4" x14ac:dyDescent="0.25">
      <c r="A2357"/>
      <c r="B2357"/>
      <c r="C2357"/>
      <c r="D2357"/>
    </row>
    <row r="2358" spans="1:4" x14ac:dyDescent="0.25">
      <c r="A2358"/>
      <c r="B2358"/>
      <c r="C2358"/>
      <c r="D2358"/>
    </row>
    <row r="2359" spans="1:4" x14ac:dyDescent="0.25">
      <c r="A2359"/>
      <c r="B2359"/>
      <c r="C2359"/>
      <c r="D2359"/>
    </row>
    <row r="2360" spans="1:4" x14ac:dyDescent="0.25">
      <c r="A2360"/>
      <c r="B2360"/>
      <c r="C2360"/>
      <c r="D2360"/>
    </row>
    <row r="2361" spans="1:4" x14ac:dyDescent="0.25">
      <c r="A2361"/>
      <c r="B2361"/>
      <c r="C2361"/>
      <c r="D2361"/>
    </row>
    <row r="2362" spans="1:4" x14ac:dyDescent="0.25">
      <c r="A2362"/>
      <c r="B2362"/>
      <c r="C2362"/>
      <c r="D2362"/>
    </row>
    <row r="2363" spans="1:4" x14ac:dyDescent="0.25">
      <c r="A2363"/>
      <c r="B2363"/>
      <c r="C2363"/>
      <c r="D2363"/>
    </row>
    <row r="2364" spans="1:4" x14ac:dyDescent="0.25">
      <c r="A2364"/>
      <c r="B2364"/>
      <c r="C2364"/>
      <c r="D2364"/>
    </row>
    <row r="2365" spans="1:4" x14ac:dyDescent="0.25">
      <c r="A2365"/>
      <c r="B2365"/>
      <c r="C2365"/>
      <c r="D2365"/>
    </row>
    <row r="2366" spans="1:4" x14ac:dyDescent="0.25">
      <c r="A2366"/>
      <c r="B2366"/>
      <c r="C2366"/>
      <c r="D2366"/>
    </row>
    <row r="2367" spans="1:4" x14ac:dyDescent="0.25">
      <c r="A2367"/>
      <c r="B2367"/>
      <c r="C2367"/>
      <c r="D2367"/>
    </row>
    <row r="2368" spans="1:4" x14ac:dyDescent="0.25">
      <c r="A2368"/>
      <c r="B2368"/>
      <c r="C2368"/>
      <c r="D2368"/>
    </row>
    <row r="2369" spans="1:4" x14ac:dyDescent="0.25">
      <c r="A2369"/>
      <c r="B2369"/>
      <c r="C2369"/>
      <c r="D2369"/>
    </row>
    <row r="2370" spans="1:4" x14ac:dyDescent="0.25">
      <c r="A2370"/>
      <c r="B2370"/>
      <c r="C2370"/>
      <c r="D2370"/>
    </row>
    <row r="2371" spans="1:4" x14ac:dyDescent="0.25">
      <c r="A2371"/>
      <c r="B2371"/>
      <c r="C2371"/>
      <c r="D2371"/>
    </row>
    <row r="2372" spans="1:4" x14ac:dyDescent="0.25">
      <c r="A2372"/>
      <c r="B2372"/>
      <c r="C2372"/>
      <c r="D2372"/>
    </row>
    <row r="2373" spans="1:4" x14ac:dyDescent="0.25">
      <c r="A2373"/>
      <c r="B2373"/>
      <c r="C2373"/>
      <c r="D2373"/>
    </row>
    <row r="2374" spans="1:4" x14ac:dyDescent="0.25">
      <c r="A2374"/>
      <c r="B2374"/>
      <c r="C2374"/>
      <c r="D2374"/>
    </row>
    <row r="2375" spans="1:4" x14ac:dyDescent="0.25">
      <c r="A2375"/>
      <c r="B2375"/>
      <c r="C2375"/>
      <c r="D2375"/>
    </row>
    <row r="2376" spans="1:4" x14ac:dyDescent="0.25">
      <c r="A2376"/>
      <c r="B2376"/>
      <c r="C2376"/>
      <c r="D2376"/>
    </row>
    <row r="2377" spans="1:4" x14ac:dyDescent="0.25">
      <c r="A2377"/>
      <c r="B2377"/>
      <c r="C2377"/>
      <c r="D2377"/>
    </row>
    <row r="2378" spans="1:4" x14ac:dyDescent="0.25">
      <c r="A2378"/>
      <c r="B2378"/>
      <c r="C2378"/>
      <c r="D2378"/>
    </row>
    <row r="2379" spans="1:4" x14ac:dyDescent="0.25">
      <c r="A2379"/>
      <c r="B2379"/>
      <c r="C2379"/>
      <c r="D2379"/>
    </row>
    <row r="2380" spans="1:4" x14ac:dyDescent="0.25">
      <c r="A2380"/>
      <c r="B2380"/>
      <c r="C2380"/>
      <c r="D2380"/>
    </row>
    <row r="2381" spans="1:4" x14ac:dyDescent="0.25">
      <c r="A2381"/>
      <c r="B2381"/>
      <c r="C2381"/>
      <c r="D2381"/>
    </row>
    <row r="2382" spans="1:4" x14ac:dyDescent="0.25">
      <c r="A2382"/>
      <c r="B2382"/>
      <c r="C2382"/>
      <c r="D2382"/>
    </row>
    <row r="2383" spans="1:4" x14ac:dyDescent="0.25">
      <c r="A2383"/>
      <c r="B2383"/>
      <c r="C2383"/>
      <c r="D2383"/>
    </row>
    <row r="2384" spans="1:4" x14ac:dyDescent="0.25">
      <c r="A2384"/>
      <c r="B2384"/>
      <c r="C2384"/>
      <c r="D2384"/>
    </row>
    <row r="2385" spans="1:4" x14ac:dyDescent="0.25">
      <c r="A2385"/>
      <c r="B2385"/>
      <c r="C2385"/>
      <c r="D2385"/>
    </row>
    <row r="2386" spans="1:4" x14ac:dyDescent="0.25">
      <c r="A2386"/>
      <c r="B2386"/>
      <c r="C2386"/>
      <c r="D2386"/>
    </row>
    <row r="2387" spans="1:4" x14ac:dyDescent="0.25">
      <c r="A2387"/>
      <c r="B2387"/>
      <c r="C2387"/>
      <c r="D2387"/>
    </row>
    <row r="2388" spans="1:4" x14ac:dyDescent="0.25">
      <c r="A2388"/>
      <c r="B2388"/>
      <c r="C2388"/>
      <c r="D2388"/>
    </row>
    <row r="2389" spans="1:4" x14ac:dyDescent="0.25">
      <c r="A2389"/>
      <c r="B2389"/>
      <c r="C2389"/>
      <c r="D2389"/>
    </row>
    <row r="2390" spans="1:4" x14ac:dyDescent="0.25">
      <c r="A2390"/>
      <c r="B2390"/>
      <c r="C2390"/>
      <c r="D2390"/>
    </row>
    <row r="2391" spans="1:4" x14ac:dyDescent="0.25">
      <c r="A2391"/>
      <c r="B2391"/>
      <c r="C2391"/>
      <c r="D2391"/>
    </row>
    <row r="2392" spans="1:4" x14ac:dyDescent="0.25">
      <c r="A2392"/>
      <c r="B2392"/>
      <c r="C2392"/>
      <c r="D2392"/>
    </row>
    <row r="2393" spans="1:4" x14ac:dyDescent="0.25">
      <c r="A2393"/>
      <c r="B2393"/>
      <c r="C2393"/>
      <c r="D2393"/>
    </row>
    <row r="2394" spans="1:4" x14ac:dyDescent="0.25">
      <c r="A2394"/>
      <c r="B2394"/>
      <c r="C2394"/>
      <c r="D2394"/>
    </row>
    <row r="2395" spans="1:4" x14ac:dyDescent="0.25">
      <c r="A2395"/>
      <c r="B2395"/>
      <c r="C2395"/>
      <c r="D2395"/>
    </row>
    <row r="2396" spans="1:4" x14ac:dyDescent="0.25">
      <c r="A2396"/>
      <c r="B2396"/>
      <c r="C2396"/>
      <c r="D2396"/>
    </row>
    <row r="2397" spans="1:4" x14ac:dyDescent="0.25">
      <c r="A2397"/>
      <c r="B2397"/>
      <c r="C2397"/>
      <c r="D2397"/>
    </row>
    <row r="2398" spans="1:4" x14ac:dyDescent="0.25">
      <c r="A2398"/>
      <c r="B2398"/>
      <c r="C2398"/>
      <c r="D2398"/>
    </row>
    <row r="2399" spans="1:4" x14ac:dyDescent="0.25">
      <c r="A2399"/>
      <c r="B2399"/>
      <c r="C2399"/>
      <c r="D2399"/>
    </row>
    <row r="2400" spans="1:4" x14ac:dyDescent="0.25">
      <c r="A2400"/>
      <c r="B2400"/>
      <c r="C2400"/>
      <c r="D2400"/>
    </row>
    <row r="2401" spans="1:4" x14ac:dyDescent="0.25">
      <c r="A2401"/>
      <c r="B2401"/>
      <c r="C2401"/>
      <c r="D2401"/>
    </row>
    <row r="2402" spans="1:4" x14ac:dyDescent="0.25">
      <c r="A2402"/>
      <c r="B2402"/>
      <c r="C2402"/>
      <c r="D2402"/>
    </row>
    <row r="2403" spans="1:4" x14ac:dyDescent="0.25">
      <c r="A2403"/>
      <c r="B2403"/>
      <c r="C2403"/>
      <c r="D2403"/>
    </row>
    <row r="2404" spans="1:4" x14ac:dyDescent="0.25">
      <c r="A2404"/>
      <c r="B2404"/>
      <c r="C2404"/>
      <c r="D2404"/>
    </row>
    <row r="2405" spans="1:4" x14ac:dyDescent="0.25">
      <c r="A2405"/>
      <c r="B2405"/>
      <c r="C2405"/>
      <c r="D2405"/>
    </row>
    <row r="2406" spans="1:4" x14ac:dyDescent="0.25">
      <c r="A2406"/>
      <c r="B2406"/>
      <c r="C2406"/>
      <c r="D2406"/>
    </row>
    <row r="2407" spans="1:4" x14ac:dyDescent="0.25">
      <c r="A2407"/>
      <c r="B2407"/>
      <c r="C2407"/>
      <c r="D2407"/>
    </row>
    <row r="2408" spans="1:4" x14ac:dyDescent="0.25">
      <c r="A2408"/>
      <c r="B2408"/>
      <c r="C2408"/>
      <c r="D2408"/>
    </row>
    <row r="2409" spans="1:4" x14ac:dyDescent="0.25">
      <c r="A2409"/>
      <c r="B2409"/>
      <c r="C2409"/>
      <c r="D2409"/>
    </row>
    <row r="2410" spans="1:4" x14ac:dyDescent="0.25">
      <c r="A2410"/>
      <c r="B2410"/>
      <c r="C2410"/>
      <c r="D2410"/>
    </row>
    <row r="2411" spans="1:4" x14ac:dyDescent="0.25">
      <c r="A2411"/>
      <c r="B2411"/>
      <c r="C2411"/>
      <c r="D2411"/>
    </row>
    <row r="2412" spans="1:4" x14ac:dyDescent="0.25">
      <c r="A2412"/>
      <c r="B2412"/>
      <c r="C2412"/>
      <c r="D2412"/>
    </row>
    <row r="2413" spans="1:4" x14ac:dyDescent="0.25">
      <c r="A2413"/>
      <c r="B2413"/>
      <c r="C2413"/>
      <c r="D2413"/>
    </row>
    <row r="2414" spans="1:4" x14ac:dyDescent="0.25">
      <c r="A2414"/>
      <c r="B2414"/>
      <c r="C2414"/>
      <c r="D2414"/>
    </row>
    <row r="2415" spans="1:4" x14ac:dyDescent="0.25">
      <c r="A2415"/>
      <c r="B2415"/>
      <c r="C2415"/>
      <c r="D2415"/>
    </row>
    <row r="2416" spans="1:4" x14ac:dyDescent="0.25">
      <c r="A2416"/>
      <c r="B2416"/>
      <c r="C2416"/>
      <c r="D2416"/>
    </row>
    <row r="2417" spans="1:4" x14ac:dyDescent="0.25">
      <c r="A2417"/>
      <c r="B2417"/>
      <c r="C2417"/>
      <c r="D2417"/>
    </row>
    <row r="2418" spans="1:4" x14ac:dyDescent="0.25">
      <c r="A2418"/>
      <c r="B2418"/>
      <c r="C2418"/>
      <c r="D2418"/>
    </row>
    <row r="2419" spans="1:4" x14ac:dyDescent="0.25">
      <c r="A2419"/>
      <c r="B2419"/>
      <c r="C2419"/>
      <c r="D2419"/>
    </row>
    <row r="2420" spans="1:4" x14ac:dyDescent="0.25">
      <c r="A2420"/>
      <c r="B2420"/>
      <c r="C2420"/>
      <c r="D2420"/>
    </row>
    <row r="2421" spans="1:4" x14ac:dyDescent="0.25">
      <c r="A2421"/>
      <c r="B2421"/>
      <c r="C2421"/>
      <c r="D2421"/>
    </row>
    <row r="2422" spans="1:4" x14ac:dyDescent="0.25">
      <c r="A2422"/>
      <c r="B2422"/>
      <c r="C2422"/>
      <c r="D2422"/>
    </row>
    <row r="2423" spans="1:4" x14ac:dyDescent="0.25">
      <c r="A2423"/>
      <c r="B2423"/>
      <c r="C2423"/>
      <c r="D2423"/>
    </row>
    <row r="2424" spans="1:4" x14ac:dyDescent="0.25">
      <c r="A2424"/>
      <c r="B2424"/>
      <c r="C2424"/>
      <c r="D2424"/>
    </row>
    <row r="2425" spans="1:4" x14ac:dyDescent="0.25">
      <c r="A2425"/>
      <c r="B2425"/>
      <c r="C2425"/>
      <c r="D2425"/>
    </row>
    <row r="2426" spans="1:4" x14ac:dyDescent="0.25">
      <c r="A2426"/>
      <c r="B2426"/>
      <c r="C2426"/>
      <c r="D2426"/>
    </row>
    <row r="2427" spans="1:4" x14ac:dyDescent="0.25">
      <c r="A2427"/>
      <c r="B2427"/>
      <c r="C2427"/>
      <c r="D2427"/>
    </row>
    <row r="2428" spans="1:4" x14ac:dyDescent="0.25">
      <c r="A2428"/>
      <c r="B2428"/>
      <c r="C2428"/>
      <c r="D2428"/>
    </row>
    <row r="2429" spans="1:4" x14ac:dyDescent="0.25">
      <c r="A2429"/>
      <c r="B2429"/>
      <c r="C2429"/>
      <c r="D2429"/>
    </row>
    <row r="2430" spans="1:4" x14ac:dyDescent="0.25">
      <c r="A2430"/>
      <c r="B2430"/>
      <c r="C2430"/>
      <c r="D2430"/>
    </row>
    <row r="2431" spans="1:4" x14ac:dyDescent="0.25">
      <c r="A2431"/>
      <c r="B2431"/>
      <c r="C2431"/>
      <c r="D2431"/>
    </row>
    <row r="2432" spans="1:4" x14ac:dyDescent="0.25">
      <c r="A2432"/>
      <c r="B2432"/>
      <c r="C2432"/>
      <c r="D2432"/>
    </row>
    <row r="2433" spans="1:4" x14ac:dyDescent="0.25">
      <c r="A2433"/>
      <c r="B2433"/>
      <c r="C2433"/>
      <c r="D2433"/>
    </row>
    <row r="2434" spans="1:4" x14ac:dyDescent="0.25">
      <c r="A2434"/>
      <c r="B2434"/>
      <c r="C2434"/>
      <c r="D2434"/>
    </row>
    <row r="2435" spans="1:4" x14ac:dyDescent="0.25">
      <c r="A2435"/>
      <c r="B2435"/>
      <c r="C2435"/>
      <c r="D2435"/>
    </row>
    <row r="2436" spans="1:4" x14ac:dyDescent="0.25">
      <c r="A2436"/>
      <c r="B2436"/>
      <c r="C2436"/>
      <c r="D2436"/>
    </row>
    <row r="2437" spans="1:4" x14ac:dyDescent="0.25">
      <c r="A2437"/>
      <c r="B2437"/>
      <c r="C2437"/>
      <c r="D2437"/>
    </row>
    <row r="2438" spans="1:4" x14ac:dyDescent="0.25">
      <c r="A2438"/>
      <c r="B2438"/>
      <c r="C2438"/>
      <c r="D2438"/>
    </row>
    <row r="2439" spans="1:4" x14ac:dyDescent="0.25">
      <c r="A2439"/>
      <c r="B2439"/>
      <c r="C2439"/>
      <c r="D2439"/>
    </row>
    <row r="2440" spans="1:4" x14ac:dyDescent="0.25">
      <c r="A2440"/>
      <c r="B2440"/>
      <c r="C2440"/>
      <c r="D2440"/>
    </row>
    <row r="2441" spans="1:4" x14ac:dyDescent="0.25">
      <c r="A2441"/>
      <c r="B2441"/>
      <c r="C2441"/>
      <c r="D2441"/>
    </row>
    <row r="2442" spans="1:4" x14ac:dyDescent="0.25">
      <c r="A2442"/>
      <c r="B2442"/>
      <c r="C2442"/>
      <c r="D2442"/>
    </row>
    <row r="2443" spans="1:4" x14ac:dyDescent="0.25">
      <c r="A2443"/>
      <c r="B2443"/>
      <c r="C2443"/>
      <c r="D2443"/>
    </row>
    <row r="2444" spans="1:4" x14ac:dyDescent="0.25">
      <c r="A2444"/>
      <c r="B2444"/>
      <c r="C2444"/>
      <c r="D2444"/>
    </row>
    <row r="2445" spans="1:4" x14ac:dyDescent="0.25">
      <c r="A2445"/>
      <c r="B2445"/>
      <c r="C2445"/>
      <c r="D2445"/>
    </row>
    <row r="2446" spans="1:4" x14ac:dyDescent="0.25">
      <c r="A2446"/>
      <c r="B2446"/>
      <c r="C2446"/>
      <c r="D2446"/>
    </row>
    <row r="2447" spans="1:4" x14ac:dyDescent="0.25">
      <c r="A2447"/>
      <c r="B2447"/>
      <c r="C2447"/>
      <c r="D2447"/>
    </row>
    <row r="2448" spans="1:4" x14ac:dyDescent="0.25">
      <c r="A2448"/>
      <c r="B2448"/>
      <c r="C2448"/>
      <c r="D2448"/>
    </row>
    <row r="2449" spans="1:4" x14ac:dyDescent="0.25">
      <c r="A2449"/>
      <c r="B2449"/>
      <c r="C2449"/>
      <c r="D2449"/>
    </row>
    <row r="2450" spans="1:4" x14ac:dyDescent="0.25">
      <c r="A2450"/>
      <c r="B2450"/>
      <c r="C2450"/>
      <c r="D2450"/>
    </row>
    <row r="2451" spans="1:4" x14ac:dyDescent="0.25">
      <c r="A2451"/>
      <c r="B2451"/>
      <c r="C2451"/>
      <c r="D2451"/>
    </row>
    <row r="2452" spans="1:4" x14ac:dyDescent="0.25">
      <c r="A2452"/>
      <c r="B2452"/>
      <c r="C2452"/>
      <c r="D2452"/>
    </row>
    <row r="2453" spans="1:4" x14ac:dyDescent="0.25">
      <c r="A2453"/>
      <c r="B2453"/>
      <c r="C2453"/>
      <c r="D2453"/>
    </row>
    <row r="2454" spans="1:4" x14ac:dyDescent="0.25">
      <c r="A2454"/>
      <c r="B2454"/>
      <c r="C2454"/>
      <c r="D2454"/>
    </row>
    <row r="2455" spans="1:4" x14ac:dyDescent="0.25">
      <c r="A2455"/>
      <c r="B2455"/>
      <c r="C2455"/>
      <c r="D2455"/>
    </row>
    <row r="2456" spans="1:4" x14ac:dyDescent="0.25">
      <c r="A2456"/>
      <c r="B2456"/>
      <c r="C2456"/>
      <c r="D2456"/>
    </row>
    <row r="2457" spans="1:4" x14ac:dyDescent="0.25">
      <c r="A2457"/>
      <c r="B2457"/>
      <c r="C2457"/>
      <c r="D2457"/>
    </row>
    <row r="2458" spans="1:4" x14ac:dyDescent="0.25">
      <c r="A2458"/>
      <c r="B2458"/>
      <c r="C2458"/>
      <c r="D2458"/>
    </row>
    <row r="2459" spans="1:4" x14ac:dyDescent="0.25">
      <c r="A2459"/>
      <c r="B2459"/>
      <c r="C2459"/>
      <c r="D2459"/>
    </row>
    <row r="2460" spans="1:4" x14ac:dyDescent="0.25">
      <c r="A2460"/>
      <c r="B2460"/>
      <c r="C2460"/>
      <c r="D2460"/>
    </row>
    <row r="2461" spans="1:4" x14ac:dyDescent="0.25">
      <c r="A2461"/>
      <c r="B2461"/>
      <c r="C2461"/>
      <c r="D2461"/>
    </row>
    <row r="2462" spans="1:4" x14ac:dyDescent="0.25">
      <c r="A2462"/>
      <c r="B2462"/>
      <c r="C2462"/>
      <c r="D2462"/>
    </row>
    <row r="2463" spans="1:4" x14ac:dyDescent="0.25">
      <c r="A2463"/>
      <c r="B2463"/>
      <c r="C2463"/>
      <c r="D2463"/>
    </row>
    <row r="2464" spans="1:4" x14ac:dyDescent="0.25">
      <c r="A2464"/>
      <c r="B2464"/>
      <c r="C2464"/>
      <c r="D2464"/>
    </row>
    <row r="2465" spans="1:4" x14ac:dyDescent="0.25">
      <c r="A2465"/>
      <c r="B2465"/>
      <c r="C2465"/>
      <c r="D2465"/>
    </row>
    <row r="2466" spans="1:4" x14ac:dyDescent="0.25">
      <c r="A2466"/>
      <c r="B2466"/>
      <c r="C2466"/>
      <c r="D2466"/>
    </row>
    <row r="2467" spans="1:4" x14ac:dyDescent="0.25">
      <c r="A2467"/>
      <c r="B2467"/>
      <c r="C2467"/>
      <c r="D2467"/>
    </row>
    <row r="2468" spans="1:4" x14ac:dyDescent="0.25">
      <c r="A2468"/>
      <c r="B2468"/>
      <c r="C2468"/>
      <c r="D2468"/>
    </row>
    <row r="2469" spans="1:4" x14ac:dyDescent="0.25">
      <c r="A2469"/>
      <c r="B2469"/>
      <c r="C2469"/>
      <c r="D2469"/>
    </row>
    <row r="2470" spans="1:4" x14ac:dyDescent="0.25">
      <c r="A2470"/>
      <c r="B2470"/>
      <c r="C2470"/>
      <c r="D2470"/>
    </row>
    <row r="2471" spans="1:4" x14ac:dyDescent="0.25">
      <c r="A2471"/>
      <c r="B2471"/>
      <c r="C2471"/>
      <c r="D2471"/>
    </row>
    <row r="2472" spans="1:4" x14ac:dyDescent="0.25">
      <c r="A2472"/>
      <c r="B2472"/>
      <c r="C2472"/>
      <c r="D2472"/>
    </row>
    <row r="2473" spans="1:4" x14ac:dyDescent="0.25">
      <c r="A2473"/>
      <c r="B2473"/>
      <c r="C2473"/>
      <c r="D2473"/>
    </row>
    <row r="2474" spans="1:4" x14ac:dyDescent="0.25">
      <c r="A2474"/>
      <c r="B2474"/>
      <c r="C2474"/>
      <c r="D2474"/>
    </row>
    <row r="2475" spans="1:4" x14ac:dyDescent="0.25">
      <c r="A2475"/>
      <c r="B2475"/>
      <c r="C2475"/>
      <c r="D2475"/>
    </row>
    <row r="2476" spans="1:4" x14ac:dyDescent="0.25">
      <c r="A2476"/>
      <c r="B2476"/>
      <c r="C2476"/>
      <c r="D2476"/>
    </row>
    <row r="2477" spans="1:4" x14ac:dyDescent="0.25">
      <c r="A2477"/>
      <c r="B2477"/>
      <c r="C2477"/>
      <c r="D2477"/>
    </row>
    <row r="2478" spans="1:4" x14ac:dyDescent="0.25">
      <c r="A2478"/>
      <c r="B2478"/>
      <c r="C2478"/>
      <c r="D2478"/>
    </row>
    <row r="2479" spans="1:4" x14ac:dyDescent="0.25">
      <c r="A2479"/>
      <c r="B2479"/>
      <c r="C2479"/>
      <c r="D2479"/>
    </row>
    <row r="2480" spans="1:4" x14ac:dyDescent="0.25">
      <c r="A2480"/>
      <c r="B2480"/>
      <c r="C2480"/>
      <c r="D2480"/>
    </row>
    <row r="2481" spans="1:4" x14ac:dyDescent="0.25">
      <c r="A2481"/>
      <c r="B2481"/>
      <c r="C2481"/>
      <c r="D2481"/>
    </row>
    <row r="2482" spans="1:4" x14ac:dyDescent="0.25">
      <c r="A2482"/>
      <c r="B2482"/>
      <c r="C2482"/>
      <c r="D2482"/>
    </row>
    <row r="2483" spans="1:4" x14ac:dyDescent="0.25">
      <c r="A2483"/>
      <c r="B2483"/>
      <c r="C2483"/>
      <c r="D2483"/>
    </row>
    <row r="2484" spans="1:4" x14ac:dyDescent="0.25">
      <c r="A2484"/>
      <c r="B2484"/>
      <c r="C2484"/>
      <c r="D2484"/>
    </row>
    <row r="2485" spans="1:4" x14ac:dyDescent="0.25">
      <c r="A2485"/>
      <c r="B2485"/>
      <c r="C2485"/>
      <c r="D2485"/>
    </row>
    <row r="2486" spans="1:4" x14ac:dyDescent="0.25">
      <c r="A2486"/>
      <c r="B2486"/>
      <c r="C2486"/>
      <c r="D2486"/>
    </row>
    <row r="2487" spans="1:4" x14ac:dyDescent="0.25">
      <c r="A2487"/>
      <c r="B2487"/>
      <c r="C2487"/>
      <c r="D2487"/>
    </row>
    <row r="2488" spans="1:4" x14ac:dyDescent="0.25">
      <c r="A2488"/>
      <c r="B2488"/>
      <c r="C2488"/>
      <c r="D2488"/>
    </row>
    <row r="2489" spans="1:4" x14ac:dyDescent="0.25">
      <c r="A2489"/>
      <c r="B2489"/>
      <c r="C2489"/>
      <c r="D2489"/>
    </row>
    <row r="2490" spans="1:4" x14ac:dyDescent="0.25">
      <c r="A2490"/>
      <c r="B2490"/>
      <c r="C2490"/>
      <c r="D2490"/>
    </row>
    <row r="2491" spans="1:4" x14ac:dyDescent="0.25">
      <c r="A2491"/>
      <c r="B2491"/>
      <c r="C2491"/>
      <c r="D2491"/>
    </row>
    <row r="2492" spans="1:4" x14ac:dyDescent="0.25">
      <c r="A2492"/>
      <c r="B2492"/>
      <c r="C2492"/>
      <c r="D2492"/>
    </row>
    <row r="2493" spans="1:4" x14ac:dyDescent="0.25">
      <c r="A2493"/>
      <c r="B2493"/>
      <c r="C2493"/>
      <c r="D2493"/>
    </row>
    <row r="2494" spans="1:4" x14ac:dyDescent="0.25">
      <c r="A2494"/>
      <c r="B2494"/>
      <c r="C2494"/>
      <c r="D2494"/>
    </row>
    <row r="2495" spans="1:4" x14ac:dyDescent="0.25">
      <c r="A2495"/>
      <c r="B2495"/>
      <c r="C2495"/>
      <c r="D2495"/>
    </row>
    <row r="2496" spans="1:4" x14ac:dyDescent="0.25">
      <c r="A2496"/>
      <c r="B2496"/>
      <c r="C2496"/>
      <c r="D2496"/>
    </row>
    <row r="2497" spans="1:4" x14ac:dyDescent="0.25">
      <c r="A2497"/>
      <c r="B2497"/>
      <c r="C2497"/>
      <c r="D2497"/>
    </row>
    <row r="2498" spans="1:4" x14ac:dyDescent="0.25">
      <c r="A2498"/>
      <c r="B2498"/>
      <c r="C2498"/>
      <c r="D2498"/>
    </row>
    <row r="2499" spans="1:4" x14ac:dyDescent="0.25">
      <c r="A2499"/>
      <c r="B2499"/>
      <c r="C2499"/>
      <c r="D2499"/>
    </row>
    <row r="2500" spans="1:4" x14ac:dyDescent="0.25">
      <c r="A2500"/>
      <c r="B2500"/>
      <c r="C2500"/>
      <c r="D2500"/>
    </row>
    <row r="2501" spans="1:4" x14ac:dyDescent="0.25">
      <c r="A2501"/>
      <c r="B2501"/>
      <c r="C2501"/>
      <c r="D2501"/>
    </row>
    <row r="2502" spans="1:4" x14ac:dyDescent="0.25">
      <c r="A2502"/>
      <c r="B2502"/>
      <c r="C2502"/>
      <c r="D2502"/>
    </row>
    <row r="2503" spans="1:4" x14ac:dyDescent="0.25">
      <c r="A2503"/>
      <c r="B2503"/>
      <c r="C2503"/>
      <c r="D2503"/>
    </row>
    <row r="2504" spans="1:4" x14ac:dyDescent="0.25">
      <c r="A2504"/>
      <c r="B2504"/>
      <c r="C2504"/>
      <c r="D2504"/>
    </row>
    <row r="2505" spans="1:4" x14ac:dyDescent="0.25">
      <c r="A2505"/>
      <c r="B2505"/>
      <c r="C2505"/>
      <c r="D2505"/>
    </row>
    <row r="2506" spans="1:4" x14ac:dyDescent="0.25">
      <c r="A2506"/>
      <c r="B2506"/>
      <c r="C2506"/>
      <c r="D2506"/>
    </row>
    <row r="2507" spans="1:4" x14ac:dyDescent="0.25">
      <c r="A2507"/>
      <c r="B2507"/>
      <c r="C2507"/>
      <c r="D2507"/>
    </row>
    <row r="2508" spans="1:4" x14ac:dyDescent="0.25">
      <c r="A2508"/>
      <c r="B2508"/>
      <c r="C2508"/>
      <c r="D2508"/>
    </row>
    <row r="2509" spans="1:4" x14ac:dyDescent="0.25">
      <c r="A2509"/>
      <c r="B2509"/>
      <c r="C2509"/>
      <c r="D2509"/>
    </row>
    <row r="2510" spans="1:4" x14ac:dyDescent="0.25">
      <c r="A2510"/>
      <c r="B2510"/>
      <c r="C2510"/>
      <c r="D2510"/>
    </row>
    <row r="2511" spans="1:4" x14ac:dyDescent="0.25">
      <c r="A2511"/>
      <c r="B2511"/>
      <c r="C2511"/>
      <c r="D2511"/>
    </row>
    <row r="2512" spans="1:4" x14ac:dyDescent="0.25">
      <c r="A2512"/>
      <c r="B2512"/>
      <c r="C2512"/>
      <c r="D2512"/>
    </row>
    <row r="2513" spans="1:4" x14ac:dyDescent="0.25">
      <c r="A2513"/>
      <c r="B2513"/>
      <c r="C2513"/>
      <c r="D2513"/>
    </row>
    <row r="2514" spans="1:4" x14ac:dyDescent="0.25">
      <c r="A2514"/>
      <c r="B2514"/>
      <c r="C2514"/>
      <c r="D2514"/>
    </row>
    <row r="2515" spans="1:4" x14ac:dyDescent="0.25">
      <c r="A2515"/>
      <c r="B2515"/>
      <c r="C2515"/>
      <c r="D2515"/>
    </row>
    <row r="2516" spans="1:4" x14ac:dyDescent="0.25">
      <c r="A2516"/>
      <c r="B2516"/>
      <c r="C2516"/>
      <c r="D2516"/>
    </row>
    <row r="2517" spans="1:4" x14ac:dyDescent="0.25">
      <c r="A2517"/>
      <c r="B2517"/>
      <c r="C2517"/>
      <c r="D2517"/>
    </row>
    <row r="2518" spans="1:4" x14ac:dyDescent="0.25">
      <c r="A2518"/>
      <c r="B2518"/>
      <c r="C2518"/>
      <c r="D2518"/>
    </row>
    <row r="2519" spans="1:4" x14ac:dyDescent="0.25">
      <c r="A2519"/>
      <c r="B2519"/>
      <c r="C2519"/>
      <c r="D2519"/>
    </row>
    <row r="2520" spans="1:4" x14ac:dyDescent="0.25">
      <c r="A2520"/>
      <c r="B2520"/>
      <c r="C2520"/>
      <c r="D2520"/>
    </row>
    <row r="2521" spans="1:4" x14ac:dyDescent="0.25">
      <c r="A2521"/>
      <c r="B2521"/>
      <c r="C2521"/>
      <c r="D2521"/>
    </row>
    <row r="2522" spans="1:4" x14ac:dyDescent="0.25">
      <c r="A2522"/>
      <c r="B2522"/>
      <c r="C2522"/>
      <c r="D2522"/>
    </row>
    <row r="2523" spans="1:4" x14ac:dyDescent="0.25">
      <c r="A2523"/>
      <c r="B2523"/>
      <c r="C2523"/>
      <c r="D2523"/>
    </row>
    <row r="2524" spans="1:4" x14ac:dyDescent="0.25">
      <c r="A2524"/>
      <c r="B2524"/>
      <c r="C2524"/>
      <c r="D2524"/>
    </row>
    <row r="2525" spans="1:4" x14ac:dyDescent="0.25">
      <c r="A2525"/>
      <c r="B2525"/>
      <c r="C2525"/>
      <c r="D2525"/>
    </row>
    <row r="2526" spans="1:4" x14ac:dyDescent="0.25">
      <c r="A2526"/>
      <c r="B2526"/>
      <c r="C2526"/>
      <c r="D2526"/>
    </row>
    <row r="2527" spans="1:4" x14ac:dyDescent="0.25">
      <c r="A2527"/>
      <c r="B2527"/>
      <c r="C2527"/>
      <c r="D2527"/>
    </row>
    <row r="2528" spans="1:4" x14ac:dyDescent="0.25">
      <c r="A2528"/>
      <c r="B2528"/>
      <c r="C2528"/>
      <c r="D2528"/>
    </row>
    <row r="2529" spans="1:4" x14ac:dyDescent="0.25">
      <c r="A2529"/>
      <c r="B2529"/>
      <c r="C2529"/>
      <c r="D2529"/>
    </row>
    <row r="2530" spans="1:4" x14ac:dyDescent="0.25">
      <c r="A2530"/>
      <c r="B2530"/>
      <c r="C2530"/>
      <c r="D2530"/>
    </row>
    <row r="2531" spans="1:4" x14ac:dyDescent="0.25">
      <c r="A2531"/>
      <c r="B2531"/>
      <c r="C2531"/>
      <c r="D2531"/>
    </row>
    <row r="2532" spans="1:4" x14ac:dyDescent="0.25">
      <c r="A2532"/>
      <c r="B2532"/>
      <c r="C2532"/>
      <c r="D2532"/>
    </row>
    <row r="2533" spans="1:4" x14ac:dyDescent="0.25">
      <c r="A2533"/>
      <c r="B2533"/>
      <c r="C2533"/>
      <c r="D2533"/>
    </row>
    <row r="2534" spans="1:4" x14ac:dyDescent="0.25">
      <c r="A2534"/>
      <c r="B2534"/>
      <c r="C2534"/>
      <c r="D2534"/>
    </row>
    <row r="2535" spans="1:4" x14ac:dyDescent="0.25">
      <c r="A2535"/>
      <c r="B2535"/>
      <c r="C2535"/>
      <c r="D2535"/>
    </row>
    <row r="2536" spans="1:4" x14ac:dyDescent="0.25">
      <c r="A2536"/>
      <c r="B2536"/>
      <c r="C2536"/>
      <c r="D2536"/>
    </row>
    <row r="2537" spans="1:4" x14ac:dyDescent="0.25">
      <c r="A2537"/>
      <c r="B2537"/>
      <c r="C2537"/>
      <c r="D2537"/>
    </row>
    <row r="2538" spans="1:4" x14ac:dyDescent="0.25">
      <c r="A2538"/>
      <c r="B2538"/>
      <c r="C2538"/>
      <c r="D2538"/>
    </row>
    <row r="2539" spans="1:4" x14ac:dyDescent="0.25">
      <c r="A2539"/>
      <c r="B2539"/>
      <c r="C2539"/>
      <c r="D2539"/>
    </row>
    <row r="2540" spans="1:4" x14ac:dyDescent="0.25">
      <c r="A2540"/>
      <c r="B2540"/>
      <c r="C2540"/>
      <c r="D2540"/>
    </row>
    <row r="2541" spans="1:4" x14ac:dyDescent="0.25">
      <c r="A2541"/>
      <c r="B2541"/>
      <c r="C2541"/>
      <c r="D2541"/>
    </row>
    <row r="2542" spans="1:4" x14ac:dyDescent="0.25">
      <c r="A2542"/>
      <c r="B2542"/>
      <c r="C2542"/>
      <c r="D2542"/>
    </row>
    <row r="2543" spans="1:4" x14ac:dyDescent="0.25">
      <c r="A2543"/>
      <c r="B2543"/>
      <c r="C2543"/>
      <c r="D2543"/>
    </row>
    <row r="2544" spans="1:4" x14ac:dyDescent="0.25">
      <c r="A2544"/>
      <c r="B2544"/>
      <c r="C2544"/>
      <c r="D2544"/>
    </row>
    <row r="2545" spans="1:4" x14ac:dyDescent="0.25">
      <c r="A2545"/>
      <c r="B2545"/>
      <c r="C2545"/>
      <c r="D2545"/>
    </row>
    <row r="2546" spans="1:4" x14ac:dyDescent="0.25">
      <c r="A2546"/>
      <c r="B2546"/>
      <c r="C2546"/>
      <c r="D2546"/>
    </row>
    <row r="2547" spans="1:4" x14ac:dyDescent="0.25">
      <c r="A2547"/>
      <c r="B2547"/>
      <c r="C2547"/>
      <c r="D2547"/>
    </row>
    <row r="2548" spans="1:4" x14ac:dyDescent="0.25">
      <c r="A2548"/>
      <c r="B2548"/>
      <c r="C2548"/>
      <c r="D2548"/>
    </row>
    <row r="2549" spans="1:4" x14ac:dyDescent="0.25">
      <c r="A2549"/>
      <c r="B2549"/>
      <c r="C2549"/>
      <c r="D2549"/>
    </row>
    <row r="2550" spans="1:4" x14ac:dyDescent="0.25">
      <c r="A2550"/>
      <c r="B2550"/>
      <c r="C2550"/>
      <c r="D2550"/>
    </row>
    <row r="2551" spans="1:4" x14ac:dyDescent="0.25">
      <c r="A2551"/>
      <c r="B2551"/>
      <c r="C2551"/>
      <c r="D2551"/>
    </row>
    <row r="2552" spans="1:4" x14ac:dyDescent="0.25">
      <c r="A2552"/>
      <c r="B2552"/>
      <c r="C2552"/>
      <c r="D2552"/>
    </row>
    <row r="2553" spans="1:4" x14ac:dyDescent="0.25">
      <c r="A2553"/>
      <c r="B2553"/>
      <c r="C2553"/>
      <c r="D2553"/>
    </row>
    <row r="2554" spans="1:4" x14ac:dyDescent="0.25">
      <c r="A2554"/>
      <c r="B2554"/>
      <c r="C2554"/>
      <c r="D2554"/>
    </row>
    <row r="2555" spans="1:4" x14ac:dyDescent="0.25">
      <c r="A2555"/>
      <c r="B2555"/>
      <c r="C2555"/>
      <c r="D2555"/>
    </row>
    <row r="2556" spans="1:4" x14ac:dyDescent="0.25">
      <c r="A2556"/>
      <c r="B2556"/>
      <c r="C2556"/>
      <c r="D2556"/>
    </row>
    <row r="2557" spans="1:4" x14ac:dyDescent="0.25">
      <c r="A2557"/>
      <c r="B2557"/>
      <c r="C2557"/>
      <c r="D2557"/>
    </row>
    <row r="2558" spans="1:4" x14ac:dyDescent="0.25">
      <c r="A2558"/>
      <c r="B2558"/>
      <c r="C2558"/>
      <c r="D2558"/>
    </row>
    <row r="2559" spans="1:4" x14ac:dyDescent="0.25">
      <c r="A2559"/>
      <c r="B2559"/>
      <c r="C2559"/>
      <c r="D2559"/>
    </row>
    <row r="2560" spans="1:4" x14ac:dyDescent="0.25">
      <c r="A2560"/>
      <c r="B2560"/>
      <c r="C2560"/>
      <c r="D2560"/>
    </row>
    <row r="2561" spans="1:4" x14ac:dyDescent="0.25">
      <c r="A2561"/>
      <c r="B2561"/>
      <c r="C2561"/>
      <c r="D2561"/>
    </row>
    <row r="2562" spans="1:4" x14ac:dyDescent="0.25">
      <c r="A2562"/>
      <c r="B2562"/>
      <c r="C2562"/>
      <c r="D2562"/>
    </row>
    <row r="2563" spans="1:4" x14ac:dyDescent="0.25">
      <c r="A2563"/>
      <c r="B2563"/>
      <c r="C2563"/>
      <c r="D2563"/>
    </row>
    <row r="2564" spans="1:4" x14ac:dyDescent="0.25">
      <c r="A2564"/>
      <c r="B2564"/>
      <c r="C2564"/>
      <c r="D2564"/>
    </row>
    <row r="2565" spans="1:4" x14ac:dyDescent="0.25">
      <c r="A2565"/>
      <c r="B2565"/>
      <c r="C2565"/>
      <c r="D2565"/>
    </row>
    <row r="2566" spans="1:4" x14ac:dyDescent="0.25">
      <c r="A2566"/>
      <c r="B2566"/>
      <c r="C2566"/>
      <c r="D2566"/>
    </row>
    <row r="2567" spans="1:4" x14ac:dyDescent="0.25">
      <c r="A2567"/>
      <c r="B2567"/>
      <c r="C2567"/>
      <c r="D2567"/>
    </row>
    <row r="2568" spans="1:4" x14ac:dyDescent="0.25">
      <c r="A2568"/>
      <c r="B2568"/>
      <c r="C2568"/>
      <c r="D2568"/>
    </row>
    <row r="2569" spans="1:4" x14ac:dyDescent="0.25">
      <c r="A2569"/>
      <c r="B2569"/>
      <c r="C2569"/>
      <c r="D2569"/>
    </row>
    <row r="2570" spans="1:4" x14ac:dyDescent="0.25">
      <c r="A2570"/>
      <c r="B2570"/>
      <c r="C2570"/>
      <c r="D2570"/>
    </row>
    <row r="2571" spans="1:4" x14ac:dyDescent="0.25">
      <c r="A2571"/>
      <c r="B2571"/>
      <c r="C2571"/>
      <c r="D2571"/>
    </row>
    <row r="2572" spans="1:4" x14ac:dyDescent="0.25">
      <c r="A2572"/>
      <c r="B2572"/>
      <c r="C2572"/>
      <c r="D2572"/>
    </row>
    <row r="2573" spans="1:4" x14ac:dyDescent="0.25">
      <c r="A2573"/>
      <c r="B2573"/>
      <c r="C2573"/>
      <c r="D2573"/>
    </row>
    <row r="2574" spans="1:4" x14ac:dyDescent="0.25">
      <c r="A2574"/>
      <c r="B2574"/>
      <c r="C2574"/>
      <c r="D2574"/>
    </row>
    <row r="2575" spans="1:4" x14ac:dyDescent="0.25">
      <c r="A2575"/>
      <c r="B2575"/>
      <c r="C2575"/>
      <c r="D2575"/>
    </row>
    <row r="2576" spans="1:4" x14ac:dyDescent="0.25">
      <c r="A2576"/>
      <c r="B2576"/>
      <c r="C2576"/>
      <c r="D2576"/>
    </row>
    <row r="2577" spans="1:4" x14ac:dyDescent="0.25">
      <c r="A2577"/>
      <c r="B2577"/>
      <c r="C2577"/>
      <c r="D2577"/>
    </row>
    <row r="2578" spans="1:4" x14ac:dyDescent="0.25">
      <c r="A2578"/>
      <c r="B2578"/>
      <c r="C2578"/>
      <c r="D2578"/>
    </row>
    <row r="2579" spans="1:4" x14ac:dyDescent="0.25">
      <c r="A2579"/>
      <c r="B2579"/>
      <c r="C2579"/>
      <c r="D2579"/>
    </row>
    <row r="2580" spans="1:4" x14ac:dyDescent="0.25">
      <c r="A2580"/>
      <c r="B2580"/>
      <c r="C2580"/>
      <c r="D2580"/>
    </row>
    <row r="2581" spans="1:4" x14ac:dyDescent="0.25">
      <c r="A2581"/>
      <c r="B2581"/>
      <c r="C2581"/>
      <c r="D2581"/>
    </row>
    <row r="2582" spans="1:4" x14ac:dyDescent="0.25">
      <c r="A2582"/>
      <c r="B2582"/>
      <c r="C2582"/>
      <c r="D2582"/>
    </row>
    <row r="2583" spans="1:4" x14ac:dyDescent="0.25">
      <c r="A2583"/>
      <c r="B2583"/>
      <c r="C2583"/>
      <c r="D2583"/>
    </row>
    <row r="2584" spans="1:4" x14ac:dyDescent="0.25">
      <c r="A2584"/>
      <c r="B2584"/>
      <c r="C2584"/>
      <c r="D2584"/>
    </row>
    <row r="2585" spans="1:4" x14ac:dyDescent="0.25">
      <c r="A2585"/>
      <c r="B2585"/>
      <c r="C2585"/>
      <c r="D2585"/>
    </row>
    <row r="2586" spans="1:4" x14ac:dyDescent="0.25">
      <c r="A2586"/>
      <c r="B2586"/>
      <c r="C2586"/>
      <c r="D2586"/>
    </row>
    <row r="2587" spans="1:4" x14ac:dyDescent="0.25">
      <c r="A2587"/>
      <c r="B2587"/>
      <c r="C2587"/>
      <c r="D2587"/>
    </row>
    <row r="2588" spans="1:4" x14ac:dyDescent="0.25">
      <c r="A2588"/>
      <c r="B2588"/>
      <c r="C2588"/>
      <c r="D2588"/>
    </row>
    <row r="2589" spans="1:4" x14ac:dyDescent="0.25">
      <c r="A2589"/>
      <c r="B2589"/>
      <c r="C2589"/>
      <c r="D2589"/>
    </row>
    <row r="2590" spans="1:4" x14ac:dyDescent="0.25">
      <c r="A2590"/>
      <c r="B2590"/>
      <c r="C2590"/>
      <c r="D2590"/>
    </row>
    <row r="2591" spans="1:4" x14ac:dyDescent="0.25">
      <c r="A2591"/>
      <c r="B2591"/>
      <c r="C2591"/>
      <c r="D2591"/>
    </row>
    <row r="2592" spans="1:4" x14ac:dyDescent="0.25">
      <c r="A2592"/>
      <c r="B2592"/>
      <c r="C2592"/>
      <c r="D2592"/>
    </row>
    <row r="2593" spans="1:4" x14ac:dyDescent="0.25">
      <c r="A2593"/>
      <c r="B2593"/>
      <c r="C2593"/>
      <c r="D2593"/>
    </row>
    <row r="2594" spans="1:4" x14ac:dyDescent="0.25">
      <c r="A2594"/>
      <c r="B2594"/>
      <c r="C2594"/>
      <c r="D2594"/>
    </row>
    <row r="2595" spans="1:4" x14ac:dyDescent="0.25">
      <c r="A2595"/>
      <c r="B2595"/>
      <c r="C2595"/>
      <c r="D2595"/>
    </row>
    <row r="2596" spans="1:4" x14ac:dyDescent="0.25">
      <c r="A2596"/>
      <c r="B2596"/>
      <c r="C2596"/>
      <c r="D2596"/>
    </row>
    <row r="2597" spans="1:4" x14ac:dyDescent="0.25">
      <c r="A2597"/>
      <c r="B2597"/>
      <c r="C2597"/>
      <c r="D2597"/>
    </row>
    <row r="2598" spans="1:4" x14ac:dyDescent="0.25">
      <c r="A2598"/>
      <c r="B2598"/>
      <c r="C2598"/>
      <c r="D2598"/>
    </row>
    <row r="2599" spans="1:4" x14ac:dyDescent="0.25">
      <c r="A2599"/>
      <c r="B2599"/>
      <c r="C2599"/>
      <c r="D2599"/>
    </row>
    <row r="2600" spans="1:4" x14ac:dyDescent="0.25">
      <c r="A2600"/>
      <c r="B2600"/>
      <c r="C2600"/>
      <c r="D2600"/>
    </row>
    <row r="2601" spans="1:4" x14ac:dyDescent="0.25">
      <c r="A2601"/>
      <c r="B2601"/>
      <c r="C2601"/>
      <c r="D2601"/>
    </row>
    <row r="2602" spans="1:4" x14ac:dyDescent="0.25">
      <c r="A2602"/>
      <c r="B2602"/>
      <c r="C2602"/>
      <c r="D2602"/>
    </row>
    <row r="2603" spans="1:4" x14ac:dyDescent="0.25">
      <c r="A2603"/>
      <c r="B2603"/>
      <c r="C2603"/>
      <c r="D2603"/>
    </row>
    <row r="2604" spans="1:4" x14ac:dyDescent="0.25">
      <c r="A2604"/>
      <c r="B2604"/>
      <c r="C2604"/>
      <c r="D2604"/>
    </row>
    <row r="2605" spans="1:4" x14ac:dyDescent="0.25">
      <c r="A2605"/>
      <c r="B2605"/>
      <c r="C2605"/>
      <c r="D2605"/>
    </row>
    <row r="2606" spans="1:4" x14ac:dyDescent="0.25">
      <c r="A2606"/>
      <c r="B2606"/>
      <c r="C2606"/>
      <c r="D2606"/>
    </row>
    <row r="2607" spans="1:4" x14ac:dyDescent="0.25">
      <c r="A2607"/>
      <c r="B2607"/>
      <c r="C2607"/>
      <c r="D2607"/>
    </row>
    <row r="2608" spans="1:4" x14ac:dyDescent="0.25">
      <c r="A2608"/>
      <c r="B2608"/>
      <c r="C2608"/>
      <c r="D2608"/>
    </row>
    <row r="2609" spans="1:4" x14ac:dyDescent="0.25">
      <c r="A2609"/>
      <c r="B2609"/>
      <c r="C2609"/>
      <c r="D2609"/>
    </row>
    <row r="2610" spans="1:4" x14ac:dyDescent="0.25">
      <c r="A2610"/>
      <c r="B2610"/>
      <c r="C2610"/>
      <c r="D2610"/>
    </row>
    <row r="2611" spans="1:4" x14ac:dyDescent="0.25">
      <c r="A2611"/>
      <c r="B2611"/>
      <c r="C2611"/>
      <c r="D2611"/>
    </row>
    <row r="2612" spans="1:4" x14ac:dyDescent="0.25">
      <c r="A2612"/>
      <c r="B2612"/>
      <c r="C2612"/>
      <c r="D2612"/>
    </row>
    <row r="2613" spans="1:4" x14ac:dyDescent="0.25">
      <c r="A2613"/>
      <c r="B2613"/>
      <c r="C2613"/>
      <c r="D2613"/>
    </row>
    <row r="2614" spans="1:4" x14ac:dyDescent="0.25">
      <c r="A2614"/>
      <c r="B2614"/>
      <c r="C2614"/>
      <c r="D2614"/>
    </row>
    <row r="2615" spans="1:4" x14ac:dyDescent="0.25">
      <c r="A2615"/>
      <c r="B2615"/>
      <c r="C2615"/>
      <c r="D2615"/>
    </row>
    <row r="2616" spans="1:4" x14ac:dyDescent="0.25">
      <c r="A2616"/>
      <c r="B2616"/>
      <c r="C2616"/>
      <c r="D2616"/>
    </row>
    <row r="2617" spans="1:4" x14ac:dyDescent="0.25">
      <c r="A2617"/>
      <c r="B2617"/>
      <c r="C2617"/>
      <c r="D2617"/>
    </row>
    <row r="2618" spans="1:4" x14ac:dyDescent="0.25">
      <c r="A2618"/>
      <c r="B2618"/>
      <c r="C2618"/>
      <c r="D2618"/>
    </row>
    <row r="2619" spans="1:4" x14ac:dyDescent="0.25">
      <c r="A2619"/>
      <c r="B2619"/>
      <c r="C2619"/>
      <c r="D2619"/>
    </row>
    <row r="2620" spans="1:4" x14ac:dyDescent="0.25">
      <c r="A2620"/>
      <c r="B2620"/>
      <c r="C2620"/>
      <c r="D2620"/>
    </row>
    <row r="2621" spans="1:4" x14ac:dyDescent="0.25">
      <c r="A2621"/>
      <c r="B2621"/>
      <c r="C2621"/>
      <c r="D2621"/>
    </row>
    <row r="2622" spans="1:4" x14ac:dyDescent="0.25">
      <c r="A2622"/>
      <c r="B2622"/>
      <c r="C2622"/>
      <c r="D2622"/>
    </row>
    <row r="2623" spans="1:4" x14ac:dyDescent="0.25">
      <c r="A2623"/>
      <c r="B2623"/>
      <c r="C2623"/>
      <c r="D2623"/>
    </row>
    <row r="2624" spans="1:4" x14ac:dyDescent="0.25">
      <c r="A2624"/>
      <c r="B2624"/>
      <c r="C2624"/>
      <c r="D2624"/>
    </row>
    <row r="2625" spans="1:4" x14ac:dyDescent="0.25">
      <c r="A2625"/>
      <c r="B2625"/>
      <c r="C2625"/>
      <c r="D2625"/>
    </row>
    <row r="2626" spans="1:4" x14ac:dyDescent="0.25">
      <c r="A2626"/>
      <c r="B2626"/>
      <c r="C2626"/>
      <c r="D2626"/>
    </row>
    <row r="2627" spans="1:4" x14ac:dyDescent="0.25">
      <c r="A2627"/>
      <c r="B2627"/>
      <c r="C2627"/>
      <c r="D2627"/>
    </row>
    <row r="2628" spans="1:4" x14ac:dyDescent="0.25">
      <c r="A2628"/>
      <c r="B2628"/>
      <c r="C2628"/>
      <c r="D2628"/>
    </row>
    <row r="2629" spans="1:4" x14ac:dyDescent="0.25">
      <c r="A2629"/>
      <c r="B2629"/>
      <c r="C2629"/>
      <c r="D2629"/>
    </row>
    <row r="2630" spans="1:4" x14ac:dyDescent="0.25">
      <c r="A2630"/>
      <c r="B2630"/>
      <c r="C2630"/>
      <c r="D2630"/>
    </row>
    <row r="2631" spans="1:4" x14ac:dyDescent="0.25">
      <c r="A2631"/>
      <c r="B2631"/>
      <c r="C2631"/>
      <c r="D2631"/>
    </row>
    <row r="2632" spans="1:4" x14ac:dyDescent="0.25">
      <c r="A2632"/>
      <c r="B2632"/>
      <c r="C2632"/>
      <c r="D2632"/>
    </row>
    <row r="2633" spans="1:4" x14ac:dyDescent="0.25">
      <c r="A2633"/>
      <c r="B2633"/>
      <c r="C2633"/>
      <c r="D2633"/>
    </row>
    <row r="2634" spans="1:4" x14ac:dyDescent="0.25">
      <c r="A2634"/>
      <c r="B2634"/>
      <c r="C2634"/>
      <c r="D2634"/>
    </row>
    <row r="2635" spans="1:4" x14ac:dyDescent="0.25">
      <c r="A2635"/>
      <c r="B2635"/>
      <c r="C2635"/>
      <c r="D2635"/>
    </row>
    <row r="2636" spans="1:4" x14ac:dyDescent="0.25">
      <c r="A2636"/>
      <c r="B2636"/>
      <c r="C2636"/>
      <c r="D2636"/>
    </row>
    <row r="2637" spans="1:4" x14ac:dyDescent="0.25">
      <c r="A2637"/>
      <c r="B2637"/>
      <c r="C2637"/>
      <c r="D2637"/>
    </row>
    <row r="2638" spans="1:4" x14ac:dyDescent="0.25">
      <c r="A2638"/>
      <c r="B2638"/>
      <c r="C2638"/>
      <c r="D2638"/>
    </row>
    <row r="2639" spans="1:4" x14ac:dyDescent="0.25">
      <c r="A2639"/>
      <c r="B2639"/>
      <c r="C2639"/>
      <c r="D2639"/>
    </row>
    <row r="2640" spans="1:4" x14ac:dyDescent="0.25">
      <c r="A2640"/>
      <c r="B2640"/>
      <c r="C2640"/>
      <c r="D2640"/>
    </row>
    <row r="2641" spans="1:4" x14ac:dyDescent="0.25">
      <c r="A2641"/>
      <c r="B2641"/>
      <c r="C2641"/>
      <c r="D2641"/>
    </row>
    <row r="2642" spans="1:4" x14ac:dyDescent="0.25">
      <c r="A2642"/>
      <c r="B2642"/>
      <c r="C2642"/>
      <c r="D2642"/>
    </row>
    <row r="2643" spans="1:4" x14ac:dyDescent="0.25">
      <c r="A2643"/>
      <c r="B2643"/>
      <c r="C2643"/>
      <c r="D2643"/>
    </row>
    <row r="2644" spans="1:4" x14ac:dyDescent="0.25">
      <c r="A2644"/>
      <c r="B2644"/>
      <c r="C2644"/>
      <c r="D2644"/>
    </row>
    <row r="2645" spans="1:4" x14ac:dyDescent="0.25">
      <c r="A2645"/>
      <c r="B2645"/>
      <c r="C2645"/>
      <c r="D2645"/>
    </row>
    <row r="2646" spans="1:4" x14ac:dyDescent="0.25">
      <c r="A2646"/>
      <c r="B2646"/>
      <c r="C2646"/>
      <c r="D2646"/>
    </row>
    <row r="2647" spans="1:4" x14ac:dyDescent="0.25">
      <c r="A2647"/>
      <c r="B2647"/>
      <c r="C2647"/>
      <c r="D2647"/>
    </row>
    <row r="2648" spans="1:4" x14ac:dyDescent="0.25">
      <c r="A2648"/>
      <c r="B2648"/>
      <c r="C2648"/>
      <c r="D2648"/>
    </row>
    <row r="2649" spans="1:4" x14ac:dyDescent="0.25">
      <c r="A2649"/>
      <c r="B2649"/>
      <c r="C2649"/>
      <c r="D2649"/>
    </row>
    <row r="2650" spans="1:4" x14ac:dyDescent="0.25">
      <c r="A2650"/>
      <c r="B2650"/>
      <c r="C2650"/>
      <c r="D2650"/>
    </row>
    <row r="2651" spans="1:4" x14ac:dyDescent="0.25">
      <c r="A2651"/>
      <c r="B2651"/>
      <c r="C2651"/>
      <c r="D2651"/>
    </row>
    <row r="2652" spans="1:4" x14ac:dyDescent="0.25">
      <c r="A2652"/>
      <c r="B2652"/>
      <c r="C2652"/>
      <c r="D2652"/>
    </row>
    <row r="2653" spans="1:4" x14ac:dyDescent="0.25">
      <c r="A2653"/>
      <c r="B2653"/>
      <c r="C2653"/>
      <c r="D2653"/>
    </row>
    <row r="2654" spans="1:4" x14ac:dyDescent="0.25">
      <c r="A2654"/>
      <c r="B2654"/>
      <c r="C2654"/>
      <c r="D2654"/>
    </row>
    <row r="2655" spans="1:4" x14ac:dyDescent="0.25">
      <c r="A2655"/>
      <c r="B2655"/>
      <c r="C2655"/>
      <c r="D2655"/>
    </row>
    <row r="2656" spans="1:4" x14ac:dyDescent="0.25">
      <c r="A2656"/>
      <c r="B2656"/>
      <c r="C2656"/>
      <c r="D2656"/>
    </row>
    <row r="2657" spans="1:4" x14ac:dyDescent="0.25">
      <c r="A2657"/>
      <c r="B2657"/>
      <c r="C2657"/>
      <c r="D2657"/>
    </row>
    <row r="2658" spans="1:4" x14ac:dyDescent="0.25">
      <c r="A2658"/>
      <c r="B2658"/>
      <c r="C2658"/>
      <c r="D2658"/>
    </row>
    <row r="2659" spans="1:4" x14ac:dyDescent="0.25">
      <c r="A2659"/>
      <c r="B2659"/>
      <c r="C2659"/>
      <c r="D2659"/>
    </row>
    <row r="2660" spans="1:4" x14ac:dyDescent="0.25">
      <c r="A2660"/>
      <c r="B2660"/>
      <c r="C2660"/>
      <c r="D2660"/>
    </row>
    <row r="2661" spans="1:4" x14ac:dyDescent="0.25">
      <c r="A2661"/>
      <c r="B2661"/>
      <c r="C2661"/>
      <c r="D2661"/>
    </row>
    <row r="2662" spans="1:4" x14ac:dyDescent="0.25">
      <c r="A2662"/>
      <c r="B2662"/>
      <c r="C2662"/>
      <c r="D2662"/>
    </row>
    <row r="2663" spans="1:4" x14ac:dyDescent="0.25">
      <c r="A2663"/>
      <c r="B2663"/>
      <c r="C2663"/>
      <c r="D2663"/>
    </row>
    <row r="2664" spans="1:4" x14ac:dyDescent="0.25">
      <c r="A2664"/>
      <c r="B2664"/>
      <c r="C2664"/>
      <c r="D2664"/>
    </row>
    <row r="2665" spans="1:4" x14ac:dyDescent="0.25">
      <c r="A2665"/>
      <c r="B2665"/>
      <c r="C2665"/>
      <c r="D2665"/>
    </row>
    <row r="2666" spans="1:4" x14ac:dyDescent="0.25">
      <c r="A2666"/>
      <c r="B2666"/>
      <c r="C2666"/>
      <c r="D2666"/>
    </row>
    <row r="2667" spans="1:4" x14ac:dyDescent="0.25">
      <c r="A2667"/>
      <c r="B2667"/>
      <c r="C2667"/>
      <c r="D2667"/>
    </row>
    <row r="2668" spans="1:4" x14ac:dyDescent="0.25">
      <c r="A2668"/>
      <c r="B2668"/>
      <c r="C2668"/>
      <c r="D2668"/>
    </row>
    <row r="2669" spans="1:4" x14ac:dyDescent="0.25">
      <c r="A2669"/>
      <c r="B2669"/>
      <c r="C2669"/>
      <c r="D2669"/>
    </row>
    <row r="2670" spans="1:4" x14ac:dyDescent="0.25">
      <c r="A2670"/>
      <c r="B2670"/>
      <c r="C2670"/>
      <c r="D2670"/>
    </row>
    <row r="2671" spans="1:4" x14ac:dyDescent="0.25">
      <c r="A2671"/>
      <c r="B2671"/>
      <c r="C2671"/>
      <c r="D2671"/>
    </row>
    <row r="2672" spans="1:4" x14ac:dyDescent="0.25">
      <c r="A2672"/>
      <c r="B2672"/>
      <c r="C2672"/>
      <c r="D2672"/>
    </row>
    <row r="2673" spans="1:4" x14ac:dyDescent="0.25">
      <c r="A2673"/>
      <c r="B2673"/>
      <c r="C2673"/>
      <c r="D2673"/>
    </row>
    <row r="2674" spans="1:4" x14ac:dyDescent="0.25">
      <c r="A2674"/>
      <c r="B2674"/>
      <c r="C2674"/>
      <c r="D2674"/>
    </row>
    <row r="2675" spans="1:4" x14ac:dyDescent="0.25">
      <c r="A2675"/>
      <c r="B2675"/>
      <c r="C2675"/>
      <c r="D2675"/>
    </row>
    <row r="2676" spans="1:4" x14ac:dyDescent="0.25">
      <c r="A2676"/>
      <c r="B2676"/>
      <c r="C2676"/>
      <c r="D2676"/>
    </row>
    <row r="2677" spans="1:4" x14ac:dyDescent="0.25">
      <c r="A2677"/>
      <c r="B2677"/>
      <c r="C2677"/>
      <c r="D2677"/>
    </row>
    <row r="2678" spans="1:4" x14ac:dyDescent="0.25">
      <c r="A2678"/>
      <c r="B2678"/>
      <c r="C2678"/>
      <c r="D2678"/>
    </row>
    <row r="2679" spans="1:4" x14ac:dyDescent="0.25">
      <c r="A2679"/>
      <c r="B2679"/>
      <c r="C2679"/>
      <c r="D2679"/>
    </row>
    <row r="2680" spans="1:4" x14ac:dyDescent="0.25">
      <c r="A2680"/>
      <c r="B2680"/>
      <c r="C2680"/>
      <c r="D2680"/>
    </row>
    <row r="2681" spans="1:4" x14ac:dyDescent="0.25">
      <c r="A2681"/>
      <c r="B2681"/>
      <c r="C2681"/>
      <c r="D2681"/>
    </row>
    <row r="2682" spans="1:4" x14ac:dyDescent="0.25">
      <c r="A2682"/>
      <c r="B2682"/>
      <c r="C2682"/>
      <c r="D2682"/>
    </row>
    <row r="2683" spans="1:4" x14ac:dyDescent="0.25">
      <c r="A2683"/>
      <c r="B2683"/>
      <c r="C2683"/>
      <c r="D2683"/>
    </row>
    <row r="2684" spans="1:4" x14ac:dyDescent="0.25">
      <c r="A2684"/>
      <c r="B2684"/>
      <c r="C2684"/>
      <c r="D2684"/>
    </row>
    <row r="2685" spans="1:4" x14ac:dyDescent="0.25">
      <c r="A2685"/>
      <c r="B2685"/>
      <c r="C2685"/>
      <c r="D2685"/>
    </row>
    <row r="2686" spans="1:4" x14ac:dyDescent="0.25">
      <c r="A2686"/>
      <c r="B2686"/>
      <c r="C2686"/>
      <c r="D2686"/>
    </row>
    <row r="2687" spans="1:4" x14ac:dyDescent="0.25">
      <c r="A2687"/>
      <c r="B2687"/>
      <c r="C2687"/>
      <c r="D2687"/>
    </row>
    <row r="2688" spans="1:4" x14ac:dyDescent="0.25">
      <c r="A2688"/>
      <c r="B2688"/>
      <c r="C2688"/>
      <c r="D2688"/>
    </row>
    <row r="2689" spans="1:4" x14ac:dyDescent="0.25">
      <c r="A2689"/>
      <c r="B2689"/>
      <c r="C2689"/>
      <c r="D2689"/>
    </row>
    <row r="2690" spans="1:4" x14ac:dyDescent="0.25">
      <c r="A2690"/>
      <c r="B2690"/>
      <c r="C2690"/>
      <c r="D2690"/>
    </row>
    <row r="2691" spans="1:4" x14ac:dyDescent="0.25">
      <c r="A2691"/>
      <c r="B2691"/>
      <c r="C2691"/>
      <c r="D2691"/>
    </row>
    <row r="2692" spans="1:4" x14ac:dyDescent="0.25">
      <c r="A2692"/>
      <c r="B2692"/>
      <c r="C2692"/>
      <c r="D2692"/>
    </row>
    <row r="2693" spans="1:4" x14ac:dyDescent="0.25">
      <c r="A2693"/>
      <c r="B2693"/>
      <c r="C2693"/>
      <c r="D2693"/>
    </row>
    <row r="2694" spans="1:4" x14ac:dyDescent="0.25">
      <c r="A2694"/>
      <c r="B2694"/>
      <c r="C2694"/>
      <c r="D2694"/>
    </row>
    <row r="2695" spans="1:4" x14ac:dyDescent="0.25">
      <c r="A2695"/>
      <c r="B2695"/>
      <c r="C2695"/>
      <c r="D2695"/>
    </row>
    <row r="2696" spans="1:4" x14ac:dyDescent="0.25">
      <c r="A2696"/>
      <c r="B2696"/>
      <c r="C2696"/>
      <c r="D2696"/>
    </row>
    <row r="2697" spans="1:4" x14ac:dyDescent="0.25">
      <c r="A2697"/>
      <c r="B2697"/>
      <c r="C2697"/>
      <c r="D2697"/>
    </row>
    <row r="2698" spans="1:4" x14ac:dyDescent="0.25">
      <c r="A2698"/>
      <c r="B2698"/>
      <c r="C2698"/>
      <c r="D2698"/>
    </row>
    <row r="2699" spans="1:4" x14ac:dyDescent="0.25">
      <c r="A2699"/>
      <c r="B2699"/>
      <c r="C2699"/>
      <c r="D2699"/>
    </row>
    <row r="2700" spans="1:4" x14ac:dyDescent="0.25">
      <c r="A2700"/>
      <c r="B2700"/>
      <c r="C2700"/>
      <c r="D2700"/>
    </row>
    <row r="2701" spans="1:4" x14ac:dyDescent="0.25">
      <c r="A2701"/>
      <c r="B2701"/>
      <c r="C2701"/>
      <c r="D2701"/>
    </row>
    <row r="2702" spans="1:4" x14ac:dyDescent="0.25">
      <c r="A2702"/>
      <c r="B2702"/>
      <c r="C2702"/>
      <c r="D2702"/>
    </row>
    <row r="2703" spans="1:4" x14ac:dyDescent="0.25">
      <c r="A2703"/>
      <c r="B2703"/>
      <c r="C2703"/>
      <c r="D2703"/>
    </row>
    <row r="2704" spans="1:4" x14ac:dyDescent="0.25">
      <c r="A2704"/>
      <c r="B2704"/>
      <c r="C2704"/>
      <c r="D2704"/>
    </row>
    <row r="2705" spans="1:4" x14ac:dyDescent="0.25">
      <c r="A2705"/>
      <c r="B2705"/>
      <c r="C2705"/>
      <c r="D2705"/>
    </row>
    <row r="2706" spans="1:4" x14ac:dyDescent="0.25">
      <c r="A2706"/>
      <c r="B2706"/>
      <c r="C2706"/>
      <c r="D2706"/>
    </row>
    <row r="2707" spans="1:4" x14ac:dyDescent="0.25">
      <c r="A2707"/>
      <c r="B2707"/>
      <c r="C2707"/>
      <c r="D2707"/>
    </row>
    <row r="2708" spans="1:4" x14ac:dyDescent="0.25">
      <c r="A2708"/>
      <c r="B2708"/>
      <c r="C2708"/>
      <c r="D2708"/>
    </row>
    <row r="2709" spans="1:4" x14ac:dyDescent="0.25">
      <c r="A2709"/>
      <c r="B2709"/>
      <c r="C2709"/>
      <c r="D2709"/>
    </row>
    <row r="2710" spans="1:4" x14ac:dyDescent="0.25">
      <c r="A2710"/>
      <c r="B2710"/>
      <c r="C2710"/>
      <c r="D2710"/>
    </row>
    <row r="2711" spans="1:4" x14ac:dyDescent="0.25">
      <c r="A2711"/>
      <c r="B2711"/>
      <c r="C2711"/>
      <c r="D2711"/>
    </row>
    <row r="2712" spans="1:4" x14ac:dyDescent="0.25">
      <c r="A2712"/>
      <c r="B2712"/>
      <c r="C2712"/>
      <c r="D2712"/>
    </row>
    <row r="2713" spans="1:4" x14ac:dyDescent="0.25">
      <c r="A2713"/>
      <c r="B2713"/>
      <c r="C2713"/>
      <c r="D2713"/>
    </row>
    <row r="2714" spans="1:4" x14ac:dyDescent="0.25">
      <c r="A2714"/>
      <c r="B2714"/>
      <c r="C2714"/>
      <c r="D2714"/>
    </row>
    <row r="2715" spans="1:4" x14ac:dyDescent="0.25">
      <c r="A2715"/>
      <c r="B2715"/>
      <c r="C2715"/>
      <c r="D2715"/>
    </row>
    <row r="2716" spans="1:4" x14ac:dyDescent="0.25">
      <c r="A2716"/>
      <c r="B2716"/>
      <c r="C2716"/>
      <c r="D2716"/>
    </row>
    <row r="2717" spans="1:4" x14ac:dyDescent="0.25">
      <c r="A2717"/>
      <c r="B2717"/>
      <c r="C2717"/>
      <c r="D2717"/>
    </row>
    <row r="2718" spans="1:4" x14ac:dyDescent="0.25">
      <c r="A2718"/>
      <c r="B2718"/>
      <c r="C2718"/>
      <c r="D2718"/>
    </row>
    <row r="2719" spans="1:4" x14ac:dyDescent="0.25">
      <c r="A2719"/>
      <c r="B2719"/>
      <c r="C2719"/>
      <c r="D2719"/>
    </row>
    <row r="2720" spans="1:4" x14ac:dyDescent="0.25">
      <c r="A2720"/>
      <c r="B2720"/>
      <c r="C2720"/>
      <c r="D2720"/>
    </row>
    <row r="2721" spans="1:4" x14ac:dyDescent="0.25">
      <c r="A2721"/>
      <c r="B2721"/>
      <c r="C2721"/>
      <c r="D2721"/>
    </row>
    <row r="2722" spans="1:4" x14ac:dyDescent="0.25">
      <c r="A2722"/>
      <c r="B2722"/>
      <c r="C2722"/>
      <c r="D2722"/>
    </row>
    <row r="2723" spans="1:4" x14ac:dyDescent="0.25">
      <c r="A2723"/>
      <c r="B2723"/>
      <c r="C2723"/>
      <c r="D2723"/>
    </row>
    <row r="2724" spans="1:4" x14ac:dyDescent="0.25">
      <c r="A2724"/>
      <c r="B2724"/>
      <c r="C2724"/>
      <c r="D2724"/>
    </row>
    <row r="2725" spans="1:4" x14ac:dyDescent="0.25">
      <c r="A2725"/>
      <c r="B2725"/>
      <c r="C2725"/>
      <c r="D2725"/>
    </row>
    <row r="2726" spans="1:4" x14ac:dyDescent="0.25">
      <c r="A2726"/>
      <c r="B2726"/>
      <c r="C2726"/>
      <c r="D2726"/>
    </row>
    <row r="2727" spans="1:4" x14ac:dyDescent="0.25">
      <c r="A2727"/>
      <c r="B2727"/>
      <c r="C2727"/>
      <c r="D2727"/>
    </row>
    <row r="2728" spans="1:4" x14ac:dyDescent="0.25">
      <c r="A2728"/>
      <c r="B2728"/>
      <c r="C2728"/>
      <c r="D2728"/>
    </row>
    <row r="2729" spans="1:4" x14ac:dyDescent="0.25">
      <c r="A2729"/>
      <c r="B2729"/>
      <c r="C2729"/>
      <c r="D2729"/>
    </row>
    <row r="2730" spans="1:4" x14ac:dyDescent="0.25">
      <c r="A2730"/>
      <c r="B2730"/>
      <c r="C2730"/>
      <c r="D2730"/>
    </row>
    <row r="2731" spans="1:4" x14ac:dyDescent="0.25">
      <c r="A2731"/>
      <c r="B2731"/>
      <c r="C2731"/>
      <c r="D2731"/>
    </row>
    <row r="2732" spans="1:4" x14ac:dyDescent="0.25">
      <c r="A2732"/>
      <c r="B2732"/>
      <c r="C2732"/>
      <c r="D2732"/>
    </row>
    <row r="2733" spans="1:4" x14ac:dyDescent="0.25">
      <c r="A2733"/>
      <c r="B2733"/>
      <c r="C2733"/>
      <c r="D2733"/>
    </row>
    <row r="2734" spans="1:4" x14ac:dyDescent="0.25">
      <c r="A2734"/>
      <c r="B2734"/>
      <c r="C2734"/>
      <c r="D2734"/>
    </row>
    <row r="2735" spans="1:4" x14ac:dyDescent="0.25">
      <c r="A2735"/>
      <c r="B2735"/>
      <c r="C2735"/>
      <c r="D2735"/>
    </row>
    <row r="2736" spans="1:4" x14ac:dyDescent="0.25">
      <c r="A2736"/>
      <c r="B2736"/>
      <c r="C2736"/>
      <c r="D2736"/>
    </row>
    <row r="2737" spans="1:4" x14ac:dyDescent="0.25">
      <c r="A2737"/>
      <c r="B2737"/>
      <c r="C2737"/>
      <c r="D2737"/>
    </row>
    <row r="2738" spans="1:4" x14ac:dyDescent="0.25">
      <c r="A2738"/>
      <c r="B2738"/>
      <c r="C2738"/>
      <c r="D2738"/>
    </row>
    <row r="2739" spans="1:4" x14ac:dyDescent="0.25">
      <c r="A2739"/>
      <c r="B2739"/>
      <c r="C2739"/>
      <c r="D2739"/>
    </row>
    <row r="2740" spans="1:4" x14ac:dyDescent="0.25">
      <c r="A2740"/>
      <c r="B2740"/>
      <c r="C2740"/>
      <c r="D2740"/>
    </row>
    <row r="2741" spans="1:4" x14ac:dyDescent="0.25">
      <c r="A2741"/>
      <c r="B2741"/>
      <c r="C2741"/>
      <c r="D2741"/>
    </row>
    <row r="2742" spans="1:4" x14ac:dyDescent="0.25">
      <c r="A2742"/>
      <c r="B2742"/>
      <c r="C2742"/>
      <c r="D2742"/>
    </row>
    <row r="2743" spans="1:4" x14ac:dyDescent="0.25">
      <c r="A2743"/>
      <c r="B2743"/>
      <c r="C2743"/>
      <c r="D2743"/>
    </row>
    <row r="2744" spans="1:4" x14ac:dyDescent="0.25">
      <c r="A2744"/>
      <c r="B2744"/>
      <c r="C2744"/>
      <c r="D2744"/>
    </row>
    <row r="2745" spans="1:4" x14ac:dyDescent="0.25">
      <c r="A2745"/>
      <c r="B2745"/>
      <c r="C2745"/>
      <c r="D2745"/>
    </row>
    <row r="2746" spans="1:4" x14ac:dyDescent="0.25">
      <c r="A2746"/>
      <c r="B2746"/>
      <c r="C2746"/>
      <c r="D2746"/>
    </row>
    <row r="2747" spans="1:4" x14ac:dyDescent="0.25">
      <c r="A2747"/>
      <c r="B2747"/>
      <c r="C2747"/>
      <c r="D2747"/>
    </row>
    <row r="2748" spans="1:4" x14ac:dyDescent="0.25">
      <c r="A2748"/>
      <c r="B2748"/>
      <c r="C2748"/>
      <c r="D2748"/>
    </row>
    <row r="2749" spans="1:4" x14ac:dyDescent="0.25">
      <c r="A2749"/>
      <c r="B2749"/>
      <c r="C2749"/>
      <c r="D2749"/>
    </row>
    <row r="2750" spans="1:4" x14ac:dyDescent="0.25">
      <c r="A2750"/>
      <c r="B2750"/>
      <c r="C2750"/>
      <c r="D2750"/>
    </row>
    <row r="2751" spans="1:4" x14ac:dyDescent="0.25">
      <c r="A2751"/>
      <c r="B2751"/>
      <c r="C2751"/>
      <c r="D2751"/>
    </row>
    <row r="2752" spans="1:4" x14ac:dyDescent="0.25">
      <c r="A2752"/>
      <c r="B2752"/>
      <c r="C2752"/>
      <c r="D2752"/>
    </row>
    <row r="2753" spans="1:4" x14ac:dyDescent="0.25">
      <c r="A2753"/>
      <c r="B2753"/>
      <c r="C2753"/>
      <c r="D2753"/>
    </row>
    <row r="2754" spans="1:4" x14ac:dyDescent="0.25">
      <c r="A2754"/>
      <c r="B2754"/>
      <c r="C2754"/>
      <c r="D2754"/>
    </row>
    <row r="2755" spans="1:4" x14ac:dyDescent="0.25">
      <c r="A2755"/>
      <c r="B2755"/>
      <c r="C2755"/>
      <c r="D2755"/>
    </row>
    <row r="2756" spans="1:4" x14ac:dyDescent="0.25">
      <c r="A2756"/>
      <c r="B2756"/>
      <c r="C2756"/>
      <c r="D2756"/>
    </row>
    <row r="2757" spans="1:4" x14ac:dyDescent="0.25">
      <c r="A2757"/>
      <c r="B2757"/>
      <c r="C2757"/>
      <c r="D2757"/>
    </row>
    <row r="2758" spans="1:4" x14ac:dyDescent="0.25">
      <c r="A2758"/>
      <c r="B2758"/>
      <c r="C2758"/>
      <c r="D2758"/>
    </row>
    <row r="2759" spans="1:4" x14ac:dyDescent="0.25">
      <c r="A2759"/>
      <c r="B2759"/>
      <c r="C2759"/>
      <c r="D2759"/>
    </row>
    <row r="2760" spans="1:4" x14ac:dyDescent="0.25">
      <c r="A2760"/>
      <c r="B2760"/>
      <c r="C2760"/>
      <c r="D2760"/>
    </row>
    <row r="2761" spans="1:4" x14ac:dyDescent="0.25">
      <c r="A2761"/>
      <c r="B2761"/>
      <c r="C2761"/>
      <c r="D2761"/>
    </row>
    <row r="2762" spans="1:4" x14ac:dyDescent="0.25">
      <c r="A2762"/>
      <c r="B2762"/>
      <c r="C2762"/>
      <c r="D2762"/>
    </row>
    <row r="2763" spans="1:4" x14ac:dyDescent="0.25">
      <c r="A2763"/>
      <c r="B2763"/>
      <c r="C2763"/>
      <c r="D2763"/>
    </row>
    <row r="2764" spans="1:4" x14ac:dyDescent="0.25">
      <c r="A2764"/>
      <c r="B2764"/>
      <c r="C2764"/>
      <c r="D2764"/>
    </row>
    <row r="2765" spans="1:4" x14ac:dyDescent="0.25">
      <c r="A2765"/>
      <c r="B2765"/>
      <c r="C2765"/>
      <c r="D2765"/>
    </row>
    <row r="2766" spans="1:4" x14ac:dyDescent="0.25">
      <c r="A2766"/>
      <c r="B2766"/>
      <c r="C2766"/>
      <c r="D2766"/>
    </row>
    <row r="2767" spans="1:4" x14ac:dyDescent="0.25">
      <c r="A2767"/>
      <c r="B2767"/>
      <c r="C2767"/>
      <c r="D2767"/>
    </row>
    <row r="2768" spans="1:4" x14ac:dyDescent="0.25">
      <c r="A2768"/>
      <c r="B2768"/>
      <c r="C2768"/>
      <c r="D2768"/>
    </row>
    <row r="2769" spans="1:4" x14ac:dyDescent="0.25">
      <c r="A2769"/>
      <c r="B2769"/>
      <c r="C2769"/>
      <c r="D2769"/>
    </row>
    <row r="2770" spans="1:4" x14ac:dyDescent="0.25">
      <c r="A2770"/>
      <c r="B2770"/>
      <c r="C2770"/>
      <c r="D2770"/>
    </row>
    <row r="2771" spans="1:4" x14ac:dyDescent="0.25">
      <c r="A2771"/>
      <c r="B2771"/>
      <c r="C2771"/>
      <c r="D2771"/>
    </row>
    <row r="2772" spans="1:4" x14ac:dyDescent="0.25">
      <c r="A2772"/>
      <c r="B2772"/>
      <c r="C2772"/>
      <c r="D2772"/>
    </row>
    <row r="2773" spans="1:4" x14ac:dyDescent="0.25">
      <c r="A2773"/>
      <c r="B2773"/>
      <c r="C2773"/>
      <c r="D2773"/>
    </row>
    <row r="2774" spans="1:4" x14ac:dyDescent="0.25">
      <c r="A2774"/>
      <c r="B2774"/>
      <c r="C2774"/>
      <c r="D2774"/>
    </row>
    <row r="2775" spans="1:4" x14ac:dyDescent="0.25">
      <c r="A2775"/>
      <c r="B2775"/>
      <c r="C2775"/>
      <c r="D2775"/>
    </row>
    <row r="2776" spans="1:4" x14ac:dyDescent="0.25">
      <c r="A2776"/>
      <c r="B2776"/>
      <c r="C2776"/>
      <c r="D2776"/>
    </row>
    <row r="2777" spans="1:4" x14ac:dyDescent="0.25">
      <c r="A2777"/>
      <c r="B2777"/>
      <c r="C2777"/>
      <c r="D2777"/>
    </row>
    <row r="2778" spans="1:4" x14ac:dyDescent="0.25">
      <c r="A2778"/>
      <c r="B2778"/>
      <c r="C2778"/>
      <c r="D2778"/>
    </row>
    <row r="2779" spans="1:4" x14ac:dyDescent="0.25">
      <c r="A2779"/>
      <c r="B2779"/>
      <c r="C2779"/>
      <c r="D2779"/>
    </row>
    <row r="2780" spans="1:4" x14ac:dyDescent="0.25">
      <c r="A2780"/>
      <c r="B2780"/>
      <c r="C2780"/>
      <c r="D2780"/>
    </row>
    <row r="2781" spans="1:4" x14ac:dyDescent="0.25">
      <c r="A2781"/>
      <c r="B2781"/>
      <c r="C2781"/>
      <c r="D2781"/>
    </row>
    <row r="2782" spans="1:4" x14ac:dyDescent="0.25">
      <c r="A2782"/>
      <c r="B2782"/>
      <c r="C2782"/>
      <c r="D2782"/>
    </row>
    <row r="2783" spans="1:4" x14ac:dyDescent="0.25">
      <c r="A2783"/>
      <c r="B2783"/>
      <c r="C2783"/>
      <c r="D2783"/>
    </row>
    <row r="2784" spans="1:4" x14ac:dyDescent="0.25">
      <c r="A2784"/>
      <c r="B2784"/>
      <c r="C2784"/>
      <c r="D2784"/>
    </row>
    <row r="2785" spans="1:4" x14ac:dyDescent="0.25">
      <c r="A2785"/>
      <c r="B2785"/>
      <c r="C2785"/>
      <c r="D2785"/>
    </row>
    <row r="2786" spans="1:4" x14ac:dyDescent="0.25">
      <c r="A2786"/>
      <c r="B2786"/>
      <c r="C2786"/>
      <c r="D2786"/>
    </row>
    <row r="2787" spans="1:4" x14ac:dyDescent="0.25">
      <c r="A2787"/>
      <c r="B2787"/>
      <c r="C2787"/>
      <c r="D2787"/>
    </row>
    <row r="2788" spans="1:4" x14ac:dyDescent="0.25">
      <c r="A2788"/>
      <c r="B2788"/>
      <c r="C2788"/>
      <c r="D2788"/>
    </row>
    <row r="2789" spans="1:4" x14ac:dyDescent="0.25">
      <c r="A2789"/>
      <c r="B2789"/>
      <c r="C2789"/>
      <c r="D2789"/>
    </row>
    <row r="2790" spans="1:4" x14ac:dyDescent="0.25">
      <c r="A2790"/>
      <c r="B2790"/>
      <c r="C2790"/>
      <c r="D2790"/>
    </row>
    <row r="2791" spans="1:4" x14ac:dyDescent="0.25">
      <c r="A2791"/>
      <c r="B2791"/>
      <c r="C2791"/>
      <c r="D2791"/>
    </row>
    <row r="2792" spans="1:4" x14ac:dyDescent="0.25">
      <c r="A2792"/>
      <c r="B2792"/>
      <c r="C2792"/>
      <c r="D2792"/>
    </row>
    <row r="2793" spans="1:4" x14ac:dyDescent="0.25">
      <c r="A2793"/>
      <c r="B2793"/>
      <c r="C2793"/>
      <c r="D2793"/>
    </row>
    <row r="2794" spans="1:4" x14ac:dyDescent="0.25">
      <c r="A2794"/>
      <c r="B2794"/>
      <c r="C2794"/>
      <c r="D2794"/>
    </row>
    <row r="2795" spans="1:4" x14ac:dyDescent="0.25">
      <c r="A2795"/>
      <c r="B2795"/>
      <c r="C2795"/>
      <c r="D2795"/>
    </row>
    <row r="2796" spans="1:4" x14ac:dyDescent="0.25">
      <c r="A2796"/>
      <c r="B2796"/>
      <c r="C2796"/>
      <c r="D2796"/>
    </row>
    <row r="2797" spans="1:4" x14ac:dyDescent="0.25">
      <c r="A2797"/>
      <c r="B2797"/>
      <c r="C2797"/>
      <c r="D2797"/>
    </row>
    <row r="2798" spans="1:4" x14ac:dyDescent="0.25">
      <c r="A2798"/>
      <c r="B2798"/>
      <c r="C2798"/>
      <c r="D2798"/>
    </row>
    <row r="2799" spans="1:4" x14ac:dyDescent="0.25">
      <c r="A2799"/>
      <c r="B2799"/>
      <c r="C2799"/>
      <c r="D2799"/>
    </row>
    <row r="2800" spans="1:4" x14ac:dyDescent="0.25">
      <c r="A2800"/>
      <c r="B2800"/>
      <c r="C2800"/>
      <c r="D2800"/>
    </row>
    <row r="2801" spans="1:4" x14ac:dyDescent="0.25">
      <c r="A2801"/>
      <c r="B2801"/>
      <c r="C2801"/>
      <c r="D2801"/>
    </row>
    <row r="2802" spans="1:4" x14ac:dyDescent="0.25">
      <c r="A2802"/>
      <c r="B2802"/>
      <c r="C2802"/>
      <c r="D2802"/>
    </row>
    <row r="2803" spans="1:4" x14ac:dyDescent="0.25">
      <c r="A2803"/>
      <c r="B2803"/>
      <c r="C2803"/>
      <c r="D2803"/>
    </row>
    <row r="2804" spans="1:4" x14ac:dyDescent="0.25">
      <c r="A2804"/>
      <c r="B2804"/>
      <c r="C2804"/>
      <c r="D2804"/>
    </row>
    <row r="2805" spans="1:4" x14ac:dyDescent="0.25">
      <c r="A2805"/>
      <c r="B2805"/>
      <c r="C2805"/>
      <c r="D2805"/>
    </row>
    <row r="2806" spans="1:4" x14ac:dyDescent="0.25">
      <c r="A2806"/>
      <c r="B2806"/>
      <c r="C2806"/>
      <c r="D2806"/>
    </row>
    <row r="2807" spans="1:4" x14ac:dyDescent="0.25">
      <c r="A2807"/>
      <c r="B2807"/>
      <c r="C2807"/>
      <c r="D2807"/>
    </row>
    <row r="2808" spans="1:4" x14ac:dyDescent="0.25">
      <c r="A2808"/>
      <c r="B2808"/>
      <c r="C2808"/>
      <c r="D2808"/>
    </row>
    <row r="2809" spans="1:4" x14ac:dyDescent="0.25">
      <c r="A2809"/>
      <c r="B2809"/>
      <c r="C2809"/>
      <c r="D2809"/>
    </row>
    <row r="2810" spans="1:4" x14ac:dyDescent="0.25">
      <c r="A2810"/>
      <c r="B2810"/>
      <c r="C2810"/>
      <c r="D2810"/>
    </row>
    <row r="2811" spans="1:4" x14ac:dyDescent="0.25">
      <c r="A2811"/>
      <c r="B2811"/>
      <c r="C2811"/>
      <c r="D2811"/>
    </row>
    <row r="2812" spans="1:4" x14ac:dyDescent="0.25">
      <c r="A2812"/>
      <c r="B2812"/>
      <c r="C2812"/>
      <c r="D2812"/>
    </row>
    <row r="2813" spans="1:4" x14ac:dyDescent="0.25">
      <c r="A2813"/>
      <c r="B2813"/>
      <c r="C2813"/>
      <c r="D2813"/>
    </row>
    <row r="2814" spans="1:4" x14ac:dyDescent="0.25">
      <c r="A2814"/>
      <c r="B2814"/>
      <c r="C2814"/>
      <c r="D2814"/>
    </row>
    <row r="2815" spans="1:4" x14ac:dyDescent="0.25">
      <c r="A2815"/>
      <c r="B2815"/>
      <c r="C2815"/>
      <c r="D2815"/>
    </row>
    <row r="2816" spans="1:4" x14ac:dyDescent="0.25">
      <c r="A2816"/>
      <c r="B2816"/>
      <c r="C2816"/>
      <c r="D2816"/>
    </row>
    <row r="2817" spans="1:4" x14ac:dyDescent="0.25">
      <c r="A2817"/>
      <c r="B2817"/>
      <c r="C2817"/>
      <c r="D2817"/>
    </row>
    <row r="2818" spans="1:4" x14ac:dyDescent="0.25">
      <c r="A2818"/>
      <c r="B2818"/>
      <c r="C2818"/>
      <c r="D2818"/>
    </row>
    <row r="2819" spans="1:4" x14ac:dyDescent="0.25">
      <c r="A2819"/>
      <c r="B2819"/>
      <c r="C2819"/>
      <c r="D2819"/>
    </row>
    <row r="2820" spans="1:4" x14ac:dyDescent="0.25">
      <c r="A2820"/>
      <c r="B2820"/>
      <c r="C2820"/>
      <c r="D2820"/>
    </row>
    <row r="2821" spans="1:4" x14ac:dyDescent="0.25">
      <c r="A2821"/>
      <c r="B2821"/>
      <c r="C2821"/>
      <c r="D2821"/>
    </row>
    <row r="2822" spans="1:4" x14ac:dyDescent="0.25">
      <c r="A2822"/>
      <c r="B2822"/>
      <c r="C2822"/>
      <c r="D2822"/>
    </row>
    <row r="2823" spans="1:4" x14ac:dyDescent="0.25">
      <c r="A2823"/>
      <c r="B2823"/>
      <c r="C2823"/>
      <c r="D2823"/>
    </row>
    <row r="2824" spans="1:4" x14ac:dyDescent="0.25">
      <c r="A2824"/>
      <c r="B2824"/>
      <c r="C2824"/>
      <c r="D2824"/>
    </row>
    <row r="2825" spans="1:4" x14ac:dyDescent="0.25">
      <c r="A2825"/>
      <c r="B2825"/>
      <c r="C2825"/>
      <c r="D2825"/>
    </row>
    <row r="2826" spans="1:4" x14ac:dyDescent="0.25">
      <c r="A2826"/>
      <c r="B2826"/>
      <c r="C2826"/>
      <c r="D2826"/>
    </row>
    <row r="2827" spans="1:4" x14ac:dyDescent="0.25">
      <c r="A2827"/>
      <c r="B2827"/>
      <c r="C2827"/>
      <c r="D2827"/>
    </row>
    <row r="2828" spans="1:4" x14ac:dyDescent="0.25">
      <c r="A2828"/>
      <c r="B2828"/>
      <c r="C2828"/>
      <c r="D2828"/>
    </row>
    <row r="2829" spans="1:4" x14ac:dyDescent="0.25">
      <c r="A2829"/>
      <c r="B2829"/>
      <c r="C2829"/>
      <c r="D2829"/>
    </row>
    <row r="2830" spans="1:4" x14ac:dyDescent="0.25">
      <c r="A2830"/>
      <c r="B2830"/>
      <c r="C2830"/>
      <c r="D2830"/>
    </row>
    <row r="2831" spans="1:4" x14ac:dyDescent="0.25">
      <c r="A2831"/>
      <c r="B2831"/>
      <c r="C2831"/>
      <c r="D2831"/>
    </row>
    <row r="2832" spans="1:4" x14ac:dyDescent="0.25">
      <c r="A2832"/>
      <c r="B2832"/>
      <c r="C2832"/>
      <c r="D2832"/>
    </row>
    <row r="2833" spans="1:4" x14ac:dyDescent="0.25">
      <c r="A2833"/>
      <c r="B2833"/>
      <c r="C2833"/>
      <c r="D2833"/>
    </row>
    <row r="2834" spans="1:4" x14ac:dyDescent="0.25">
      <c r="A2834"/>
      <c r="B2834"/>
      <c r="C2834"/>
      <c r="D2834"/>
    </row>
    <row r="2835" spans="1:4" x14ac:dyDescent="0.25">
      <c r="A2835"/>
      <c r="B2835"/>
      <c r="C2835"/>
      <c r="D2835"/>
    </row>
    <row r="2836" spans="1:4" x14ac:dyDescent="0.25">
      <c r="A2836"/>
      <c r="B2836"/>
      <c r="C2836"/>
      <c r="D2836"/>
    </row>
    <row r="2837" spans="1:4" x14ac:dyDescent="0.25">
      <c r="A2837"/>
      <c r="B2837"/>
      <c r="C2837"/>
      <c r="D2837"/>
    </row>
    <row r="2838" spans="1:4" x14ac:dyDescent="0.25">
      <c r="A2838"/>
      <c r="B2838"/>
      <c r="C2838"/>
      <c r="D2838"/>
    </row>
    <row r="2839" spans="1:4" x14ac:dyDescent="0.25">
      <c r="A2839"/>
      <c r="B2839"/>
      <c r="C2839"/>
      <c r="D2839"/>
    </row>
    <row r="2840" spans="1:4" x14ac:dyDescent="0.25">
      <c r="A2840"/>
      <c r="B2840"/>
      <c r="C2840"/>
      <c r="D2840"/>
    </row>
    <row r="2841" spans="1:4" x14ac:dyDescent="0.25">
      <c r="A2841"/>
      <c r="B2841"/>
      <c r="C2841"/>
      <c r="D2841"/>
    </row>
    <row r="2842" spans="1:4" x14ac:dyDescent="0.25">
      <c r="A2842"/>
      <c r="B2842"/>
      <c r="C2842"/>
      <c r="D2842"/>
    </row>
    <row r="2843" spans="1:4" x14ac:dyDescent="0.25">
      <c r="A2843"/>
      <c r="B2843"/>
      <c r="C2843"/>
      <c r="D2843"/>
    </row>
    <row r="2844" spans="1:4" x14ac:dyDescent="0.25">
      <c r="A2844"/>
      <c r="B2844"/>
      <c r="C2844"/>
      <c r="D2844"/>
    </row>
    <row r="2845" spans="1:4" x14ac:dyDescent="0.25">
      <c r="A2845"/>
      <c r="B2845"/>
      <c r="C2845"/>
      <c r="D2845"/>
    </row>
    <row r="2846" spans="1:4" x14ac:dyDescent="0.25">
      <c r="A2846"/>
      <c r="B2846"/>
      <c r="C2846"/>
      <c r="D2846"/>
    </row>
    <row r="2847" spans="1:4" x14ac:dyDescent="0.25">
      <c r="A2847"/>
      <c r="B2847"/>
      <c r="C2847"/>
      <c r="D2847"/>
    </row>
    <row r="2848" spans="1:4" x14ac:dyDescent="0.25">
      <c r="A2848"/>
      <c r="B2848"/>
      <c r="C2848"/>
      <c r="D2848"/>
    </row>
    <row r="2849" spans="1:4" x14ac:dyDescent="0.25">
      <c r="A2849"/>
      <c r="B2849"/>
      <c r="C2849"/>
      <c r="D2849"/>
    </row>
    <row r="2850" spans="1:4" x14ac:dyDescent="0.25">
      <c r="A2850"/>
      <c r="B2850"/>
      <c r="C2850"/>
      <c r="D2850"/>
    </row>
    <row r="2851" spans="1:4" x14ac:dyDescent="0.25">
      <c r="A2851"/>
      <c r="B2851"/>
      <c r="C2851"/>
      <c r="D2851"/>
    </row>
    <row r="2852" spans="1:4" x14ac:dyDescent="0.25">
      <c r="A2852"/>
      <c r="B2852"/>
      <c r="C2852"/>
      <c r="D2852"/>
    </row>
    <row r="2853" spans="1:4" x14ac:dyDescent="0.25">
      <c r="A2853"/>
      <c r="B2853"/>
      <c r="C2853"/>
      <c r="D2853"/>
    </row>
    <row r="2854" spans="1:4" x14ac:dyDescent="0.25">
      <c r="A2854"/>
      <c r="B2854"/>
      <c r="C2854"/>
      <c r="D2854"/>
    </row>
    <row r="2855" spans="1:4" x14ac:dyDescent="0.25">
      <c r="A2855"/>
      <c r="B2855"/>
      <c r="C2855"/>
      <c r="D2855"/>
    </row>
    <row r="2856" spans="1:4" x14ac:dyDescent="0.25">
      <c r="A2856"/>
      <c r="B2856"/>
      <c r="C2856"/>
      <c r="D2856"/>
    </row>
    <row r="2857" spans="1:4" x14ac:dyDescent="0.25">
      <c r="A2857"/>
      <c r="B2857"/>
      <c r="C2857"/>
      <c r="D2857"/>
    </row>
    <row r="2858" spans="1:4" x14ac:dyDescent="0.25">
      <c r="A2858"/>
      <c r="B2858"/>
      <c r="C2858"/>
      <c r="D2858"/>
    </row>
    <row r="2859" spans="1:4" x14ac:dyDescent="0.25">
      <c r="A2859"/>
      <c r="B2859"/>
      <c r="C2859"/>
      <c r="D2859"/>
    </row>
    <row r="2860" spans="1:4" x14ac:dyDescent="0.25">
      <c r="A2860"/>
      <c r="B2860"/>
      <c r="C2860"/>
      <c r="D2860"/>
    </row>
    <row r="2861" spans="1:4" x14ac:dyDescent="0.25">
      <c r="A2861"/>
      <c r="B2861"/>
      <c r="C2861"/>
      <c r="D2861"/>
    </row>
    <row r="2862" spans="1:4" x14ac:dyDescent="0.25">
      <c r="A2862"/>
      <c r="B2862"/>
      <c r="C2862"/>
      <c r="D2862"/>
    </row>
    <row r="2863" spans="1:4" x14ac:dyDescent="0.25">
      <c r="A2863"/>
      <c r="B2863"/>
      <c r="C2863"/>
      <c r="D2863"/>
    </row>
    <row r="2864" spans="1:4" x14ac:dyDescent="0.25">
      <c r="A2864"/>
      <c r="B2864"/>
      <c r="C2864"/>
      <c r="D2864"/>
    </row>
    <row r="2865" spans="1:4" x14ac:dyDescent="0.25">
      <c r="A2865"/>
      <c r="B2865"/>
      <c r="C2865"/>
      <c r="D2865"/>
    </row>
    <row r="2866" spans="1:4" x14ac:dyDescent="0.25">
      <c r="A2866"/>
      <c r="B2866"/>
      <c r="C2866"/>
      <c r="D2866"/>
    </row>
    <row r="2867" spans="1:4" x14ac:dyDescent="0.25">
      <c r="A2867"/>
      <c r="B2867"/>
      <c r="C2867"/>
      <c r="D2867"/>
    </row>
    <row r="2868" spans="1:4" x14ac:dyDescent="0.25">
      <c r="A2868"/>
      <c r="B2868"/>
      <c r="C2868"/>
      <c r="D2868"/>
    </row>
    <row r="2869" spans="1:4" x14ac:dyDescent="0.25">
      <c r="A2869"/>
      <c r="B2869"/>
      <c r="C2869"/>
      <c r="D2869"/>
    </row>
    <row r="2870" spans="1:4" x14ac:dyDescent="0.25">
      <c r="A2870"/>
      <c r="B2870"/>
      <c r="C2870"/>
      <c r="D2870"/>
    </row>
    <row r="2871" spans="1:4" x14ac:dyDescent="0.25">
      <c r="A2871"/>
      <c r="B2871"/>
      <c r="C2871"/>
      <c r="D2871"/>
    </row>
    <row r="2872" spans="1:4" x14ac:dyDescent="0.25">
      <c r="A2872"/>
      <c r="B2872"/>
      <c r="C2872"/>
      <c r="D2872"/>
    </row>
    <row r="2873" spans="1:4" x14ac:dyDescent="0.25">
      <c r="A2873"/>
      <c r="B2873"/>
      <c r="C2873"/>
      <c r="D2873"/>
    </row>
    <row r="2874" spans="1:4" x14ac:dyDescent="0.25">
      <c r="A2874"/>
      <c r="B2874"/>
      <c r="C2874"/>
      <c r="D2874"/>
    </row>
    <row r="2875" spans="1:4" x14ac:dyDescent="0.25">
      <c r="A2875"/>
      <c r="B2875"/>
      <c r="C2875"/>
      <c r="D2875"/>
    </row>
    <row r="2876" spans="1:4" x14ac:dyDescent="0.25">
      <c r="A2876"/>
      <c r="B2876"/>
      <c r="C2876"/>
      <c r="D2876"/>
    </row>
    <row r="2877" spans="1:4" x14ac:dyDescent="0.25">
      <c r="A2877"/>
      <c r="B2877"/>
      <c r="C2877"/>
      <c r="D2877"/>
    </row>
    <row r="2878" spans="1:4" x14ac:dyDescent="0.25">
      <c r="A2878"/>
      <c r="B2878"/>
      <c r="C2878"/>
      <c r="D2878"/>
    </row>
    <row r="2879" spans="1:4" x14ac:dyDescent="0.25">
      <c r="A2879"/>
      <c r="B2879"/>
      <c r="C2879"/>
      <c r="D2879"/>
    </row>
    <row r="2880" spans="1:4" x14ac:dyDescent="0.25">
      <c r="A2880"/>
      <c r="B2880"/>
      <c r="C2880"/>
      <c r="D2880"/>
    </row>
    <row r="2881" spans="1:4" x14ac:dyDescent="0.25">
      <c r="A2881"/>
      <c r="B2881"/>
      <c r="C2881"/>
      <c r="D2881"/>
    </row>
    <row r="2882" spans="1:4" x14ac:dyDescent="0.25">
      <c r="A2882"/>
      <c r="B2882"/>
      <c r="C2882"/>
      <c r="D2882"/>
    </row>
    <row r="2883" spans="1:4" x14ac:dyDescent="0.25">
      <c r="A2883"/>
      <c r="B2883"/>
      <c r="C2883"/>
      <c r="D2883"/>
    </row>
    <row r="2884" spans="1:4" x14ac:dyDescent="0.25">
      <c r="A2884"/>
      <c r="B2884"/>
      <c r="C2884"/>
      <c r="D2884"/>
    </row>
    <row r="2885" spans="1:4" x14ac:dyDescent="0.25">
      <c r="A2885"/>
      <c r="B2885"/>
      <c r="C2885"/>
      <c r="D2885"/>
    </row>
    <row r="2886" spans="1:4" x14ac:dyDescent="0.25">
      <c r="A2886"/>
      <c r="B2886"/>
      <c r="C2886"/>
      <c r="D2886"/>
    </row>
    <row r="2887" spans="1:4" x14ac:dyDescent="0.25">
      <c r="A2887"/>
      <c r="B2887"/>
      <c r="C2887"/>
      <c r="D2887"/>
    </row>
    <row r="2888" spans="1:4" x14ac:dyDescent="0.25">
      <c r="A2888"/>
      <c r="B2888"/>
      <c r="C2888"/>
      <c r="D2888"/>
    </row>
    <row r="2889" spans="1:4" x14ac:dyDescent="0.25">
      <c r="A2889"/>
      <c r="B2889"/>
      <c r="C2889"/>
      <c r="D2889"/>
    </row>
    <row r="2890" spans="1:4" x14ac:dyDescent="0.25">
      <c r="A2890"/>
      <c r="B2890"/>
      <c r="C2890"/>
      <c r="D2890"/>
    </row>
    <row r="2891" spans="1:4" x14ac:dyDescent="0.25">
      <c r="A2891"/>
      <c r="B2891"/>
      <c r="C2891"/>
      <c r="D2891"/>
    </row>
    <row r="2892" spans="1:4" x14ac:dyDescent="0.25">
      <c r="A2892"/>
      <c r="B2892"/>
      <c r="C2892"/>
      <c r="D2892"/>
    </row>
    <row r="2893" spans="1:4" x14ac:dyDescent="0.25">
      <c r="A2893"/>
      <c r="B2893"/>
      <c r="C2893"/>
      <c r="D2893"/>
    </row>
    <row r="2894" spans="1:4" x14ac:dyDescent="0.25">
      <c r="A2894"/>
      <c r="B2894"/>
      <c r="C2894"/>
      <c r="D2894"/>
    </row>
    <row r="2895" spans="1:4" x14ac:dyDescent="0.25">
      <c r="A2895"/>
      <c r="B2895"/>
      <c r="C2895"/>
      <c r="D2895"/>
    </row>
    <row r="2896" spans="1:4" x14ac:dyDescent="0.25">
      <c r="A2896"/>
      <c r="B2896"/>
      <c r="C2896"/>
      <c r="D2896"/>
    </row>
    <row r="2897" spans="1:4" x14ac:dyDescent="0.25">
      <c r="A2897"/>
      <c r="B2897"/>
      <c r="C2897"/>
      <c r="D2897"/>
    </row>
    <row r="2898" spans="1:4" x14ac:dyDescent="0.25">
      <c r="A2898"/>
      <c r="B2898"/>
      <c r="C2898"/>
      <c r="D2898"/>
    </row>
    <row r="2899" spans="1:4" x14ac:dyDescent="0.25">
      <c r="A2899"/>
      <c r="B2899"/>
      <c r="C2899"/>
      <c r="D2899"/>
    </row>
    <row r="2900" spans="1:4" x14ac:dyDescent="0.25">
      <c r="A2900"/>
      <c r="B2900"/>
      <c r="C2900"/>
      <c r="D2900"/>
    </row>
    <row r="2901" spans="1:4" x14ac:dyDescent="0.25">
      <c r="A2901"/>
      <c r="B2901"/>
      <c r="C2901"/>
      <c r="D2901"/>
    </row>
    <row r="2902" spans="1:4" x14ac:dyDescent="0.25">
      <c r="A2902"/>
      <c r="B2902"/>
      <c r="C2902"/>
      <c r="D2902"/>
    </row>
    <row r="2903" spans="1:4" x14ac:dyDescent="0.25">
      <c r="A2903"/>
      <c r="B2903"/>
      <c r="C2903"/>
      <c r="D2903"/>
    </row>
    <row r="2904" spans="1:4" x14ac:dyDescent="0.25">
      <c r="A2904"/>
      <c r="B2904"/>
      <c r="C2904"/>
      <c r="D2904"/>
    </row>
    <row r="2905" spans="1:4" x14ac:dyDescent="0.25">
      <c r="A2905"/>
      <c r="B2905"/>
      <c r="C2905"/>
      <c r="D2905"/>
    </row>
    <row r="2906" spans="1:4" x14ac:dyDescent="0.25">
      <c r="A2906"/>
      <c r="B2906"/>
      <c r="C2906"/>
      <c r="D2906"/>
    </row>
    <row r="2907" spans="1:4" x14ac:dyDescent="0.25">
      <c r="A2907"/>
      <c r="B2907"/>
      <c r="C2907"/>
      <c r="D2907"/>
    </row>
    <row r="2908" spans="1:4" x14ac:dyDescent="0.25">
      <c r="A2908"/>
      <c r="B2908"/>
      <c r="C2908"/>
      <c r="D2908"/>
    </row>
    <row r="2909" spans="1:4" x14ac:dyDescent="0.25">
      <c r="A2909"/>
      <c r="B2909"/>
      <c r="C2909"/>
      <c r="D2909"/>
    </row>
    <row r="2910" spans="1:4" x14ac:dyDescent="0.25">
      <c r="A2910"/>
      <c r="B2910"/>
      <c r="C2910"/>
      <c r="D2910"/>
    </row>
    <row r="2911" spans="1:4" x14ac:dyDescent="0.25">
      <c r="A2911"/>
      <c r="B2911"/>
      <c r="C2911"/>
      <c r="D2911"/>
    </row>
    <row r="2912" spans="1:4" x14ac:dyDescent="0.25">
      <c r="A2912"/>
      <c r="B2912"/>
      <c r="C2912"/>
      <c r="D2912"/>
    </row>
    <row r="2913" spans="1:4" x14ac:dyDescent="0.25">
      <c r="A2913"/>
      <c r="B2913"/>
      <c r="C2913"/>
      <c r="D2913"/>
    </row>
    <row r="2914" spans="1:4" x14ac:dyDescent="0.25">
      <c r="A2914"/>
      <c r="B2914"/>
      <c r="C2914"/>
      <c r="D2914"/>
    </row>
    <row r="2915" spans="1:4" x14ac:dyDescent="0.25">
      <c r="A2915"/>
      <c r="B2915"/>
      <c r="C2915"/>
      <c r="D2915"/>
    </row>
    <row r="2916" spans="1:4" x14ac:dyDescent="0.25">
      <c r="A2916"/>
      <c r="B2916"/>
      <c r="C2916"/>
      <c r="D2916"/>
    </row>
    <row r="2917" spans="1:4" x14ac:dyDescent="0.25">
      <c r="A2917"/>
      <c r="B2917"/>
      <c r="C2917"/>
      <c r="D2917"/>
    </row>
    <row r="2918" spans="1:4" x14ac:dyDescent="0.25">
      <c r="A2918"/>
      <c r="B2918"/>
      <c r="C2918"/>
      <c r="D2918"/>
    </row>
    <row r="2919" spans="1:4" x14ac:dyDescent="0.25">
      <c r="A2919"/>
      <c r="B2919"/>
      <c r="C2919"/>
      <c r="D2919"/>
    </row>
    <row r="2920" spans="1:4" x14ac:dyDescent="0.25">
      <c r="A2920"/>
      <c r="B2920"/>
      <c r="C2920"/>
      <c r="D2920"/>
    </row>
    <row r="2921" spans="1:4" x14ac:dyDescent="0.25">
      <c r="A2921"/>
      <c r="B2921"/>
      <c r="C2921"/>
      <c r="D2921"/>
    </row>
    <row r="2922" spans="1:4" x14ac:dyDescent="0.25">
      <c r="A2922"/>
      <c r="B2922"/>
      <c r="C2922"/>
      <c r="D2922"/>
    </row>
    <row r="2923" spans="1:4" x14ac:dyDescent="0.25">
      <c r="A2923"/>
      <c r="B2923"/>
      <c r="C2923"/>
      <c r="D2923"/>
    </row>
    <row r="2924" spans="1:4" x14ac:dyDescent="0.25">
      <c r="A2924"/>
      <c r="B2924"/>
      <c r="C2924"/>
      <c r="D2924"/>
    </row>
    <row r="2925" spans="1:4" x14ac:dyDescent="0.25">
      <c r="A2925"/>
      <c r="B2925"/>
      <c r="C2925"/>
      <c r="D2925"/>
    </row>
    <row r="2926" spans="1:4" x14ac:dyDescent="0.25">
      <c r="A2926"/>
      <c r="B2926"/>
      <c r="C2926"/>
      <c r="D2926"/>
    </row>
    <row r="2927" spans="1:4" x14ac:dyDescent="0.25">
      <c r="A2927"/>
      <c r="B2927"/>
      <c r="C2927"/>
      <c r="D2927"/>
    </row>
    <row r="2928" spans="1:4" x14ac:dyDescent="0.25">
      <c r="A2928"/>
      <c r="B2928"/>
      <c r="C2928"/>
      <c r="D2928"/>
    </row>
    <row r="2929" spans="1:4" x14ac:dyDescent="0.25">
      <c r="A2929"/>
      <c r="B2929"/>
      <c r="C2929"/>
      <c r="D2929"/>
    </row>
    <row r="2930" spans="1:4" x14ac:dyDescent="0.25">
      <c r="A2930"/>
      <c r="B2930"/>
      <c r="C2930"/>
      <c r="D2930"/>
    </row>
    <row r="2931" spans="1:4" x14ac:dyDescent="0.25">
      <c r="A2931"/>
      <c r="B2931"/>
      <c r="C2931"/>
      <c r="D2931"/>
    </row>
    <row r="2932" spans="1:4" x14ac:dyDescent="0.25">
      <c r="A2932"/>
      <c r="B2932"/>
      <c r="C2932"/>
      <c r="D2932"/>
    </row>
    <row r="2933" spans="1:4" x14ac:dyDescent="0.25">
      <c r="A2933"/>
      <c r="B2933"/>
      <c r="C2933"/>
      <c r="D2933"/>
    </row>
    <row r="2934" spans="1:4" x14ac:dyDescent="0.25">
      <c r="A2934"/>
      <c r="B2934"/>
      <c r="C2934"/>
      <c r="D2934"/>
    </row>
    <row r="2935" spans="1:4" x14ac:dyDescent="0.25">
      <c r="A2935"/>
      <c r="B2935"/>
      <c r="C2935"/>
      <c r="D2935"/>
    </row>
    <row r="2936" spans="1:4" x14ac:dyDescent="0.25">
      <c r="A2936"/>
      <c r="B2936"/>
      <c r="C2936"/>
      <c r="D2936"/>
    </row>
    <row r="2937" spans="1:4" x14ac:dyDescent="0.25">
      <c r="A2937"/>
      <c r="B2937"/>
      <c r="C2937"/>
      <c r="D2937"/>
    </row>
    <row r="2938" spans="1:4" x14ac:dyDescent="0.25">
      <c r="A2938"/>
      <c r="B2938"/>
      <c r="C2938"/>
      <c r="D2938"/>
    </row>
    <row r="2939" spans="1:4" x14ac:dyDescent="0.25">
      <c r="A2939"/>
      <c r="B2939"/>
      <c r="C2939"/>
      <c r="D2939"/>
    </row>
    <row r="2940" spans="1:4" x14ac:dyDescent="0.25">
      <c r="A2940"/>
      <c r="B2940"/>
      <c r="C2940"/>
      <c r="D2940"/>
    </row>
    <row r="2941" spans="1:4" x14ac:dyDescent="0.25">
      <c r="A2941"/>
      <c r="B2941"/>
      <c r="C2941"/>
      <c r="D2941"/>
    </row>
    <row r="2942" spans="1:4" x14ac:dyDescent="0.25">
      <c r="A2942"/>
      <c r="B2942"/>
      <c r="C2942"/>
      <c r="D2942"/>
    </row>
    <row r="2943" spans="1:4" x14ac:dyDescent="0.25">
      <c r="A2943"/>
      <c r="B2943"/>
      <c r="C2943"/>
      <c r="D2943"/>
    </row>
    <row r="2944" spans="1:4" x14ac:dyDescent="0.25">
      <c r="A2944"/>
      <c r="B2944"/>
      <c r="C2944"/>
      <c r="D2944"/>
    </row>
    <row r="2945" spans="1:4" x14ac:dyDescent="0.25">
      <c r="A2945"/>
      <c r="B2945"/>
      <c r="C2945"/>
      <c r="D2945"/>
    </row>
    <row r="2946" spans="1:4" x14ac:dyDescent="0.25">
      <c r="A2946"/>
      <c r="B2946"/>
      <c r="C2946"/>
      <c r="D2946"/>
    </row>
    <row r="2947" spans="1:4" x14ac:dyDescent="0.25">
      <c r="A2947"/>
      <c r="B2947"/>
      <c r="C2947"/>
      <c r="D2947"/>
    </row>
    <row r="2948" spans="1:4" x14ac:dyDescent="0.25">
      <c r="A2948"/>
      <c r="B2948"/>
      <c r="C2948"/>
      <c r="D2948"/>
    </row>
    <row r="2949" spans="1:4" x14ac:dyDescent="0.25">
      <c r="A2949"/>
      <c r="B2949"/>
      <c r="C2949"/>
      <c r="D2949"/>
    </row>
    <row r="2950" spans="1:4" x14ac:dyDescent="0.25">
      <c r="A2950"/>
      <c r="B2950"/>
      <c r="C2950"/>
      <c r="D2950"/>
    </row>
    <row r="2951" spans="1:4" x14ac:dyDescent="0.25">
      <c r="A2951"/>
      <c r="B2951"/>
      <c r="C2951"/>
      <c r="D2951"/>
    </row>
    <row r="2952" spans="1:4" x14ac:dyDescent="0.25">
      <c r="A2952"/>
      <c r="B2952"/>
      <c r="C2952"/>
      <c r="D2952"/>
    </row>
    <row r="2953" spans="1:4" x14ac:dyDescent="0.25">
      <c r="A2953"/>
      <c r="B2953"/>
      <c r="C2953"/>
      <c r="D2953"/>
    </row>
    <row r="2954" spans="1:4" x14ac:dyDescent="0.25">
      <c r="A2954"/>
      <c r="B2954"/>
      <c r="C2954"/>
      <c r="D2954"/>
    </row>
    <row r="2955" spans="1:4" x14ac:dyDescent="0.25">
      <c r="A2955"/>
      <c r="B2955"/>
      <c r="C2955"/>
      <c r="D2955"/>
    </row>
    <row r="2956" spans="1:4" x14ac:dyDescent="0.25">
      <c r="A2956"/>
      <c r="B2956"/>
      <c r="C2956"/>
      <c r="D2956"/>
    </row>
    <row r="2957" spans="1:4" x14ac:dyDescent="0.25">
      <c r="A2957"/>
      <c r="B2957"/>
      <c r="C2957"/>
      <c r="D2957"/>
    </row>
    <row r="2958" spans="1:4" x14ac:dyDescent="0.25">
      <c r="A2958"/>
      <c r="B2958"/>
      <c r="C2958"/>
      <c r="D2958"/>
    </row>
    <row r="2959" spans="1:4" x14ac:dyDescent="0.25">
      <c r="A2959"/>
      <c r="B2959"/>
      <c r="C2959"/>
      <c r="D2959"/>
    </row>
    <row r="2960" spans="1:4" x14ac:dyDescent="0.25">
      <c r="A2960"/>
      <c r="B2960"/>
      <c r="C2960"/>
      <c r="D2960"/>
    </row>
    <row r="2961" spans="1:4" x14ac:dyDescent="0.25">
      <c r="A2961"/>
      <c r="B2961"/>
      <c r="C2961"/>
      <c r="D2961"/>
    </row>
    <row r="2962" spans="1:4" x14ac:dyDescent="0.25">
      <c r="A2962"/>
      <c r="B2962"/>
      <c r="C2962"/>
      <c r="D2962"/>
    </row>
    <row r="2963" spans="1:4" x14ac:dyDescent="0.25">
      <c r="A2963"/>
      <c r="B2963"/>
      <c r="C2963"/>
      <c r="D2963"/>
    </row>
    <row r="2964" spans="1:4" x14ac:dyDescent="0.25">
      <c r="A2964"/>
      <c r="B2964"/>
      <c r="C2964"/>
      <c r="D2964"/>
    </row>
    <row r="2965" spans="1:4" x14ac:dyDescent="0.25">
      <c r="A2965"/>
      <c r="B2965"/>
      <c r="C2965"/>
      <c r="D2965"/>
    </row>
    <row r="2966" spans="1:4" x14ac:dyDescent="0.25">
      <c r="A2966"/>
      <c r="B2966"/>
      <c r="C2966"/>
      <c r="D2966"/>
    </row>
    <row r="2967" spans="1:4" x14ac:dyDescent="0.25">
      <c r="A2967"/>
      <c r="B2967"/>
      <c r="C2967"/>
      <c r="D2967"/>
    </row>
    <row r="2968" spans="1:4" x14ac:dyDescent="0.25">
      <c r="A2968"/>
      <c r="B2968"/>
      <c r="C2968"/>
      <c r="D2968"/>
    </row>
    <row r="2969" spans="1:4" x14ac:dyDescent="0.25">
      <c r="A2969"/>
      <c r="B2969"/>
      <c r="C2969"/>
      <c r="D2969"/>
    </row>
    <row r="2970" spans="1:4" x14ac:dyDescent="0.25">
      <c r="A2970"/>
      <c r="B2970"/>
      <c r="C2970"/>
      <c r="D2970"/>
    </row>
    <row r="2971" spans="1:4" x14ac:dyDescent="0.25">
      <c r="A2971"/>
      <c r="B2971"/>
      <c r="C2971"/>
      <c r="D2971"/>
    </row>
    <row r="2972" spans="1:4" x14ac:dyDescent="0.25">
      <c r="A2972"/>
      <c r="B2972"/>
      <c r="C2972"/>
      <c r="D2972"/>
    </row>
    <row r="2973" spans="1:4" x14ac:dyDescent="0.25">
      <c r="A2973"/>
      <c r="B2973"/>
      <c r="C2973"/>
      <c r="D2973"/>
    </row>
    <row r="2974" spans="1:4" x14ac:dyDescent="0.25">
      <c r="A2974"/>
      <c r="B2974"/>
      <c r="C2974"/>
      <c r="D2974"/>
    </row>
    <row r="2975" spans="1:4" x14ac:dyDescent="0.25">
      <c r="A2975"/>
      <c r="B2975"/>
      <c r="C2975"/>
      <c r="D2975"/>
    </row>
    <row r="2976" spans="1:4" x14ac:dyDescent="0.25">
      <c r="A2976"/>
      <c r="B2976"/>
      <c r="C2976"/>
      <c r="D2976"/>
    </row>
    <row r="2977" spans="1:4" x14ac:dyDescent="0.25">
      <c r="A2977"/>
      <c r="B2977"/>
      <c r="C2977"/>
      <c r="D2977"/>
    </row>
    <row r="2978" spans="1:4" x14ac:dyDescent="0.25">
      <c r="A2978"/>
      <c r="B2978"/>
      <c r="C2978"/>
      <c r="D2978"/>
    </row>
    <row r="2979" spans="1:4" x14ac:dyDescent="0.25">
      <c r="A2979"/>
      <c r="B2979"/>
      <c r="C2979"/>
      <c r="D2979"/>
    </row>
    <row r="2980" spans="1:4" x14ac:dyDescent="0.25">
      <c r="A2980"/>
      <c r="B2980"/>
      <c r="C2980"/>
      <c r="D2980"/>
    </row>
    <row r="2981" spans="1:4" x14ac:dyDescent="0.25">
      <c r="A2981"/>
      <c r="B2981"/>
      <c r="C2981"/>
      <c r="D2981"/>
    </row>
    <row r="2982" spans="1:4" x14ac:dyDescent="0.25">
      <c r="A2982"/>
      <c r="B2982"/>
      <c r="C2982"/>
      <c r="D2982"/>
    </row>
    <row r="2983" spans="1:4" x14ac:dyDescent="0.25">
      <c r="A2983"/>
      <c r="B2983"/>
      <c r="C2983"/>
      <c r="D2983"/>
    </row>
    <row r="2984" spans="1:4" x14ac:dyDescent="0.25">
      <c r="A2984"/>
      <c r="B2984"/>
      <c r="C2984"/>
      <c r="D2984"/>
    </row>
    <row r="2985" spans="1:4" x14ac:dyDescent="0.25">
      <c r="A2985"/>
      <c r="B2985"/>
      <c r="C2985"/>
      <c r="D2985"/>
    </row>
    <row r="2986" spans="1:4" x14ac:dyDescent="0.25">
      <c r="A2986"/>
      <c r="B2986"/>
      <c r="C2986"/>
      <c r="D2986"/>
    </row>
    <row r="2987" spans="1:4" x14ac:dyDescent="0.25">
      <c r="A2987"/>
      <c r="B2987"/>
      <c r="C2987"/>
      <c r="D2987"/>
    </row>
    <row r="2988" spans="1:4" x14ac:dyDescent="0.25">
      <c r="A2988"/>
      <c r="B2988"/>
      <c r="C2988"/>
      <c r="D2988"/>
    </row>
    <row r="2989" spans="1:4" x14ac:dyDescent="0.25">
      <c r="A2989"/>
      <c r="B2989"/>
      <c r="C2989"/>
      <c r="D2989"/>
    </row>
    <row r="2990" spans="1:4" x14ac:dyDescent="0.25">
      <c r="A2990"/>
      <c r="B2990"/>
      <c r="C2990"/>
      <c r="D2990"/>
    </row>
    <row r="2991" spans="1:4" x14ac:dyDescent="0.25">
      <c r="A2991"/>
      <c r="B2991"/>
      <c r="C2991"/>
      <c r="D2991"/>
    </row>
    <row r="2992" spans="1:4" x14ac:dyDescent="0.25">
      <c r="A2992"/>
      <c r="B2992"/>
      <c r="C2992"/>
      <c r="D2992"/>
    </row>
    <row r="2993" spans="1:4" x14ac:dyDescent="0.25">
      <c r="A2993"/>
      <c r="B2993"/>
      <c r="C2993"/>
      <c r="D2993"/>
    </row>
    <row r="2994" spans="1:4" x14ac:dyDescent="0.25">
      <c r="A2994"/>
      <c r="B2994"/>
      <c r="C2994"/>
      <c r="D2994"/>
    </row>
    <row r="2995" spans="1:4" x14ac:dyDescent="0.25">
      <c r="A2995"/>
      <c r="B2995"/>
      <c r="C2995"/>
      <c r="D2995"/>
    </row>
    <row r="2996" spans="1:4" x14ac:dyDescent="0.25">
      <c r="A2996"/>
      <c r="B2996"/>
      <c r="C2996"/>
      <c r="D2996"/>
    </row>
    <row r="2997" spans="1:4" x14ac:dyDescent="0.25">
      <c r="A2997"/>
      <c r="B2997"/>
      <c r="C2997"/>
      <c r="D2997"/>
    </row>
    <row r="2998" spans="1:4" x14ac:dyDescent="0.25">
      <c r="A2998"/>
      <c r="B2998"/>
      <c r="C2998"/>
      <c r="D2998"/>
    </row>
    <row r="2999" spans="1:4" x14ac:dyDescent="0.25">
      <c r="A2999"/>
      <c r="B2999"/>
      <c r="C2999"/>
      <c r="D2999"/>
    </row>
    <row r="3000" spans="1:4" x14ac:dyDescent="0.25">
      <c r="A3000"/>
      <c r="B3000"/>
      <c r="C3000"/>
      <c r="D3000"/>
    </row>
    <row r="3001" spans="1:4" x14ac:dyDescent="0.25">
      <c r="A3001"/>
      <c r="B3001"/>
      <c r="C3001"/>
      <c r="D3001"/>
    </row>
    <row r="3002" spans="1:4" x14ac:dyDescent="0.25">
      <c r="A3002"/>
      <c r="B3002"/>
      <c r="C3002"/>
      <c r="D3002"/>
    </row>
    <row r="3003" spans="1:4" x14ac:dyDescent="0.25">
      <c r="A3003"/>
      <c r="B3003"/>
      <c r="C3003"/>
      <c r="D3003"/>
    </row>
    <row r="3004" spans="1:4" x14ac:dyDescent="0.25">
      <c r="A3004"/>
      <c r="B3004"/>
      <c r="C3004"/>
      <c r="D3004"/>
    </row>
    <row r="3005" spans="1:4" x14ac:dyDescent="0.25">
      <c r="A3005"/>
      <c r="B3005"/>
      <c r="C3005"/>
      <c r="D3005"/>
    </row>
    <row r="3006" spans="1:4" x14ac:dyDescent="0.25">
      <c r="A3006"/>
      <c r="B3006"/>
      <c r="C3006"/>
      <c r="D3006"/>
    </row>
    <row r="3007" spans="1:4" x14ac:dyDescent="0.25">
      <c r="A3007"/>
      <c r="B3007"/>
      <c r="C3007"/>
      <c r="D3007"/>
    </row>
    <row r="3008" spans="1:4" x14ac:dyDescent="0.25">
      <c r="A3008"/>
      <c r="B3008"/>
      <c r="C3008"/>
      <c r="D3008"/>
    </row>
    <row r="3009" spans="1:4" x14ac:dyDescent="0.25">
      <c r="A3009"/>
      <c r="B3009"/>
      <c r="C3009"/>
      <c r="D3009"/>
    </row>
    <row r="3010" spans="1:4" x14ac:dyDescent="0.25">
      <c r="A3010"/>
      <c r="B3010"/>
      <c r="C3010"/>
      <c r="D3010"/>
    </row>
    <row r="3011" spans="1:4" x14ac:dyDescent="0.25">
      <c r="A3011"/>
      <c r="B3011"/>
      <c r="C3011"/>
      <c r="D3011"/>
    </row>
    <row r="3012" spans="1:4" x14ac:dyDescent="0.25">
      <c r="A3012"/>
      <c r="B3012"/>
      <c r="C3012"/>
      <c r="D3012"/>
    </row>
    <row r="3013" spans="1:4" x14ac:dyDescent="0.25">
      <c r="A3013"/>
      <c r="B3013"/>
      <c r="C3013"/>
      <c r="D3013"/>
    </row>
    <row r="3014" spans="1:4" x14ac:dyDescent="0.25">
      <c r="A3014"/>
      <c r="B3014"/>
      <c r="C3014"/>
      <c r="D3014"/>
    </row>
    <row r="3015" spans="1:4" x14ac:dyDescent="0.25">
      <c r="A3015"/>
      <c r="B3015"/>
      <c r="C3015"/>
      <c r="D3015"/>
    </row>
    <row r="3016" spans="1:4" x14ac:dyDescent="0.25">
      <c r="A3016"/>
      <c r="B3016"/>
      <c r="C3016"/>
      <c r="D3016"/>
    </row>
    <row r="3017" spans="1:4" x14ac:dyDescent="0.25">
      <c r="A3017"/>
      <c r="B3017"/>
      <c r="C3017"/>
      <c r="D3017"/>
    </row>
    <row r="3018" spans="1:4" x14ac:dyDescent="0.25">
      <c r="A3018"/>
      <c r="B3018"/>
      <c r="C3018"/>
      <c r="D3018"/>
    </row>
    <row r="3019" spans="1:4" x14ac:dyDescent="0.25">
      <c r="A3019"/>
      <c r="B3019"/>
      <c r="C3019"/>
      <c r="D3019"/>
    </row>
    <row r="3020" spans="1:4" x14ac:dyDescent="0.25">
      <c r="A3020"/>
      <c r="B3020"/>
      <c r="C3020"/>
      <c r="D3020"/>
    </row>
    <row r="3021" spans="1:4" x14ac:dyDescent="0.25">
      <c r="A3021"/>
      <c r="B3021"/>
      <c r="C3021"/>
      <c r="D3021"/>
    </row>
    <row r="3022" spans="1:4" x14ac:dyDescent="0.25">
      <c r="A3022"/>
      <c r="B3022"/>
      <c r="C3022"/>
      <c r="D3022"/>
    </row>
    <row r="3023" spans="1:4" x14ac:dyDescent="0.25">
      <c r="A3023"/>
      <c r="B3023"/>
      <c r="C3023"/>
      <c r="D3023"/>
    </row>
    <row r="3024" spans="1:4" x14ac:dyDescent="0.25">
      <c r="A3024"/>
      <c r="B3024"/>
      <c r="C3024"/>
      <c r="D3024"/>
    </row>
    <row r="3025" spans="1:4" x14ac:dyDescent="0.25">
      <c r="A3025"/>
      <c r="B3025"/>
      <c r="C3025"/>
      <c r="D3025"/>
    </row>
    <row r="3026" spans="1:4" x14ac:dyDescent="0.25">
      <c r="A3026"/>
      <c r="B3026"/>
      <c r="C3026"/>
      <c r="D3026"/>
    </row>
    <row r="3027" spans="1:4" x14ac:dyDescent="0.25">
      <c r="A3027"/>
      <c r="B3027"/>
      <c r="C3027"/>
      <c r="D3027"/>
    </row>
    <row r="3028" spans="1:4" x14ac:dyDescent="0.25">
      <c r="A3028"/>
      <c r="B3028"/>
      <c r="C3028"/>
      <c r="D3028"/>
    </row>
    <row r="3029" spans="1:4" x14ac:dyDescent="0.25">
      <c r="A3029"/>
      <c r="B3029"/>
      <c r="C3029"/>
      <c r="D3029"/>
    </row>
    <row r="3030" spans="1:4" x14ac:dyDescent="0.25">
      <c r="A3030"/>
      <c r="B3030"/>
      <c r="C3030"/>
      <c r="D3030"/>
    </row>
    <row r="3031" spans="1:4" x14ac:dyDescent="0.25">
      <c r="A3031"/>
      <c r="B3031"/>
      <c r="C3031"/>
      <c r="D3031"/>
    </row>
    <row r="3032" spans="1:4" x14ac:dyDescent="0.25">
      <c r="A3032"/>
      <c r="B3032"/>
      <c r="C3032"/>
      <c r="D3032"/>
    </row>
    <row r="3033" spans="1:4" x14ac:dyDescent="0.25">
      <c r="A3033"/>
      <c r="B3033"/>
      <c r="C3033"/>
      <c r="D3033"/>
    </row>
    <row r="3034" spans="1:4" x14ac:dyDescent="0.25">
      <c r="A3034"/>
      <c r="B3034"/>
      <c r="C3034"/>
      <c r="D3034"/>
    </row>
    <row r="3035" spans="1:4" x14ac:dyDescent="0.25">
      <c r="A3035"/>
      <c r="B3035"/>
      <c r="C3035"/>
      <c r="D3035"/>
    </row>
    <row r="3036" spans="1:4" x14ac:dyDescent="0.25">
      <c r="A3036"/>
      <c r="B3036"/>
      <c r="C3036"/>
      <c r="D3036"/>
    </row>
    <row r="3037" spans="1:4" x14ac:dyDescent="0.25">
      <c r="A3037"/>
      <c r="B3037"/>
      <c r="C3037"/>
      <c r="D3037"/>
    </row>
    <row r="3038" spans="1:4" x14ac:dyDescent="0.25">
      <c r="A3038"/>
      <c r="B3038"/>
      <c r="C3038"/>
      <c r="D3038"/>
    </row>
    <row r="3039" spans="1:4" x14ac:dyDescent="0.25">
      <c r="A3039"/>
      <c r="B3039"/>
      <c r="C3039"/>
      <c r="D3039"/>
    </row>
    <row r="3040" spans="1:4" x14ac:dyDescent="0.25">
      <c r="A3040"/>
      <c r="B3040"/>
      <c r="C3040"/>
      <c r="D3040"/>
    </row>
    <row r="3041" spans="1:4" x14ac:dyDescent="0.25">
      <c r="A3041"/>
      <c r="B3041"/>
      <c r="C3041"/>
      <c r="D3041"/>
    </row>
    <row r="3042" spans="1:4" x14ac:dyDescent="0.25">
      <c r="A3042"/>
      <c r="B3042"/>
      <c r="C3042"/>
      <c r="D3042"/>
    </row>
    <row r="3043" spans="1:4" x14ac:dyDescent="0.25">
      <c r="A3043"/>
      <c r="B3043"/>
      <c r="C3043"/>
      <c r="D3043"/>
    </row>
    <row r="3044" spans="1:4" x14ac:dyDescent="0.25">
      <c r="A3044"/>
      <c r="B3044"/>
      <c r="C3044"/>
      <c r="D3044"/>
    </row>
    <row r="3045" spans="1:4" x14ac:dyDescent="0.25">
      <c r="A3045"/>
      <c r="B3045"/>
      <c r="C3045"/>
      <c r="D3045"/>
    </row>
    <row r="3046" spans="1:4" x14ac:dyDescent="0.25">
      <c r="A3046"/>
      <c r="B3046"/>
      <c r="C3046"/>
      <c r="D3046"/>
    </row>
    <row r="3047" spans="1:4" x14ac:dyDescent="0.25">
      <c r="A3047"/>
      <c r="B3047"/>
      <c r="C3047"/>
      <c r="D3047"/>
    </row>
    <row r="3048" spans="1:4" x14ac:dyDescent="0.25">
      <c r="A3048"/>
      <c r="B3048"/>
      <c r="C3048"/>
      <c r="D3048"/>
    </row>
    <row r="3049" spans="1:4" x14ac:dyDescent="0.25">
      <c r="A3049"/>
      <c r="B3049"/>
      <c r="C3049"/>
      <c r="D3049"/>
    </row>
    <row r="3050" spans="1:4" x14ac:dyDescent="0.25">
      <c r="A3050"/>
      <c r="B3050"/>
      <c r="C3050"/>
      <c r="D3050"/>
    </row>
    <row r="3051" spans="1:4" x14ac:dyDescent="0.25">
      <c r="A3051"/>
      <c r="B3051"/>
      <c r="C3051"/>
      <c r="D3051"/>
    </row>
    <row r="3052" spans="1:4" x14ac:dyDescent="0.25">
      <c r="A3052"/>
      <c r="B3052"/>
      <c r="C3052"/>
      <c r="D3052"/>
    </row>
    <row r="3053" spans="1:4" x14ac:dyDescent="0.25">
      <c r="A3053"/>
      <c r="B3053"/>
      <c r="C3053"/>
      <c r="D3053"/>
    </row>
    <row r="3054" spans="1:4" x14ac:dyDescent="0.25">
      <c r="A3054"/>
      <c r="B3054"/>
      <c r="C3054"/>
      <c r="D3054"/>
    </row>
    <row r="3055" spans="1:4" x14ac:dyDescent="0.25">
      <c r="A3055"/>
      <c r="B3055"/>
      <c r="C3055"/>
      <c r="D3055"/>
    </row>
    <row r="3056" spans="1:4" x14ac:dyDescent="0.25">
      <c r="A3056"/>
      <c r="B3056"/>
      <c r="C3056"/>
      <c r="D3056"/>
    </row>
    <row r="3057" spans="1:4" x14ac:dyDescent="0.25">
      <c r="A3057"/>
      <c r="B3057"/>
      <c r="C3057"/>
      <c r="D3057"/>
    </row>
    <row r="3058" spans="1:4" x14ac:dyDescent="0.25">
      <c r="A3058"/>
      <c r="B3058"/>
      <c r="C3058"/>
      <c r="D3058"/>
    </row>
    <row r="3059" spans="1:4" x14ac:dyDescent="0.25">
      <c r="A3059"/>
      <c r="B3059"/>
      <c r="C3059"/>
      <c r="D3059"/>
    </row>
    <row r="3060" spans="1:4" x14ac:dyDescent="0.25">
      <c r="A3060"/>
      <c r="B3060"/>
      <c r="C3060"/>
      <c r="D3060"/>
    </row>
    <row r="3061" spans="1:4" x14ac:dyDescent="0.25">
      <c r="A3061"/>
      <c r="B3061"/>
      <c r="C3061"/>
      <c r="D3061"/>
    </row>
    <row r="3062" spans="1:4" x14ac:dyDescent="0.25">
      <c r="A3062"/>
      <c r="B3062"/>
      <c r="C3062"/>
      <c r="D3062"/>
    </row>
    <row r="3063" spans="1:4" x14ac:dyDescent="0.25">
      <c r="A3063"/>
      <c r="B3063"/>
      <c r="C3063"/>
      <c r="D3063"/>
    </row>
    <row r="3064" spans="1:4" x14ac:dyDescent="0.25">
      <c r="A3064"/>
      <c r="B3064"/>
      <c r="C3064"/>
      <c r="D3064"/>
    </row>
    <row r="3065" spans="1:4" x14ac:dyDescent="0.25">
      <c r="A3065"/>
      <c r="B3065"/>
      <c r="C3065"/>
      <c r="D3065"/>
    </row>
    <row r="3066" spans="1:4" x14ac:dyDescent="0.25">
      <c r="A3066"/>
      <c r="B3066"/>
      <c r="C3066"/>
      <c r="D3066"/>
    </row>
    <row r="3067" spans="1:4" x14ac:dyDescent="0.25">
      <c r="A3067"/>
      <c r="B3067"/>
      <c r="C3067"/>
      <c r="D3067"/>
    </row>
    <row r="3068" spans="1:4" x14ac:dyDescent="0.25">
      <c r="A3068"/>
      <c r="B3068"/>
      <c r="C3068"/>
      <c r="D3068"/>
    </row>
    <row r="3069" spans="1:4" x14ac:dyDescent="0.25">
      <c r="A3069"/>
      <c r="B3069"/>
      <c r="C3069"/>
      <c r="D3069"/>
    </row>
    <row r="3070" spans="1:4" x14ac:dyDescent="0.25">
      <c r="A3070"/>
      <c r="B3070"/>
      <c r="C3070"/>
      <c r="D3070"/>
    </row>
    <row r="3071" spans="1:4" x14ac:dyDescent="0.25">
      <c r="A3071"/>
      <c r="B3071"/>
      <c r="C3071"/>
      <c r="D3071"/>
    </row>
    <row r="3072" spans="1:4" x14ac:dyDescent="0.25">
      <c r="A3072"/>
      <c r="B3072"/>
      <c r="C3072"/>
      <c r="D3072"/>
    </row>
    <row r="3073" spans="1:4" x14ac:dyDescent="0.25">
      <c r="A3073"/>
      <c r="B3073"/>
      <c r="C3073"/>
      <c r="D3073"/>
    </row>
    <row r="3074" spans="1:4" x14ac:dyDescent="0.25">
      <c r="A3074"/>
      <c r="B3074"/>
      <c r="C3074"/>
      <c r="D3074"/>
    </row>
    <row r="3075" spans="1:4" x14ac:dyDescent="0.25">
      <c r="A3075"/>
      <c r="B3075"/>
      <c r="C3075"/>
      <c r="D3075"/>
    </row>
    <row r="3076" spans="1:4" x14ac:dyDescent="0.25">
      <c r="A3076"/>
      <c r="B3076"/>
      <c r="C3076"/>
      <c r="D3076"/>
    </row>
    <row r="3077" spans="1:4" x14ac:dyDescent="0.25">
      <c r="A3077"/>
      <c r="B3077"/>
      <c r="C3077"/>
      <c r="D3077"/>
    </row>
    <row r="3078" spans="1:4" x14ac:dyDescent="0.25">
      <c r="A3078"/>
      <c r="B3078"/>
      <c r="C3078"/>
      <c r="D3078"/>
    </row>
    <row r="3079" spans="1:4" x14ac:dyDescent="0.25">
      <c r="A3079"/>
      <c r="B3079"/>
      <c r="C3079"/>
      <c r="D3079"/>
    </row>
    <row r="3080" spans="1:4" x14ac:dyDescent="0.25">
      <c r="A3080"/>
      <c r="B3080"/>
      <c r="C3080"/>
      <c r="D3080"/>
    </row>
    <row r="3081" spans="1:4" x14ac:dyDescent="0.25">
      <c r="A3081"/>
      <c r="B3081"/>
      <c r="C3081"/>
      <c r="D3081"/>
    </row>
    <row r="3082" spans="1:4" x14ac:dyDescent="0.25">
      <c r="A3082"/>
      <c r="B3082"/>
      <c r="C3082"/>
      <c r="D3082"/>
    </row>
    <row r="3083" spans="1:4" x14ac:dyDescent="0.25">
      <c r="A3083"/>
      <c r="B3083"/>
      <c r="C3083"/>
      <c r="D3083"/>
    </row>
    <row r="3084" spans="1:4" x14ac:dyDescent="0.25">
      <c r="A3084"/>
      <c r="B3084"/>
      <c r="C3084"/>
      <c r="D3084"/>
    </row>
    <row r="3085" spans="1:4" x14ac:dyDescent="0.25">
      <c r="A3085"/>
      <c r="B3085"/>
      <c r="C3085"/>
      <c r="D3085"/>
    </row>
    <row r="3086" spans="1:4" x14ac:dyDescent="0.25">
      <c r="A3086"/>
      <c r="B3086"/>
      <c r="C3086"/>
      <c r="D3086"/>
    </row>
    <row r="3087" spans="1:4" x14ac:dyDescent="0.25">
      <c r="A3087"/>
      <c r="B3087"/>
      <c r="C3087"/>
      <c r="D3087"/>
    </row>
    <row r="3088" spans="1:4" x14ac:dyDescent="0.25">
      <c r="A3088"/>
      <c r="B3088"/>
      <c r="C3088"/>
      <c r="D3088"/>
    </row>
    <row r="3089" spans="1:4" x14ac:dyDescent="0.25">
      <c r="A3089"/>
      <c r="B3089"/>
      <c r="C3089"/>
      <c r="D3089"/>
    </row>
    <row r="3090" spans="1:4" x14ac:dyDescent="0.25">
      <c r="A3090"/>
      <c r="B3090"/>
      <c r="C3090"/>
      <c r="D3090"/>
    </row>
    <row r="3091" spans="1:4" x14ac:dyDescent="0.25">
      <c r="A3091"/>
      <c r="B3091"/>
      <c r="C3091"/>
      <c r="D3091"/>
    </row>
    <row r="3092" spans="1:4" x14ac:dyDescent="0.25">
      <c r="A3092"/>
      <c r="B3092"/>
      <c r="C3092"/>
      <c r="D3092"/>
    </row>
    <row r="3093" spans="1:4" x14ac:dyDescent="0.25">
      <c r="A3093"/>
      <c r="B3093"/>
      <c r="C3093"/>
      <c r="D3093"/>
    </row>
    <row r="3094" spans="1:4" x14ac:dyDescent="0.25">
      <c r="A3094"/>
      <c r="B3094"/>
      <c r="C3094"/>
      <c r="D3094"/>
    </row>
    <row r="3095" spans="1:4" x14ac:dyDescent="0.25">
      <c r="A3095"/>
      <c r="B3095"/>
      <c r="C3095"/>
      <c r="D3095"/>
    </row>
    <row r="3096" spans="1:4" x14ac:dyDescent="0.25">
      <c r="A3096"/>
      <c r="B3096"/>
      <c r="C3096"/>
      <c r="D3096"/>
    </row>
    <row r="3097" spans="1:4" x14ac:dyDescent="0.25">
      <c r="A3097"/>
      <c r="B3097"/>
      <c r="C3097"/>
      <c r="D3097"/>
    </row>
    <row r="3098" spans="1:4" x14ac:dyDescent="0.25">
      <c r="A3098"/>
      <c r="B3098"/>
      <c r="C3098"/>
      <c r="D3098"/>
    </row>
    <row r="3099" spans="1:4" x14ac:dyDescent="0.25">
      <c r="A3099"/>
      <c r="B3099"/>
      <c r="C3099"/>
      <c r="D3099"/>
    </row>
    <row r="3100" spans="1:4" x14ac:dyDescent="0.25">
      <c r="A3100"/>
      <c r="B3100"/>
      <c r="C3100"/>
      <c r="D3100"/>
    </row>
    <row r="3101" spans="1:4" x14ac:dyDescent="0.25">
      <c r="A3101"/>
      <c r="B3101"/>
      <c r="C3101"/>
      <c r="D3101"/>
    </row>
    <row r="3102" spans="1:4" x14ac:dyDescent="0.25">
      <c r="A3102"/>
      <c r="B3102"/>
      <c r="C3102"/>
      <c r="D3102"/>
    </row>
    <row r="3103" spans="1:4" x14ac:dyDescent="0.25">
      <c r="A3103"/>
      <c r="B3103"/>
      <c r="C3103"/>
      <c r="D3103"/>
    </row>
    <row r="3104" spans="1:4" x14ac:dyDescent="0.25">
      <c r="A3104"/>
      <c r="B3104"/>
      <c r="C3104"/>
      <c r="D3104"/>
    </row>
    <row r="3105" spans="1:4" x14ac:dyDescent="0.25">
      <c r="A3105"/>
      <c r="B3105"/>
      <c r="C3105"/>
      <c r="D3105"/>
    </row>
    <row r="3106" spans="1:4" x14ac:dyDescent="0.25">
      <c r="A3106"/>
      <c r="B3106"/>
      <c r="C3106"/>
      <c r="D3106"/>
    </row>
    <row r="3107" spans="1:4" x14ac:dyDescent="0.25">
      <c r="A3107"/>
      <c r="B3107"/>
      <c r="C3107"/>
      <c r="D3107"/>
    </row>
    <row r="3108" spans="1:4" x14ac:dyDescent="0.25">
      <c r="A3108"/>
      <c r="B3108"/>
      <c r="C3108"/>
      <c r="D3108"/>
    </row>
    <row r="3109" spans="1:4" x14ac:dyDescent="0.25">
      <c r="A3109"/>
      <c r="B3109"/>
      <c r="C3109"/>
      <c r="D3109"/>
    </row>
    <row r="3110" spans="1:4" x14ac:dyDescent="0.25">
      <c r="A3110"/>
      <c r="B3110"/>
      <c r="C3110"/>
      <c r="D3110"/>
    </row>
    <row r="3111" spans="1:4" x14ac:dyDescent="0.25">
      <c r="A3111"/>
      <c r="B3111"/>
      <c r="C3111"/>
      <c r="D3111"/>
    </row>
    <row r="3112" spans="1:4" x14ac:dyDescent="0.25">
      <c r="A3112"/>
      <c r="B3112"/>
      <c r="C3112"/>
      <c r="D3112"/>
    </row>
    <row r="3113" spans="1:4" x14ac:dyDescent="0.25">
      <c r="A3113"/>
      <c r="B3113"/>
      <c r="C3113"/>
      <c r="D3113"/>
    </row>
    <row r="3114" spans="1:4" x14ac:dyDescent="0.25">
      <c r="A3114"/>
      <c r="B3114"/>
      <c r="C3114"/>
      <c r="D3114"/>
    </row>
    <row r="3115" spans="1:4" x14ac:dyDescent="0.25">
      <c r="A3115"/>
      <c r="B3115"/>
      <c r="C3115"/>
      <c r="D3115"/>
    </row>
    <row r="3116" spans="1:4" x14ac:dyDescent="0.25">
      <c r="A3116"/>
      <c r="B3116"/>
      <c r="C3116"/>
      <c r="D3116"/>
    </row>
    <row r="3117" spans="1:4" x14ac:dyDescent="0.25">
      <c r="A3117"/>
      <c r="B3117"/>
      <c r="C3117"/>
      <c r="D3117"/>
    </row>
    <row r="3118" spans="1:4" x14ac:dyDescent="0.25">
      <c r="A3118"/>
      <c r="B3118"/>
      <c r="C3118"/>
      <c r="D3118"/>
    </row>
    <row r="3119" spans="1:4" x14ac:dyDescent="0.25">
      <c r="A3119"/>
      <c r="B3119"/>
      <c r="C3119"/>
      <c r="D3119"/>
    </row>
    <row r="3120" spans="1:4" x14ac:dyDescent="0.25">
      <c r="A3120"/>
      <c r="B3120"/>
      <c r="C3120"/>
      <c r="D3120"/>
    </row>
    <row r="3121" spans="1:4" x14ac:dyDescent="0.25">
      <c r="A3121"/>
      <c r="B3121"/>
      <c r="C3121"/>
      <c r="D3121"/>
    </row>
    <row r="3122" spans="1:4" x14ac:dyDescent="0.25">
      <c r="A3122"/>
      <c r="B3122"/>
      <c r="C3122"/>
      <c r="D3122"/>
    </row>
    <row r="3123" spans="1:4" x14ac:dyDescent="0.25">
      <c r="A3123"/>
      <c r="B3123"/>
      <c r="C3123"/>
      <c r="D3123"/>
    </row>
    <row r="3124" spans="1:4" x14ac:dyDescent="0.25">
      <c r="A3124"/>
      <c r="B3124"/>
      <c r="C3124"/>
      <c r="D3124"/>
    </row>
    <row r="3125" spans="1:4" x14ac:dyDescent="0.25">
      <c r="A3125"/>
      <c r="B3125"/>
      <c r="C3125"/>
      <c r="D3125"/>
    </row>
    <row r="3126" spans="1:4" x14ac:dyDescent="0.25">
      <c r="A3126"/>
      <c r="B3126"/>
      <c r="C3126"/>
      <c r="D3126"/>
    </row>
    <row r="3127" spans="1:4" x14ac:dyDescent="0.25">
      <c r="A3127"/>
      <c r="B3127"/>
      <c r="C3127"/>
      <c r="D3127"/>
    </row>
    <row r="3128" spans="1:4" x14ac:dyDescent="0.25">
      <c r="A3128"/>
      <c r="B3128"/>
      <c r="C3128"/>
      <c r="D3128"/>
    </row>
    <row r="3129" spans="1:4" x14ac:dyDescent="0.25">
      <c r="A3129"/>
      <c r="B3129"/>
      <c r="C3129"/>
      <c r="D3129"/>
    </row>
    <row r="3130" spans="1:4" x14ac:dyDescent="0.25">
      <c r="A3130"/>
      <c r="B3130"/>
      <c r="C3130"/>
      <c r="D3130"/>
    </row>
    <row r="3131" spans="1:4" x14ac:dyDescent="0.25">
      <c r="A3131"/>
      <c r="B3131"/>
      <c r="C3131"/>
      <c r="D3131"/>
    </row>
    <row r="3132" spans="1:4" x14ac:dyDescent="0.25">
      <c r="A3132"/>
      <c r="B3132"/>
      <c r="C3132"/>
      <c r="D3132"/>
    </row>
    <row r="3133" spans="1:4" x14ac:dyDescent="0.25">
      <c r="A3133"/>
      <c r="B3133"/>
      <c r="C3133"/>
      <c r="D3133"/>
    </row>
    <row r="3134" spans="1:4" x14ac:dyDescent="0.25">
      <c r="A3134"/>
      <c r="B3134"/>
      <c r="C3134"/>
      <c r="D3134"/>
    </row>
    <row r="3135" spans="1:4" x14ac:dyDescent="0.25">
      <c r="A3135"/>
      <c r="B3135"/>
      <c r="C3135"/>
      <c r="D3135"/>
    </row>
    <row r="3136" spans="1:4" x14ac:dyDescent="0.25">
      <c r="A3136"/>
      <c r="B3136"/>
      <c r="C3136"/>
      <c r="D3136"/>
    </row>
    <row r="3137" spans="1:4" x14ac:dyDescent="0.25">
      <c r="A3137"/>
      <c r="B3137"/>
      <c r="C3137"/>
      <c r="D3137"/>
    </row>
    <row r="3138" spans="1:4" x14ac:dyDescent="0.25">
      <c r="A3138"/>
      <c r="B3138"/>
      <c r="C3138"/>
      <c r="D3138"/>
    </row>
    <row r="3139" spans="1:4" x14ac:dyDescent="0.25">
      <c r="A3139"/>
      <c r="B3139"/>
      <c r="C3139"/>
      <c r="D3139"/>
    </row>
    <row r="3140" spans="1:4" x14ac:dyDescent="0.25">
      <c r="A3140"/>
      <c r="B3140"/>
      <c r="C3140"/>
      <c r="D3140"/>
    </row>
    <row r="3141" spans="1:4" x14ac:dyDescent="0.25">
      <c r="A3141"/>
      <c r="B3141"/>
      <c r="C3141"/>
      <c r="D3141"/>
    </row>
    <row r="3142" spans="1:4" x14ac:dyDescent="0.25">
      <c r="A3142"/>
      <c r="B3142"/>
      <c r="C3142"/>
      <c r="D3142"/>
    </row>
    <row r="3143" spans="1:4" x14ac:dyDescent="0.25">
      <c r="A3143"/>
      <c r="B3143"/>
      <c r="C3143"/>
      <c r="D3143"/>
    </row>
    <row r="3144" spans="1:4" x14ac:dyDescent="0.25">
      <c r="A3144"/>
      <c r="B3144"/>
      <c r="C3144"/>
      <c r="D3144"/>
    </row>
    <row r="3145" spans="1:4" x14ac:dyDescent="0.25">
      <c r="A3145"/>
      <c r="B3145"/>
      <c r="C3145"/>
      <c r="D3145"/>
    </row>
    <row r="3146" spans="1:4" x14ac:dyDescent="0.25">
      <c r="A3146"/>
      <c r="B3146"/>
      <c r="C3146"/>
      <c r="D3146"/>
    </row>
    <row r="3147" spans="1:4" x14ac:dyDescent="0.25">
      <c r="A3147"/>
      <c r="B3147"/>
      <c r="C3147"/>
      <c r="D3147"/>
    </row>
    <row r="3148" spans="1:4" x14ac:dyDescent="0.25">
      <c r="A3148"/>
      <c r="B3148"/>
      <c r="C3148"/>
      <c r="D3148"/>
    </row>
    <row r="3149" spans="1:4" x14ac:dyDescent="0.25">
      <c r="A3149"/>
      <c r="B3149"/>
      <c r="C3149"/>
      <c r="D3149"/>
    </row>
    <row r="3150" spans="1:4" x14ac:dyDescent="0.25">
      <c r="A3150"/>
      <c r="B3150"/>
      <c r="C3150"/>
      <c r="D3150"/>
    </row>
    <row r="3151" spans="1:4" x14ac:dyDescent="0.25">
      <c r="A3151"/>
      <c r="B3151"/>
      <c r="C3151"/>
      <c r="D3151"/>
    </row>
    <row r="3152" spans="1:4" x14ac:dyDescent="0.25">
      <c r="A3152"/>
      <c r="B3152"/>
      <c r="C3152"/>
      <c r="D3152"/>
    </row>
    <row r="3153" spans="1:4" x14ac:dyDescent="0.25">
      <c r="A3153"/>
      <c r="B3153"/>
      <c r="C3153"/>
      <c r="D3153"/>
    </row>
    <row r="3154" spans="1:4" x14ac:dyDescent="0.25">
      <c r="A3154"/>
      <c r="B3154"/>
      <c r="C3154"/>
      <c r="D3154"/>
    </row>
    <row r="3155" spans="1:4" x14ac:dyDescent="0.25">
      <c r="A3155"/>
      <c r="B3155"/>
      <c r="C3155"/>
      <c r="D3155"/>
    </row>
    <row r="3156" spans="1:4" x14ac:dyDescent="0.25">
      <c r="A3156"/>
      <c r="B3156"/>
      <c r="C3156"/>
      <c r="D3156"/>
    </row>
    <row r="3157" spans="1:4" x14ac:dyDescent="0.25">
      <c r="A3157"/>
      <c r="B3157"/>
      <c r="C3157"/>
      <c r="D3157"/>
    </row>
    <row r="3158" spans="1:4" x14ac:dyDescent="0.25">
      <c r="A3158"/>
      <c r="B3158"/>
      <c r="C3158"/>
      <c r="D3158"/>
    </row>
    <row r="3159" spans="1:4" x14ac:dyDescent="0.25">
      <c r="A3159"/>
      <c r="B3159"/>
      <c r="C3159"/>
      <c r="D3159"/>
    </row>
    <row r="3160" spans="1:4" x14ac:dyDescent="0.25">
      <c r="A3160"/>
      <c r="B3160"/>
      <c r="C3160"/>
      <c r="D3160"/>
    </row>
    <row r="3161" spans="1:4" x14ac:dyDescent="0.25">
      <c r="A3161"/>
      <c r="B3161"/>
      <c r="C3161"/>
      <c r="D3161"/>
    </row>
    <row r="3162" spans="1:4" x14ac:dyDescent="0.25">
      <c r="A3162"/>
      <c r="B3162"/>
      <c r="C3162"/>
      <c r="D3162"/>
    </row>
    <row r="3163" spans="1:4" x14ac:dyDescent="0.25">
      <c r="A3163"/>
      <c r="B3163"/>
      <c r="C3163"/>
      <c r="D3163"/>
    </row>
    <row r="3164" spans="1:4" x14ac:dyDescent="0.25">
      <c r="A3164"/>
      <c r="B3164"/>
      <c r="C3164"/>
      <c r="D3164"/>
    </row>
    <row r="3165" spans="1:4" x14ac:dyDescent="0.25">
      <c r="A3165"/>
      <c r="B3165"/>
      <c r="C3165"/>
      <c r="D3165"/>
    </row>
    <row r="3166" spans="1:4" x14ac:dyDescent="0.25">
      <c r="A3166"/>
      <c r="B3166"/>
      <c r="C3166"/>
      <c r="D3166"/>
    </row>
    <row r="3167" spans="1:4" x14ac:dyDescent="0.25">
      <c r="A3167"/>
      <c r="B3167"/>
      <c r="C3167"/>
      <c r="D3167"/>
    </row>
    <row r="3168" spans="1:4" x14ac:dyDescent="0.25">
      <c r="A3168"/>
      <c r="B3168"/>
      <c r="C3168"/>
      <c r="D3168"/>
    </row>
    <row r="3169" spans="1:4" x14ac:dyDescent="0.25">
      <c r="A3169"/>
      <c r="B3169"/>
      <c r="C3169"/>
      <c r="D3169"/>
    </row>
    <row r="3170" spans="1:4" x14ac:dyDescent="0.25">
      <c r="A3170"/>
      <c r="B3170"/>
      <c r="C3170"/>
      <c r="D3170"/>
    </row>
    <row r="3171" spans="1:4" x14ac:dyDescent="0.25">
      <c r="A3171"/>
      <c r="B3171"/>
      <c r="C3171"/>
      <c r="D3171"/>
    </row>
    <row r="3172" spans="1:4" x14ac:dyDescent="0.25">
      <c r="A3172"/>
      <c r="B3172"/>
      <c r="C3172"/>
      <c r="D3172"/>
    </row>
    <row r="3173" spans="1:4" x14ac:dyDescent="0.25">
      <c r="A3173"/>
      <c r="B3173"/>
      <c r="C3173"/>
      <c r="D3173"/>
    </row>
    <row r="3174" spans="1:4" x14ac:dyDescent="0.25">
      <c r="A3174"/>
      <c r="B3174"/>
      <c r="C3174"/>
      <c r="D3174"/>
    </row>
    <row r="3175" spans="1:4" x14ac:dyDescent="0.25">
      <c r="A3175"/>
      <c r="B3175"/>
      <c r="C3175"/>
      <c r="D3175"/>
    </row>
    <row r="3176" spans="1:4" x14ac:dyDescent="0.25">
      <c r="A3176"/>
      <c r="B3176"/>
      <c r="C3176"/>
      <c r="D3176"/>
    </row>
    <row r="3177" spans="1:4" x14ac:dyDescent="0.25">
      <c r="A3177"/>
      <c r="B3177"/>
      <c r="C3177"/>
      <c r="D3177"/>
    </row>
    <row r="3178" spans="1:4" x14ac:dyDescent="0.25">
      <c r="A3178"/>
      <c r="B3178"/>
      <c r="C3178"/>
      <c r="D3178"/>
    </row>
    <row r="3179" spans="1:4" x14ac:dyDescent="0.25">
      <c r="A3179"/>
      <c r="B3179"/>
      <c r="C3179"/>
      <c r="D3179"/>
    </row>
    <row r="3180" spans="1:4" x14ac:dyDescent="0.25">
      <c r="A3180"/>
      <c r="B3180"/>
      <c r="C3180"/>
      <c r="D3180"/>
    </row>
    <row r="3181" spans="1:4" x14ac:dyDescent="0.25">
      <c r="A3181"/>
      <c r="B3181"/>
      <c r="C3181"/>
      <c r="D3181"/>
    </row>
    <row r="3182" spans="1:4" x14ac:dyDescent="0.25">
      <c r="A3182"/>
      <c r="B3182"/>
      <c r="C3182"/>
      <c r="D3182"/>
    </row>
    <row r="3183" spans="1:4" x14ac:dyDescent="0.25">
      <c r="A3183"/>
      <c r="B3183"/>
      <c r="C3183"/>
      <c r="D3183"/>
    </row>
    <row r="3184" spans="1:4" x14ac:dyDescent="0.25">
      <c r="A3184"/>
      <c r="B3184"/>
      <c r="C3184"/>
      <c r="D3184"/>
    </row>
    <row r="3185" spans="1:4" x14ac:dyDescent="0.25">
      <c r="A3185"/>
      <c r="B3185"/>
      <c r="C3185"/>
      <c r="D3185"/>
    </row>
    <row r="3186" spans="1:4" x14ac:dyDescent="0.25">
      <c r="A3186"/>
      <c r="B3186"/>
      <c r="C3186"/>
      <c r="D3186"/>
    </row>
    <row r="3187" spans="1:4" x14ac:dyDescent="0.25">
      <c r="A3187"/>
      <c r="B3187"/>
      <c r="C3187"/>
      <c r="D3187"/>
    </row>
    <row r="3188" spans="1:4" x14ac:dyDescent="0.25">
      <c r="A3188"/>
      <c r="B3188"/>
      <c r="C3188"/>
      <c r="D3188"/>
    </row>
    <row r="3189" spans="1:4" x14ac:dyDescent="0.25">
      <c r="A3189"/>
      <c r="B3189"/>
      <c r="C3189"/>
      <c r="D3189"/>
    </row>
    <row r="3190" spans="1:4" x14ac:dyDescent="0.25">
      <c r="A3190"/>
      <c r="B3190"/>
      <c r="C3190"/>
      <c r="D3190"/>
    </row>
    <row r="3191" spans="1:4" x14ac:dyDescent="0.25">
      <c r="A3191"/>
      <c r="B3191"/>
      <c r="C3191"/>
      <c r="D3191"/>
    </row>
    <row r="3192" spans="1:4" x14ac:dyDescent="0.25">
      <c r="A3192"/>
      <c r="B3192"/>
      <c r="C3192"/>
      <c r="D3192"/>
    </row>
    <row r="3193" spans="1:4" x14ac:dyDescent="0.25">
      <c r="A3193"/>
      <c r="B3193"/>
      <c r="C3193"/>
      <c r="D3193"/>
    </row>
    <row r="3194" spans="1:4" x14ac:dyDescent="0.25">
      <c r="A3194"/>
      <c r="B3194"/>
      <c r="C3194"/>
      <c r="D3194"/>
    </row>
    <row r="3195" spans="1:4" x14ac:dyDescent="0.25">
      <c r="A3195"/>
      <c r="B3195"/>
      <c r="C3195"/>
      <c r="D3195"/>
    </row>
    <row r="3196" spans="1:4" x14ac:dyDescent="0.25">
      <c r="A3196"/>
      <c r="B3196"/>
      <c r="C3196"/>
      <c r="D3196"/>
    </row>
    <row r="3197" spans="1:4" x14ac:dyDescent="0.25">
      <c r="A3197"/>
      <c r="B3197"/>
      <c r="C3197"/>
      <c r="D3197"/>
    </row>
    <row r="3198" spans="1:4" x14ac:dyDescent="0.25">
      <c r="A3198"/>
      <c r="B3198"/>
      <c r="C3198"/>
      <c r="D3198"/>
    </row>
    <row r="3199" spans="1:4" x14ac:dyDescent="0.25">
      <c r="A3199"/>
      <c r="B3199"/>
      <c r="C3199"/>
      <c r="D3199"/>
    </row>
    <row r="3200" spans="1:4" x14ac:dyDescent="0.25">
      <c r="A3200"/>
      <c r="B3200"/>
      <c r="C3200"/>
      <c r="D3200"/>
    </row>
    <row r="3201" spans="1:4" x14ac:dyDescent="0.25">
      <c r="A3201"/>
      <c r="B3201"/>
      <c r="C3201"/>
      <c r="D3201"/>
    </row>
    <row r="3202" spans="1:4" x14ac:dyDescent="0.25">
      <c r="A3202"/>
      <c r="B3202"/>
      <c r="C3202"/>
      <c r="D3202"/>
    </row>
    <row r="3203" spans="1:4" x14ac:dyDescent="0.25">
      <c r="A3203"/>
      <c r="B3203"/>
      <c r="C3203"/>
      <c r="D3203"/>
    </row>
    <row r="3204" spans="1:4" x14ac:dyDescent="0.25">
      <c r="A3204"/>
      <c r="B3204"/>
      <c r="C3204"/>
      <c r="D3204"/>
    </row>
    <row r="3205" spans="1:4" x14ac:dyDescent="0.25">
      <c r="A3205"/>
      <c r="B3205"/>
      <c r="C3205"/>
      <c r="D3205"/>
    </row>
    <row r="3206" spans="1:4" x14ac:dyDescent="0.25">
      <c r="A3206"/>
      <c r="B3206"/>
      <c r="C3206"/>
      <c r="D3206"/>
    </row>
    <row r="3207" spans="1:4" x14ac:dyDescent="0.25">
      <c r="A3207"/>
      <c r="B3207"/>
      <c r="C3207"/>
      <c r="D3207"/>
    </row>
    <row r="3208" spans="1:4" x14ac:dyDescent="0.25">
      <c r="A3208"/>
      <c r="B3208"/>
      <c r="C3208"/>
      <c r="D3208"/>
    </row>
    <row r="3209" spans="1:4" x14ac:dyDescent="0.25">
      <c r="A3209"/>
      <c r="B3209"/>
      <c r="C3209"/>
      <c r="D3209"/>
    </row>
    <row r="3210" spans="1:4" x14ac:dyDescent="0.25">
      <c r="A3210"/>
      <c r="B3210"/>
      <c r="C3210"/>
      <c r="D3210"/>
    </row>
    <row r="3211" spans="1:4" x14ac:dyDescent="0.25">
      <c r="A3211"/>
      <c r="B3211"/>
      <c r="C3211"/>
      <c r="D3211"/>
    </row>
    <row r="3212" spans="1:4" x14ac:dyDescent="0.25">
      <c r="A3212"/>
      <c r="B3212"/>
      <c r="C3212"/>
      <c r="D3212"/>
    </row>
    <row r="3213" spans="1:4" x14ac:dyDescent="0.25">
      <c r="A3213"/>
      <c r="B3213"/>
      <c r="C3213"/>
      <c r="D3213"/>
    </row>
    <row r="3214" spans="1:4" x14ac:dyDescent="0.25">
      <c r="A3214"/>
      <c r="B3214"/>
      <c r="C3214"/>
      <c r="D3214"/>
    </row>
    <row r="3215" spans="1:4" x14ac:dyDescent="0.25">
      <c r="A3215"/>
      <c r="B3215"/>
      <c r="C3215"/>
      <c r="D3215"/>
    </row>
    <row r="3216" spans="1:4" x14ac:dyDescent="0.25">
      <c r="A3216"/>
      <c r="B3216"/>
      <c r="C3216"/>
      <c r="D3216"/>
    </row>
    <row r="3217" spans="1:4" x14ac:dyDescent="0.25">
      <c r="A3217"/>
      <c r="B3217"/>
      <c r="C3217"/>
      <c r="D3217"/>
    </row>
    <row r="3218" spans="1:4" x14ac:dyDescent="0.25">
      <c r="A3218"/>
      <c r="B3218"/>
      <c r="C3218"/>
      <c r="D3218"/>
    </row>
    <row r="3219" spans="1:4" x14ac:dyDescent="0.25">
      <c r="A3219"/>
      <c r="B3219"/>
      <c r="C3219"/>
      <c r="D3219"/>
    </row>
    <row r="3220" spans="1:4" x14ac:dyDescent="0.25">
      <c r="A3220"/>
      <c r="B3220"/>
      <c r="C3220"/>
      <c r="D3220"/>
    </row>
    <row r="3221" spans="1:4" x14ac:dyDescent="0.25">
      <c r="A3221"/>
      <c r="B3221"/>
      <c r="C3221"/>
      <c r="D3221"/>
    </row>
    <row r="3222" spans="1:4" x14ac:dyDescent="0.25">
      <c r="A3222"/>
      <c r="B3222"/>
      <c r="C3222"/>
      <c r="D3222"/>
    </row>
    <row r="3223" spans="1:4" x14ac:dyDescent="0.25">
      <c r="A3223"/>
      <c r="B3223"/>
      <c r="C3223"/>
      <c r="D3223"/>
    </row>
    <row r="3224" spans="1:4" x14ac:dyDescent="0.25">
      <c r="A3224"/>
      <c r="B3224"/>
      <c r="C3224"/>
      <c r="D3224"/>
    </row>
    <row r="3225" spans="1:4" x14ac:dyDescent="0.25">
      <c r="A3225"/>
      <c r="B3225"/>
      <c r="C3225"/>
      <c r="D3225"/>
    </row>
    <row r="3226" spans="1:4" x14ac:dyDescent="0.25">
      <c r="A3226"/>
      <c r="B3226"/>
      <c r="C3226"/>
      <c r="D3226"/>
    </row>
    <row r="3227" spans="1:4" x14ac:dyDescent="0.25">
      <c r="A3227"/>
      <c r="B3227"/>
      <c r="C3227"/>
      <c r="D3227"/>
    </row>
    <row r="3228" spans="1:4" x14ac:dyDescent="0.25">
      <c r="A3228"/>
      <c r="B3228"/>
      <c r="C3228"/>
      <c r="D3228"/>
    </row>
    <row r="3229" spans="1:4" x14ac:dyDescent="0.25">
      <c r="A3229"/>
      <c r="B3229"/>
      <c r="C3229"/>
      <c r="D3229"/>
    </row>
    <row r="3230" spans="1:4" x14ac:dyDescent="0.25">
      <c r="A3230"/>
      <c r="B3230"/>
      <c r="C3230"/>
      <c r="D3230"/>
    </row>
    <row r="3231" spans="1:4" x14ac:dyDescent="0.25">
      <c r="A3231"/>
      <c r="B3231"/>
      <c r="C3231"/>
      <c r="D3231"/>
    </row>
    <row r="3232" spans="1:4" x14ac:dyDescent="0.25">
      <c r="A3232"/>
      <c r="B3232"/>
      <c r="C3232"/>
      <c r="D3232"/>
    </row>
    <row r="3233" spans="1:4" x14ac:dyDescent="0.25">
      <c r="A3233"/>
      <c r="B3233"/>
      <c r="C3233"/>
      <c r="D3233"/>
    </row>
    <row r="3234" spans="1:4" x14ac:dyDescent="0.25">
      <c r="A3234"/>
      <c r="B3234"/>
      <c r="C3234"/>
      <c r="D3234"/>
    </row>
    <row r="3235" spans="1:4" x14ac:dyDescent="0.25">
      <c r="A3235"/>
      <c r="B3235"/>
      <c r="C3235"/>
      <c r="D3235"/>
    </row>
    <row r="3236" spans="1:4" x14ac:dyDescent="0.25">
      <c r="A3236"/>
      <c r="B3236"/>
      <c r="C3236"/>
      <c r="D3236"/>
    </row>
    <row r="3237" spans="1:4" x14ac:dyDescent="0.25">
      <c r="A3237"/>
      <c r="B3237"/>
      <c r="C3237"/>
      <c r="D3237"/>
    </row>
    <row r="3238" spans="1:4" x14ac:dyDescent="0.25">
      <c r="A3238"/>
      <c r="B3238"/>
      <c r="C3238"/>
      <c r="D3238"/>
    </row>
    <row r="3239" spans="1:4" x14ac:dyDescent="0.25">
      <c r="A3239"/>
      <c r="B3239"/>
      <c r="C3239"/>
      <c r="D3239"/>
    </row>
    <row r="3240" spans="1:4" x14ac:dyDescent="0.25">
      <c r="A3240"/>
      <c r="B3240"/>
      <c r="C3240"/>
      <c r="D3240"/>
    </row>
    <row r="3241" spans="1:4" x14ac:dyDescent="0.25">
      <c r="A3241"/>
      <c r="B3241"/>
      <c r="C3241"/>
      <c r="D3241"/>
    </row>
    <row r="3242" spans="1:4" x14ac:dyDescent="0.25">
      <c r="A3242"/>
      <c r="B3242"/>
      <c r="C3242"/>
      <c r="D3242"/>
    </row>
    <row r="3243" spans="1:4" x14ac:dyDescent="0.25">
      <c r="A3243"/>
      <c r="B3243"/>
      <c r="C3243"/>
      <c r="D3243"/>
    </row>
    <row r="3244" spans="1:4" x14ac:dyDescent="0.25">
      <c r="A3244"/>
      <c r="B3244"/>
      <c r="C3244"/>
      <c r="D3244"/>
    </row>
    <row r="3245" spans="1:4" x14ac:dyDescent="0.25">
      <c r="A3245"/>
      <c r="B3245"/>
      <c r="C3245"/>
      <c r="D3245"/>
    </row>
    <row r="3246" spans="1:4" x14ac:dyDescent="0.25">
      <c r="A3246"/>
      <c r="B3246"/>
      <c r="C3246"/>
      <c r="D3246"/>
    </row>
    <row r="3247" spans="1:4" x14ac:dyDescent="0.25">
      <c r="A3247"/>
      <c r="B3247"/>
      <c r="C3247"/>
      <c r="D3247"/>
    </row>
    <row r="3248" spans="1:4" x14ac:dyDescent="0.25">
      <c r="A3248"/>
      <c r="B3248"/>
      <c r="C3248"/>
      <c r="D3248"/>
    </row>
    <row r="3249" spans="1:4" x14ac:dyDescent="0.25">
      <c r="A3249"/>
      <c r="B3249"/>
      <c r="C3249"/>
      <c r="D3249"/>
    </row>
    <row r="3250" spans="1:4" x14ac:dyDescent="0.25">
      <c r="A3250"/>
      <c r="B3250"/>
      <c r="C3250"/>
      <c r="D3250"/>
    </row>
    <row r="3251" spans="1:4" x14ac:dyDescent="0.25">
      <c r="A3251"/>
      <c r="B3251"/>
      <c r="C3251"/>
      <c r="D3251"/>
    </row>
    <row r="3252" spans="1:4" x14ac:dyDescent="0.25">
      <c r="A3252"/>
      <c r="B3252"/>
      <c r="C3252"/>
      <c r="D3252"/>
    </row>
    <row r="3253" spans="1:4" x14ac:dyDescent="0.25">
      <c r="A3253"/>
      <c r="B3253"/>
      <c r="C3253"/>
      <c r="D3253"/>
    </row>
    <row r="3254" spans="1:4" x14ac:dyDescent="0.25">
      <c r="A3254"/>
      <c r="B3254"/>
      <c r="C3254"/>
      <c r="D3254"/>
    </row>
    <row r="3255" spans="1:4" x14ac:dyDescent="0.25">
      <c r="A3255"/>
      <c r="B3255"/>
      <c r="C3255"/>
      <c r="D3255"/>
    </row>
    <row r="3256" spans="1:4" x14ac:dyDescent="0.25">
      <c r="A3256"/>
      <c r="B3256"/>
      <c r="C3256"/>
      <c r="D3256"/>
    </row>
    <row r="3257" spans="1:4" x14ac:dyDescent="0.25">
      <c r="A3257"/>
      <c r="B3257"/>
      <c r="C3257"/>
      <c r="D3257"/>
    </row>
    <row r="3258" spans="1:4" x14ac:dyDescent="0.25">
      <c r="A3258"/>
      <c r="B3258"/>
      <c r="C3258"/>
      <c r="D3258"/>
    </row>
    <row r="3259" spans="1:4" x14ac:dyDescent="0.25">
      <c r="A3259"/>
      <c r="B3259"/>
      <c r="C3259"/>
      <c r="D3259"/>
    </row>
    <row r="3260" spans="1:4" x14ac:dyDescent="0.25">
      <c r="A3260"/>
      <c r="B3260"/>
      <c r="C3260"/>
      <c r="D3260"/>
    </row>
    <row r="3261" spans="1:4" x14ac:dyDescent="0.25">
      <c r="A3261"/>
      <c r="B3261"/>
      <c r="C3261"/>
      <c r="D3261"/>
    </row>
    <row r="3262" spans="1:4" x14ac:dyDescent="0.25">
      <c r="A3262"/>
      <c r="B3262"/>
      <c r="C3262"/>
      <c r="D3262"/>
    </row>
    <row r="3263" spans="1:4" x14ac:dyDescent="0.25">
      <c r="A3263"/>
      <c r="B3263"/>
      <c r="C3263"/>
      <c r="D3263"/>
    </row>
    <row r="3264" spans="1:4" x14ac:dyDescent="0.25">
      <c r="A3264"/>
      <c r="B3264"/>
      <c r="C3264"/>
      <c r="D3264"/>
    </row>
    <row r="3265" spans="1:4" x14ac:dyDescent="0.25">
      <c r="A3265"/>
      <c r="B3265"/>
      <c r="C3265"/>
      <c r="D3265"/>
    </row>
    <row r="3266" spans="1:4" x14ac:dyDescent="0.25">
      <c r="A3266"/>
      <c r="B3266"/>
      <c r="C3266"/>
      <c r="D3266"/>
    </row>
    <row r="3267" spans="1:4" x14ac:dyDescent="0.25">
      <c r="A3267"/>
      <c r="B3267"/>
      <c r="C3267"/>
      <c r="D3267"/>
    </row>
    <row r="3268" spans="1:4" x14ac:dyDescent="0.25">
      <c r="A3268"/>
      <c r="B3268"/>
      <c r="C3268"/>
      <c r="D3268"/>
    </row>
    <row r="3269" spans="1:4" x14ac:dyDescent="0.25">
      <c r="A3269"/>
      <c r="B3269"/>
      <c r="C3269"/>
      <c r="D3269"/>
    </row>
    <row r="3270" spans="1:4" x14ac:dyDescent="0.25">
      <c r="A3270"/>
      <c r="B3270"/>
      <c r="C3270"/>
      <c r="D3270"/>
    </row>
    <row r="3271" spans="1:4" x14ac:dyDescent="0.25">
      <c r="A3271"/>
      <c r="B3271"/>
      <c r="C3271"/>
      <c r="D3271"/>
    </row>
    <row r="3272" spans="1:4" x14ac:dyDescent="0.25">
      <c r="A3272"/>
      <c r="B3272"/>
      <c r="C3272"/>
      <c r="D3272"/>
    </row>
    <row r="3273" spans="1:4" x14ac:dyDescent="0.25">
      <c r="A3273"/>
      <c r="B3273"/>
      <c r="C3273"/>
      <c r="D3273"/>
    </row>
    <row r="3274" spans="1:4" x14ac:dyDescent="0.25">
      <c r="A3274"/>
      <c r="B3274"/>
      <c r="C3274"/>
      <c r="D3274"/>
    </row>
    <row r="3275" spans="1:4" x14ac:dyDescent="0.25">
      <c r="A3275"/>
      <c r="B3275"/>
      <c r="C3275"/>
      <c r="D3275"/>
    </row>
    <row r="3276" spans="1:4" x14ac:dyDescent="0.25">
      <c r="A3276"/>
      <c r="B3276"/>
      <c r="C3276"/>
      <c r="D3276"/>
    </row>
    <row r="3277" spans="1:4" x14ac:dyDescent="0.25">
      <c r="A3277"/>
      <c r="B3277"/>
      <c r="C3277"/>
      <c r="D3277"/>
    </row>
    <row r="3278" spans="1:4" x14ac:dyDescent="0.25">
      <c r="A3278"/>
      <c r="B3278"/>
      <c r="C3278"/>
      <c r="D3278"/>
    </row>
    <row r="3279" spans="1:4" x14ac:dyDescent="0.25">
      <c r="A3279"/>
      <c r="B3279"/>
      <c r="C3279"/>
      <c r="D3279"/>
    </row>
    <row r="3280" spans="1:4" x14ac:dyDescent="0.25">
      <c r="A3280"/>
      <c r="B3280"/>
      <c r="C3280"/>
      <c r="D3280"/>
    </row>
    <row r="3281" spans="1:4" x14ac:dyDescent="0.25">
      <c r="A3281"/>
      <c r="B3281"/>
      <c r="C3281"/>
      <c r="D3281"/>
    </row>
    <row r="3282" spans="1:4" x14ac:dyDescent="0.25">
      <c r="A3282"/>
      <c r="B3282"/>
      <c r="C3282"/>
      <c r="D3282"/>
    </row>
    <row r="3283" spans="1:4" x14ac:dyDescent="0.25">
      <c r="A3283"/>
      <c r="B3283"/>
      <c r="C3283"/>
      <c r="D3283"/>
    </row>
    <row r="3284" spans="1:4" x14ac:dyDescent="0.25">
      <c r="A3284"/>
      <c r="B3284"/>
      <c r="C3284"/>
      <c r="D3284"/>
    </row>
    <row r="3285" spans="1:4" x14ac:dyDescent="0.25">
      <c r="A3285"/>
      <c r="B3285"/>
      <c r="C3285"/>
      <c r="D3285"/>
    </row>
    <row r="3286" spans="1:4" x14ac:dyDescent="0.25">
      <c r="A3286"/>
      <c r="B3286"/>
      <c r="C3286"/>
      <c r="D3286"/>
    </row>
    <row r="3287" spans="1:4" x14ac:dyDescent="0.25">
      <c r="A3287"/>
      <c r="B3287"/>
      <c r="C3287"/>
      <c r="D3287"/>
    </row>
    <row r="3288" spans="1:4" x14ac:dyDescent="0.25">
      <c r="A3288"/>
      <c r="B3288"/>
      <c r="C3288"/>
      <c r="D3288"/>
    </row>
    <row r="3289" spans="1:4" x14ac:dyDescent="0.25">
      <c r="A3289"/>
      <c r="B3289"/>
      <c r="C3289"/>
      <c r="D3289"/>
    </row>
    <row r="3290" spans="1:4" x14ac:dyDescent="0.25">
      <c r="A3290"/>
      <c r="B3290"/>
      <c r="C3290"/>
      <c r="D3290"/>
    </row>
    <row r="3291" spans="1:4" x14ac:dyDescent="0.25">
      <c r="A3291"/>
      <c r="B3291"/>
      <c r="C3291"/>
      <c r="D3291"/>
    </row>
    <row r="3292" spans="1:4" x14ac:dyDescent="0.25">
      <c r="A3292"/>
      <c r="B3292"/>
      <c r="C3292"/>
      <c r="D3292"/>
    </row>
    <row r="3293" spans="1:4" x14ac:dyDescent="0.25">
      <c r="A3293"/>
      <c r="B3293"/>
      <c r="C3293"/>
      <c r="D3293"/>
    </row>
    <row r="3294" spans="1:4" x14ac:dyDescent="0.25">
      <c r="A3294"/>
      <c r="B3294"/>
      <c r="C3294"/>
      <c r="D3294"/>
    </row>
    <row r="3295" spans="1:4" x14ac:dyDescent="0.25">
      <c r="A3295"/>
      <c r="B3295"/>
      <c r="C3295"/>
      <c r="D3295"/>
    </row>
    <row r="3296" spans="1:4" x14ac:dyDescent="0.25">
      <c r="A3296"/>
      <c r="B3296"/>
      <c r="C3296"/>
      <c r="D3296"/>
    </row>
    <row r="3297" spans="1:4" x14ac:dyDescent="0.25">
      <c r="A3297"/>
      <c r="B3297"/>
      <c r="C3297"/>
      <c r="D3297"/>
    </row>
    <row r="3298" spans="1:4" x14ac:dyDescent="0.25">
      <c r="A3298"/>
      <c r="B3298"/>
      <c r="C3298"/>
      <c r="D3298"/>
    </row>
    <row r="3299" spans="1:4" x14ac:dyDescent="0.25">
      <c r="A3299"/>
      <c r="B3299"/>
      <c r="C3299"/>
      <c r="D3299"/>
    </row>
    <row r="3300" spans="1:4" x14ac:dyDescent="0.25">
      <c r="A3300"/>
      <c r="B3300"/>
      <c r="C3300"/>
      <c r="D3300"/>
    </row>
    <row r="3301" spans="1:4" x14ac:dyDescent="0.25">
      <c r="A3301"/>
      <c r="B3301"/>
      <c r="C3301"/>
      <c r="D3301"/>
    </row>
    <row r="3302" spans="1:4" x14ac:dyDescent="0.25">
      <c r="A3302"/>
      <c r="B3302"/>
      <c r="C3302"/>
      <c r="D3302"/>
    </row>
    <row r="3303" spans="1:4" x14ac:dyDescent="0.25">
      <c r="A3303"/>
      <c r="B3303"/>
      <c r="C3303"/>
      <c r="D3303"/>
    </row>
    <row r="3304" spans="1:4" x14ac:dyDescent="0.25">
      <c r="A3304"/>
      <c r="B3304"/>
      <c r="C3304"/>
      <c r="D3304"/>
    </row>
    <row r="3305" spans="1:4" x14ac:dyDescent="0.25">
      <c r="A3305"/>
      <c r="B3305"/>
      <c r="C3305"/>
      <c r="D3305"/>
    </row>
    <row r="3306" spans="1:4" x14ac:dyDescent="0.25">
      <c r="A3306"/>
      <c r="B3306"/>
      <c r="C3306"/>
      <c r="D3306"/>
    </row>
    <row r="3307" spans="1:4" x14ac:dyDescent="0.25">
      <c r="A3307"/>
      <c r="B3307"/>
      <c r="C3307"/>
      <c r="D3307"/>
    </row>
    <row r="3308" spans="1:4" x14ac:dyDescent="0.25">
      <c r="A3308"/>
      <c r="B3308"/>
      <c r="C3308"/>
      <c r="D3308"/>
    </row>
    <row r="3309" spans="1:4" x14ac:dyDescent="0.25">
      <c r="A3309"/>
      <c r="B3309"/>
      <c r="C3309"/>
      <c r="D3309"/>
    </row>
    <row r="3310" spans="1:4" x14ac:dyDescent="0.25">
      <c r="A3310"/>
      <c r="B3310"/>
      <c r="C3310"/>
      <c r="D3310"/>
    </row>
    <row r="3311" spans="1:4" x14ac:dyDescent="0.25">
      <c r="A3311"/>
      <c r="B3311"/>
      <c r="C3311"/>
      <c r="D3311"/>
    </row>
    <row r="3312" spans="1:4" x14ac:dyDescent="0.25">
      <c r="A3312"/>
      <c r="B3312"/>
      <c r="C3312"/>
      <c r="D3312"/>
    </row>
    <row r="3313" spans="1:4" x14ac:dyDescent="0.25">
      <c r="A3313"/>
      <c r="B3313"/>
      <c r="C3313"/>
      <c r="D3313"/>
    </row>
    <row r="3314" spans="1:4" x14ac:dyDescent="0.25">
      <c r="A3314"/>
      <c r="B3314"/>
      <c r="C3314"/>
      <c r="D3314"/>
    </row>
    <row r="3315" spans="1:4" x14ac:dyDescent="0.25">
      <c r="A3315"/>
      <c r="B3315"/>
      <c r="C3315"/>
      <c r="D3315"/>
    </row>
    <row r="3316" spans="1:4" x14ac:dyDescent="0.25">
      <c r="A3316"/>
      <c r="B3316"/>
      <c r="C3316"/>
      <c r="D3316"/>
    </row>
    <row r="3317" spans="1:4" x14ac:dyDescent="0.25">
      <c r="A3317"/>
      <c r="B3317"/>
      <c r="C3317"/>
      <c r="D3317"/>
    </row>
    <row r="3318" spans="1:4" x14ac:dyDescent="0.25">
      <c r="A3318"/>
      <c r="B3318"/>
      <c r="C3318"/>
      <c r="D3318"/>
    </row>
    <row r="3319" spans="1:4" x14ac:dyDescent="0.25">
      <c r="A3319"/>
      <c r="B3319"/>
      <c r="C3319"/>
      <c r="D3319"/>
    </row>
    <row r="3320" spans="1:4" x14ac:dyDescent="0.25">
      <c r="A3320"/>
      <c r="B3320"/>
      <c r="C3320"/>
      <c r="D3320"/>
    </row>
    <row r="3321" spans="1:4" x14ac:dyDescent="0.25">
      <c r="A3321"/>
      <c r="B3321"/>
      <c r="C3321"/>
      <c r="D3321"/>
    </row>
    <row r="3322" spans="1:4" x14ac:dyDescent="0.25">
      <c r="A3322"/>
      <c r="B3322"/>
      <c r="C3322"/>
      <c r="D3322"/>
    </row>
    <row r="3323" spans="1:4" x14ac:dyDescent="0.25">
      <c r="A3323"/>
      <c r="B3323"/>
      <c r="C3323"/>
      <c r="D3323"/>
    </row>
    <row r="3324" spans="1:4" x14ac:dyDescent="0.25">
      <c r="A3324"/>
      <c r="B3324"/>
      <c r="C3324"/>
      <c r="D3324"/>
    </row>
    <row r="3325" spans="1:4" x14ac:dyDescent="0.25">
      <c r="A3325"/>
      <c r="B3325"/>
      <c r="C3325"/>
      <c r="D3325"/>
    </row>
    <row r="3326" spans="1:4" x14ac:dyDescent="0.25">
      <c r="A3326"/>
      <c r="B3326"/>
      <c r="C3326"/>
      <c r="D3326"/>
    </row>
    <row r="3327" spans="1:4" x14ac:dyDescent="0.25">
      <c r="A3327"/>
      <c r="B3327"/>
      <c r="C3327"/>
      <c r="D3327"/>
    </row>
    <row r="3328" spans="1:4" x14ac:dyDescent="0.25">
      <c r="A3328"/>
      <c r="B3328"/>
      <c r="C3328"/>
      <c r="D3328"/>
    </row>
    <row r="3329" spans="1:4" x14ac:dyDescent="0.25">
      <c r="A3329"/>
      <c r="B3329"/>
      <c r="C3329"/>
      <c r="D3329"/>
    </row>
    <row r="3330" spans="1:4" x14ac:dyDescent="0.25">
      <c r="A3330"/>
      <c r="B3330"/>
      <c r="C3330"/>
      <c r="D3330"/>
    </row>
    <row r="3331" spans="1:4" x14ac:dyDescent="0.25">
      <c r="A3331"/>
      <c r="B3331"/>
      <c r="C3331"/>
      <c r="D3331"/>
    </row>
    <row r="3332" spans="1:4" x14ac:dyDescent="0.25">
      <c r="A3332"/>
      <c r="B3332"/>
      <c r="C3332"/>
      <c r="D3332"/>
    </row>
    <row r="3333" spans="1:4" x14ac:dyDescent="0.25">
      <c r="A3333"/>
      <c r="B3333"/>
      <c r="C3333"/>
      <c r="D3333"/>
    </row>
    <row r="3334" spans="1:4" x14ac:dyDescent="0.25">
      <c r="A3334"/>
      <c r="B3334"/>
      <c r="C3334"/>
      <c r="D3334"/>
    </row>
    <row r="3335" spans="1:4" x14ac:dyDescent="0.25">
      <c r="A3335"/>
      <c r="B3335"/>
      <c r="C3335"/>
      <c r="D3335"/>
    </row>
    <row r="3336" spans="1:4" x14ac:dyDescent="0.25">
      <c r="A3336"/>
      <c r="B3336"/>
      <c r="C3336"/>
      <c r="D3336"/>
    </row>
    <row r="3337" spans="1:4" x14ac:dyDescent="0.25">
      <c r="A3337"/>
      <c r="B3337"/>
      <c r="C3337"/>
      <c r="D3337"/>
    </row>
    <row r="3338" spans="1:4" x14ac:dyDescent="0.25">
      <c r="A3338"/>
      <c r="B3338"/>
      <c r="C3338"/>
      <c r="D3338"/>
    </row>
    <row r="3339" spans="1:4" x14ac:dyDescent="0.25">
      <c r="A3339"/>
      <c r="B3339"/>
      <c r="C3339"/>
      <c r="D3339"/>
    </row>
    <row r="3340" spans="1:4" x14ac:dyDescent="0.25">
      <c r="A3340"/>
      <c r="B3340"/>
      <c r="C3340"/>
      <c r="D3340"/>
    </row>
    <row r="3341" spans="1:4" x14ac:dyDescent="0.25">
      <c r="A3341"/>
      <c r="B3341"/>
      <c r="C3341"/>
      <c r="D3341"/>
    </row>
    <row r="3342" spans="1:4" x14ac:dyDescent="0.25">
      <c r="A3342"/>
      <c r="B3342"/>
      <c r="C3342"/>
      <c r="D3342"/>
    </row>
    <row r="3343" spans="1:4" x14ac:dyDescent="0.25">
      <c r="A3343"/>
      <c r="B3343"/>
      <c r="C3343"/>
      <c r="D3343"/>
    </row>
    <row r="3344" spans="1:4" x14ac:dyDescent="0.25">
      <c r="A3344"/>
      <c r="B3344"/>
      <c r="C3344"/>
      <c r="D3344"/>
    </row>
    <row r="3345" spans="1:4" x14ac:dyDescent="0.25">
      <c r="A3345"/>
      <c r="B3345"/>
      <c r="C3345"/>
      <c r="D3345"/>
    </row>
    <row r="3346" spans="1:4" x14ac:dyDescent="0.25">
      <c r="A3346"/>
      <c r="B3346"/>
      <c r="C3346"/>
      <c r="D3346"/>
    </row>
    <row r="3347" spans="1:4" x14ac:dyDescent="0.25">
      <c r="A3347"/>
      <c r="B3347"/>
      <c r="C3347"/>
      <c r="D3347"/>
    </row>
    <row r="3348" spans="1:4" x14ac:dyDescent="0.25">
      <c r="A3348"/>
      <c r="B3348"/>
      <c r="C3348"/>
      <c r="D3348"/>
    </row>
    <row r="3349" spans="1:4" x14ac:dyDescent="0.25">
      <c r="A3349"/>
      <c r="B3349"/>
      <c r="C3349"/>
      <c r="D3349"/>
    </row>
    <row r="3350" spans="1:4" x14ac:dyDescent="0.25">
      <c r="A3350"/>
      <c r="B3350"/>
      <c r="C3350"/>
      <c r="D3350"/>
    </row>
    <row r="3351" spans="1:4" x14ac:dyDescent="0.25">
      <c r="A3351"/>
      <c r="B3351"/>
      <c r="C3351"/>
      <c r="D3351"/>
    </row>
    <row r="3352" spans="1:4" x14ac:dyDescent="0.25">
      <c r="A3352"/>
      <c r="B3352"/>
      <c r="C3352"/>
      <c r="D3352"/>
    </row>
    <row r="3353" spans="1:4" x14ac:dyDescent="0.25">
      <c r="A3353"/>
      <c r="B3353"/>
      <c r="C3353"/>
      <c r="D3353"/>
    </row>
    <row r="3354" spans="1:4" x14ac:dyDescent="0.25">
      <c r="A3354"/>
      <c r="B3354"/>
      <c r="C3354"/>
      <c r="D3354"/>
    </row>
    <row r="3355" spans="1:4" x14ac:dyDescent="0.25">
      <c r="A3355"/>
      <c r="B3355"/>
      <c r="C3355"/>
      <c r="D3355"/>
    </row>
    <row r="3356" spans="1:4" x14ac:dyDescent="0.25">
      <c r="A3356"/>
      <c r="B3356"/>
      <c r="C3356"/>
      <c r="D3356"/>
    </row>
    <row r="3357" spans="1:4" x14ac:dyDescent="0.25">
      <c r="A3357"/>
      <c r="B3357"/>
      <c r="C3357"/>
      <c r="D3357"/>
    </row>
    <row r="3358" spans="1:4" x14ac:dyDescent="0.25">
      <c r="A3358"/>
      <c r="B3358"/>
      <c r="C3358"/>
      <c r="D3358"/>
    </row>
    <row r="3359" spans="1:4" x14ac:dyDescent="0.25">
      <c r="A3359"/>
      <c r="B3359"/>
      <c r="C3359"/>
      <c r="D3359"/>
    </row>
    <row r="3360" spans="1:4" x14ac:dyDescent="0.25">
      <c r="A3360"/>
      <c r="B3360"/>
      <c r="C3360"/>
      <c r="D3360"/>
    </row>
    <row r="3361" spans="1:4" x14ac:dyDescent="0.25">
      <c r="A3361"/>
      <c r="B3361"/>
      <c r="C3361"/>
      <c r="D3361"/>
    </row>
    <row r="3362" spans="1:4" x14ac:dyDescent="0.25">
      <c r="A3362"/>
      <c r="B3362"/>
      <c r="C3362"/>
      <c r="D3362"/>
    </row>
    <row r="3363" spans="1:4" x14ac:dyDescent="0.25">
      <c r="A3363"/>
      <c r="B3363"/>
      <c r="C3363"/>
      <c r="D3363"/>
    </row>
    <row r="3364" spans="1:4" x14ac:dyDescent="0.25">
      <c r="A3364"/>
      <c r="B3364"/>
      <c r="C3364"/>
      <c r="D3364"/>
    </row>
    <row r="3365" spans="1:4" x14ac:dyDescent="0.25">
      <c r="A3365"/>
      <c r="B3365"/>
      <c r="C3365"/>
      <c r="D3365"/>
    </row>
    <row r="3366" spans="1:4" x14ac:dyDescent="0.25">
      <c r="A3366"/>
      <c r="B3366"/>
      <c r="C3366"/>
      <c r="D3366"/>
    </row>
    <row r="3367" spans="1:4" x14ac:dyDescent="0.25">
      <c r="A3367"/>
      <c r="B3367"/>
      <c r="C3367"/>
      <c r="D3367"/>
    </row>
    <row r="3368" spans="1:4" x14ac:dyDescent="0.25">
      <c r="A3368"/>
      <c r="B3368"/>
      <c r="C3368"/>
      <c r="D3368"/>
    </row>
    <row r="3369" spans="1:4" x14ac:dyDescent="0.25">
      <c r="A3369"/>
      <c r="B3369"/>
      <c r="C3369"/>
      <c r="D3369"/>
    </row>
    <row r="3370" spans="1:4" x14ac:dyDescent="0.25">
      <c r="A3370"/>
      <c r="B3370"/>
      <c r="C3370"/>
      <c r="D3370"/>
    </row>
    <row r="3371" spans="1:4" x14ac:dyDescent="0.25">
      <c r="A3371"/>
      <c r="B3371"/>
      <c r="C3371"/>
      <c r="D3371"/>
    </row>
    <row r="3372" spans="1:4" x14ac:dyDescent="0.25">
      <c r="A3372"/>
      <c r="B3372"/>
      <c r="C3372"/>
      <c r="D3372"/>
    </row>
    <row r="3373" spans="1:4" x14ac:dyDescent="0.25">
      <c r="A3373"/>
      <c r="B3373"/>
      <c r="C3373"/>
      <c r="D3373"/>
    </row>
    <row r="3374" spans="1:4" x14ac:dyDescent="0.25">
      <c r="A3374"/>
      <c r="B3374"/>
      <c r="C3374"/>
      <c r="D3374"/>
    </row>
    <row r="3375" spans="1:4" x14ac:dyDescent="0.25">
      <c r="A3375"/>
      <c r="B3375"/>
      <c r="C3375"/>
      <c r="D3375"/>
    </row>
    <row r="3376" spans="1:4" x14ac:dyDescent="0.25">
      <c r="A3376"/>
      <c r="B3376"/>
      <c r="C3376"/>
      <c r="D3376"/>
    </row>
    <row r="3377" spans="1:4" x14ac:dyDescent="0.25">
      <c r="A3377"/>
      <c r="B3377"/>
      <c r="C3377"/>
      <c r="D3377"/>
    </row>
    <row r="3378" spans="1:4" x14ac:dyDescent="0.25">
      <c r="A3378"/>
      <c r="B3378"/>
      <c r="C3378"/>
      <c r="D3378"/>
    </row>
    <row r="3379" spans="1:4" x14ac:dyDescent="0.25">
      <c r="A3379"/>
      <c r="B3379"/>
      <c r="C3379"/>
      <c r="D3379"/>
    </row>
    <row r="3380" spans="1:4" x14ac:dyDescent="0.25">
      <c r="A3380"/>
      <c r="B3380"/>
      <c r="C3380"/>
      <c r="D3380"/>
    </row>
    <row r="3381" spans="1:4" x14ac:dyDescent="0.25">
      <c r="A3381"/>
      <c r="B3381"/>
      <c r="C3381"/>
      <c r="D3381"/>
    </row>
    <row r="3382" spans="1:4" x14ac:dyDescent="0.25">
      <c r="A3382"/>
      <c r="B3382"/>
      <c r="C3382"/>
      <c r="D3382"/>
    </row>
    <row r="3383" spans="1:4" x14ac:dyDescent="0.25">
      <c r="A3383"/>
      <c r="B3383"/>
      <c r="C3383"/>
      <c r="D3383"/>
    </row>
    <row r="3384" spans="1:4" x14ac:dyDescent="0.25">
      <c r="A3384"/>
      <c r="B3384"/>
      <c r="C3384"/>
      <c r="D3384"/>
    </row>
    <row r="3385" spans="1:4" x14ac:dyDescent="0.25">
      <c r="A3385"/>
      <c r="B3385"/>
      <c r="C3385"/>
      <c r="D3385"/>
    </row>
    <row r="3386" spans="1:4" x14ac:dyDescent="0.25">
      <c r="A3386"/>
      <c r="B3386"/>
      <c r="C3386"/>
      <c r="D3386"/>
    </row>
    <row r="3387" spans="1:4" x14ac:dyDescent="0.25">
      <c r="A3387"/>
      <c r="B3387"/>
      <c r="C3387"/>
      <c r="D3387"/>
    </row>
    <row r="3388" spans="1:4" x14ac:dyDescent="0.25">
      <c r="A3388"/>
      <c r="B3388"/>
      <c r="C3388"/>
      <c r="D3388"/>
    </row>
    <row r="3389" spans="1:4" x14ac:dyDescent="0.25">
      <c r="A3389"/>
      <c r="B3389"/>
      <c r="C3389"/>
      <c r="D3389"/>
    </row>
    <row r="3390" spans="1:4" x14ac:dyDescent="0.25">
      <c r="A3390"/>
      <c r="B3390"/>
      <c r="C3390"/>
      <c r="D3390"/>
    </row>
    <row r="3391" spans="1:4" x14ac:dyDescent="0.25">
      <c r="A3391"/>
      <c r="B3391"/>
      <c r="C3391"/>
      <c r="D3391"/>
    </row>
    <row r="3392" spans="1:4" x14ac:dyDescent="0.25">
      <c r="A3392"/>
      <c r="B3392"/>
      <c r="C3392"/>
      <c r="D3392"/>
    </row>
    <row r="3393" spans="1:4" x14ac:dyDescent="0.25">
      <c r="A3393"/>
      <c r="B3393"/>
      <c r="C3393"/>
      <c r="D3393"/>
    </row>
    <row r="3394" spans="1:4" x14ac:dyDescent="0.25">
      <c r="A3394"/>
      <c r="B3394"/>
      <c r="C3394"/>
      <c r="D3394"/>
    </row>
    <row r="3395" spans="1:4" x14ac:dyDescent="0.25">
      <c r="A3395"/>
      <c r="B3395"/>
      <c r="C3395"/>
      <c r="D3395"/>
    </row>
    <row r="3396" spans="1:4" x14ac:dyDescent="0.25">
      <c r="A3396"/>
      <c r="B3396"/>
      <c r="C3396"/>
      <c r="D3396"/>
    </row>
    <row r="3397" spans="1:4" x14ac:dyDescent="0.25">
      <c r="A3397"/>
      <c r="B3397"/>
      <c r="C3397"/>
      <c r="D3397"/>
    </row>
    <row r="3398" spans="1:4" x14ac:dyDescent="0.25">
      <c r="A3398"/>
      <c r="B3398"/>
      <c r="C3398"/>
      <c r="D3398"/>
    </row>
    <row r="3399" spans="1:4" x14ac:dyDescent="0.25">
      <c r="A3399"/>
      <c r="B3399"/>
      <c r="C3399"/>
      <c r="D3399"/>
    </row>
    <row r="3400" spans="1:4" x14ac:dyDescent="0.25">
      <c r="A3400"/>
      <c r="B3400"/>
      <c r="C3400"/>
      <c r="D3400"/>
    </row>
    <row r="3401" spans="1:4" x14ac:dyDescent="0.25">
      <c r="A3401"/>
      <c r="B3401"/>
      <c r="C3401"/>
      <c r="D3401"/>
    </row>
    <row r="3402" spans="1:4" x14ac:dyDescent="0.25">
      <c r="A3402"/>
      <c r="B3402"/>
      <c r="C3402"/>
      <c r="D3402"/>
    </row>
    <row r="3403" spans="1:4" x14ac:dyDescent="0.25">
      <c r="A3403"/>
      <c r="B3403"/>
      <c r="C3403"/>
      <c r="D3403"/>
    </row>
    <row r="3404" spans="1:4" x14ac:dyDescent="0.25">
      <c r="A3404"/>
      <c r="B3404"/>
      <c r="C3404"/>
      <c r="D3404"/>
    </row>
    <row r="3405" spans="1:4" x14ac:dyDescent="0.25">
      <c r="A3405"/>
      <c r="B3405"/>
      <c r="C3405"/>
      <c r="D3405"/>
    </row>
    <row r="3406" spans="1:4" x14ac:dyDescent="0.25">
      <c r="A3406"/>
      <c r="B3406"/>
      <c r="C3406"/>
      <c r="D3406"/>
    </row>
    <row r="3407" spans="1:4" x14ac:dyDescent="0.25">
      <c r="A3407"/>
      <c r="B3407"/>
      <c r="C3407"/>
      <c r="D3407"/>
    </row>
    <row r="3408" spans="1:4" x14ac:dyDescent="0.25">
      <c r="A3408"/>
      <c r="B3408"/>
      <c r="C3408"/>
      <c r="D3408"/>
    </row>
    <row r="3409" spans="1:4" x14ac:dyDescent="0.25">
      <c r="A3409"/>
      <c r="B3409"/>
      <c r="C3409"/>
      <c r="D3409"/>
    </row>
    <row r="3410" spans="1:4" x14ac:dyDescent="0.25">
      <c r="A3410"/>
      <c r="B3410"/>
      <c r="C3410"/>
      <c r="D3410"/>
    </row>
    <row r="3411" spans="1:4" x14ac:dyDescent="0.25">
      <c r="A3411"/>
      <c r="B3411"/>
      <c r="C3411"/>
      <c r="D3411"/>
    </row>
    <row r="3412" spans="1:4" x14ac:dyDescent="0.25">
      <c r="A3412"/>
      <c r="B3412"/>
      <c r="C3412"/>
      <c r="D3412"/>
    </row>
    <row r="3413" spans="1:4" x14ac:dyDescent="0.25">
      <c r="A3413"/>
      <c r="B3413"/>
      <c r="C3413"/>
      <c r="D3413"/>
    </row>
    <row r="3414" spans="1:4" x14ac:dyDescent="0.25">
      <c r="A3414"/>
      <c r="B3414"/>
      <c r="C3414"/>
      <c r="D3414"/>
    </row>
    <row r="3415" spans="1:4" x14ac:dyDescent="0.25">
      <c r="A3415"/>
      <c r="B3415"/>
      <c r="C3415"/>
      <c r="D3415"/>
    </row>
    <row r="3416" spans="1:4" x14ac:dyDescent="0.25">
      <c r="A3416"/>
      <c r="B3416"/>
      <c r="C3416"/>
      <c r="D3416"/>
    </row>
    <row r="3417" spans="1:4" x14ac:dyDescent="0.25">
      <c r="A3417"/>
      <c r="B3417"/>
      <c r="C3417"/>
      <c r="D3417"/>
    </row>
    <row r="3418" spans="1:4" x14ac:dyDescent="0.25">
      <c r="A3418"/>
      <c r="B3418"/>
      <c r="C3418"/>
      <c r="D3418"/>
    </row>
    <row r="3419" spans="1:4" x14ac:dyDescent="0.25">
      <c r="A3419"/>
      <c r="B3419"/>
      <c r="C3419"/>
      <c r="D3419"/>
    </row>
    <row r="3420" spans="1:4" x14ac:dyDescent="0.25">
      <c r="A3420"/>
      <c r="B3420"/>
      <c r="C3420"/>
      <c r="D3420"/>
    </row>
    <row r="3421" spans="1:4" x14ac:dyDescent="0.25">
      <c r="A3421"/>
      <c r="B3421"/>
      <c r="C3421"/>
      <c r="D3421"/>
    </row>
    <row r="3422" spans="1:4" x14ac:dyDescent="0.25">
      <c r="A3422"/>
      <c r="B3422"/>
      <c r="C3422"/>
      <c r="D3422"/>
    </row>
    <row r="3423" spans="1:4" x14ac:dyDescent="0.25">
      <c r="A3423"/>
      <c r="B3423"/>
      <c r="C3423"/>
      <c r="D3423"/>
    </row>
    <row r="3424" spans="1:4" x14ac:dyDescent="0.25">
      <c r="A3424"/>
      <c r="B3424"/>
      <c r="C3424"/>
      <c r="D3424"/>
    </row>
    <row r="3425" spans="1:4" x14ac:dyDescent="0.25">
      <c r="A3425"/>
      <c r="B3425"/>
      <c r="C3425"/>
      <c r="D3425"/>
    </row>
    <row r="3426" spans="1:4" x14ac:dyDescent="0.25">
      <c r="A3426"/>
      <c r="B3426"/>
      <c r="C3426"/>
      <c r="D3426"/>
    </row>
    <row r="3427" spans="1:4" x14ac:dyDescent="0.25">
      <c r="A3427"/>
      <c r="B3427"/>
      <c r="C3427"/>
      <c r="D3427"/>
    </row>
    <row r="3428" spans="1:4" x14ac:dyDescent="0.25">
      <c r="A3428"/>
      <c r="B3428"/>
      <c r="C3428"/>
      <c r="D3428"/>
    </row>
    <row r="3429" spans="1:4" x14ac:dyDescent="0.25">
      <c r="A3429"/>
      <c r="B3429"/>
      <c r="C3429"/>
      <c r="D3429"/>
    </row>
    <row r="3430" spans="1:4" x14ac:dyDescent="0.25">
      <c r="A3430"/>
      <c r="B3430"/>
      <c r="C3430"/>
      <c r="D3430"/>
    </row>
    <row r="3431" spans="1:4" x14ac:dyDescent="0.25">
      <c r="A3431"/>
      <c r="B3431"/>
      <c r="C3431"/>
      <c r="D3431"/>
    </row>
    <row r="3432" spans="1:4" x14ac:dyDescent="0.25">
      <c r="A3432"/>
      <c r="B3432"/>
      <c r="C3432"/>
      <c r="D3432"/>
    </row>
    <row r="3433" spans="1:4" x14ac:dyDescent="0.25">
      <c r="A3433"/>
      <c r="B3433"/>
      <c r="C3433"/>
      <c r="D3433"/>
    </row>
    <row r="3434" spans="1:4" x14ac:dyDescent="0.25">
      <c r="A3434"/>
      <c r="B3434"/>
      <c r="C3434"/>
      <c r="D3434"/>
    </row>
    <row r="3435" spans="1:4" x14ac:dyDescent="0.25">
      <c r="A3435"/>
      <c r="B3435"/>
      <c r="C3435"/>
      <c r="D3435"/>
    </row>
    <row r="3436" spans="1:4" x14ac:dyDescent="0.25">
      <c r="A3436"/>
      <c r="B3436"/>
      <c r="C3436"/>
      <c r="D3436"/>
    </row>
    <row r="3437" spans="1:4" x14ac:dyDescent="0.25">
      <c r="A3437"/>
      <c r="B3437"/>
      <c r="C3437"/>
      <c r="D3437"/>
    </row>
    <row r="3438" spans="1:4" x14ac:dyDescent="0.25">
      <c r="A3438"/>
      <c r="B3438"/>
      <c r="C3438"/>
      <c r="D3438"/>
    </row>
    <row r="3439" spans="1:4" x14ac:dyDescent="0.25">
      <c r="A3439"/>
      <c r="B3439"/>
      <c r="C3439"/>
      <c r="D3439"/>
    </row>
    <row r="3440" spans="1:4" x14ac:dyDescent="0.25">
      <c r="A3440"/>
      <c r="B3440"/>
      <c r="C3440"/>
      <c r="D3440"/>
    </row>
    <row r="3441" spans="1:4" x14ac:dyDescent="0.25">
      <c r="A3441"/>
      <c r="B3441"/>
      <c r="C3441"/>
      <c r="D3441"/>
    </row>
    <row r="3442" spans="1:4" x14ac:dyDescent="0.25">
      <c r="A3442"/>
      <c r="B3442"/>
      <c r="C3442"/>
      <c r="D3442"/>
    </row>
    <row r="3443" spans="1:4" x14ac:dyDescent="0.25">
      <c r="A3443"/>
      <c r="B3443"/>
      <c r="C3443"/>
      <c r="D3443"/>
    </row>
    <row r="3444" spans="1:4" x14ac:dyDescent="0.25">
      <c r="A3444"/>
      <c r="B3444"/>
      <c r="C3444"/>
      <c r="D3444"/>
    </row>
    <row r="3445" spans="1:4" x14ac:dyDescent="0.25">
      <c r="A3445"/>
      <c r="B3445"/>
      <c r="C3445"/>
      <c r="D3445"/>
    </row>
    <row r="3446" spans="1:4" x14ac:dyDescent="0.25">
      <c r="A3446"/>
      <c r="B3446"/>
      <c r="C3446"/>
      <c r="D3446"/>
    </row>
    <row r="3447" spans="1:4" x14ac:dyDescent="0.25">
      <c r="A3447"/>
      <c r="B3447"/>
      <c r="C3447"/>
      <c r="D3447"/>
    </row>
    <row r="3448" spans="1:4" x14ac:dyDescent="0.25">
      <c r="A3448"/>
      <c r="B3448"/>
      <c r="C3448"/>
      <c r="D3448"/>
    </row>
    <row r="3449" spans="1:4" x14ac:dyDescent="0.25">
      <c r="A3449"/>
      <c r="B3449"/>
      <c r="C3449"/>
      <c r="D3449"/>
    </row>
    <row r="3450" spans="1:4" x14ac:dyDescent="0.25">
      <c r="A3450"/>
      <c r="B3450"/>
      <c r="C3450"/>
      <c r="D3450"/>
    </row>
    <row r="3451" spans="1:4" x14ac:dyDescent="0.25">
      <c r="A3451"/>
      <c r="B3451"/>
      <c r="C3451"/>
      <c r="D3451"/>
    </row>
    <row r="3452" spans="1:4" x14ac:dyDescent="0.25">
      <c r="A3452"/>
      <c r="B3452"/>
      <c r="C3452"/>
      <c r="D3452"/>
    </row>
    <row r="3453" spans="1:4" x14ac:dyDescent="0.25">
      <c r="A3453"/>
      <c r="B3453"/>
      <c r="C3453"/>
      <c r="D3453"/>
    </row>
    <row r="3454" spans="1:4" x14ac:dyDescent="0.25">
      <c r="A3454"/>
      <c r="B3454"/>
      <c r="C3454"/>
      <c r="D3454"/>
    </row>
    <row r="3455" spans="1:4" x14ac:dyDescent="0.25">
      <c r="A3455"/>
      <c r="B3455"/>
      <c r="C3455"/>
      <c r="D3455"/>
    </row>
    <row r="3456" spans="1:4" x14ac:dyDescent="0.25">
      <c r="A3456"/>
      <c r="B3456"/>
      <c r="C3456"/>
      <c r="D3456"/>
    </row>
    <row r="3457" spans="1:4" x14ac:dyDescent="0.25">
      <c r="A3457"/>
      <c r="B3457"/>
      <c r="C3457"/>
      <c r="D3457"/>
    </row>
    <row r="3458" spans="1:4" x14ac:dyDescent="0.25">
      <c r="A3458"/>
      <c r="B3458"/>
      <c r="C3458"/>
      <c r="D3458"/>
    </row>
    <row r="3459" spans="1:4" x14ac:dyDescent="0.25">
      <c r="A3459"/>
      <c r="B3459"/>
      <c r="C3459"/>
      <c r="D3459"/>
    </row>
    <row r="3460" spans="1:4" x14ac:dyDescent="0.25">
      <c r="A3460"/>
      <c r="B3460"/>
      <c r="C3460"/>
      <c r="D3460"/>
    </row>
    <row r="3461" spans="1:4" x14ac:dyDescent="0.25">
      <c r="A3461"/>
      <c r="B3461"/>
      <c r="C3461"/>
      <c r="D3461"/>
    </row>
    <row r="3462" spans="1:4" x14ac:dyDescent="0.25">
      <c r="A3462"/>
      <c r="B3462"/>
      <c r="C3462"/>
      <c r="D3462"/>
    </row>
    <row r="3463" spans="1:4" x14ac:dyDescent="0.25">
      <c r="A3463"/>
      <c r="B3463"/>
      <c r="C3463"/>
      <c r="D3463"/>
    </row>
    <row r="3464" spans="1:4" x14ac:dyDescent="0.25">
      <c r="A3464"/>
      <c r="B3464"/>
      <c r="C3464"/>
      <c r="D3464"/>
    </row>
    <row r="3465" spans="1:4" x14ac:dyDescent="0.25">
      <c r="A3465"/>
      <c r="B3465"/>
      <c r="C3465"/>
      <c r="D3465"/>
    </row>
    <row r="3466" spans="1:4" x14ac:dyDescent="0.25">
      <c r="A3466"/>
      <c r="B3466"/>
      <c r="C3466"/>
      <c r="D3466"/>
    </row>
    <row r="3467" spans="1:4" x14ac:dyDescent="0.25">
      <c r="A3467"/>
      <c r="B3467"/>
      <c r="C3467"/>
      <c r="D3467"/>
    </row>
    <row r="3468" spans="1:4" x14ac:dyDescent="0.25">
      <c r="A3468"/>
      <c r="B3468"/>
      <c r="C3468"/>
      <c r="D3468"/>
    </row>
    <row r="3469" spans="1:4" x14ac:dyDescent="0.25">
      <c r="A3469"/>
      <c r="B3469"/>
      <c r="C3469"/>
      <c r="D3469"/>
    </row>
    <row r="3470" spans="1:4" x14ac:dyDescent="0.25">
      <c r="A3470"/>
      <c r="B3470"/>
      <c r="C3470"/>
      <c r="D3470"/>
    </row>
    <row r="3471" spans="1:4" x14ac:dyDescent="0.25">
      <c r="A3471"/>
      <c r="B3471"/>
      <c r="C3471"/>
      <c r="D3471"/>
    </row>
    <row r="3472" spans="1:4" x14ac:dyDescent="0.25">
      <c r="A3472"/>
      <c r="B3472"/>
      <c r="C3472"/>
      <c r="D3472"/>
    </row>
    <row r="3473" spans="1:4" x14ac:dyDescent="0.25">
      <c r="A3473"/>
      <c r="B3473"/>
      <c r="C3473"/>
      <c r="D3473"/>
    </row>
    <row r="3474" spans="1:4" x14ac:dyDescent="0.25">
      <c r="A3474"/>
      <c r="B3474"/>
      <c r="C3474"/>
      <c r="D3474"/>
    </row>
    <row r="3475" spans="1:4" x14ac:dyDescent="0.25">
      <c r="A3475"/>
      <c r="B3475"/>
      <c r="C3475"/>
      <c r="D3475"/>
    </row>
    <row r="3476" spans="1:4" x14ac:dyDescent="0.25">
      <c r="A3476"/>
      <c r="B3476"/>
      <c r="C3476"/>
      <c r="D3476"/>
    </row>
    <row r="3477" spans="1:4" x14ac:dyDescent="0.25">
      <c r="A3477"/>
      <c r="B3477"/>
      <c r="C3477"/>
      <c r="D3477"/>
    </row>
    <row r="3478" spans="1:4" x14ac:dyDescent="0.25">
      <c r="A3478"/>
      <c r="B3478"/>
      <c r="C3478"/>
      <c r="D3478"/>
    </row>
    <row r="3479" spans="1:4" x14ac:dyDescent="0.25">
      <c r="A3479"/>
      <c r="B3479"/>
      <c r="C3479"/>
      <c r="D3479"/>
    </row>
    <row r="3480" spans="1:4" x14ac:dyDescent="0.25">
      <c r="A3480"/>
      <c r="B3480"/>
      <c r="C3480"/>
      <c r="D3480"/>
    </row>
    <row r="3481" spans="1:4" x14ac:dyDescent="0.25">
      <c r="A3481"/>
      <c r="B3481"/>
      <c r="C3481"/>
      <c r="D3481"/>
    </row>
    <row r="3482" spans="1:4" x14ac:dyDescent="0.25">
      <c r="A3482"/>
      <c r="B3482"/>
      <c r="C3482"/>
      <c r="D3482"/>
    </row>
    <row r="3483" spans="1:4" x14ac:dyDescent="0.25">
      <c r="A3483"/>
      <c r="B3483"/>
      <c r="C3483"/>
      <c r="D3483"/>
    </row>
    <row r="3484" spans="1:4" x14ac:dyDescent="0.25">
      <c r="A3484"/>
      <c r="B3484"/>
      <c r="C3484"/>
      <c r="D3484"/>
    </row>
    <row r="3485" spans="1:4" x14ac:dyDescent="0.25">
      <c r="A3485"/>
      <c r="B3485"/>
      <c r="C3485"/>
      <c r="D3485"/>
    </row>
    <row r="3486" spans="1:4" x14ac:dyDescent="0.25">
      <c r="A3486"/>
      <c r="B3486"/>
      <c r="C3486"/>
      <c r="D3486"/>
    </row>
    <row r="3487" spans="1:4" x14ac:dyDescent="0.25">
      <c r="A3487"/>
      <c r="B3487"/>
      <c r="C3487"/>
      <c r="D3487"/>
    </row>
    <row r="3488" spans="1:4" x14ac:dyDescent="0.25">
      <c r="A3488"/>
      <c r="B3488"/>
      <c r="C3488"/>
      <c r="D3488"/>
    </row>
    <row r="3489" spans="1:4" x14ac:dyDescent="0.25">
      <c r="A3489"/>
      <c r="B3489"/>
      <c r="C3489"/>
      <c r="D3489"/>
    </row>
    <row r="3490" spans="1:4" x14ac:dyDescent="0.25">
      <c r="A3490"/>
      <c r="B3490"/>
      <c r="C3490"/>
      <c r="D3490"/>
    </row>
    <row r="3491" spans="1:4" x14ac:dyDescent="0.25">
      <c r="A3491"/>
      <c r="B3491"/>
      <c r="C3491"/>
      <c r="D3491"/>
    </row>
    <row r="3492" spans="1:4" x14ac:dyDescent="0.25">
      <c r="A3492"/>
      <c r="B3492"/>
      <c r="C3492"/>
      <c r="D3492"/>
    </row>
    <row r="3493" spans="1:4" x14ac:dyDescent="0.25">
      <c r="A3493"/>
      <c r="B3493"/>
      <c r="C3493"/>
      <c r="D3493"/>
    </row>
    <row r="3494" spans="1:4" x14ac:dyDescent="0.25">
      <c r="A3494"/>
      <c r="B3494"/>
      <c r="C3494"/>
      <c r="D3494"/>
    </row>
    <row r="3495" spans="1:4" x14ac:dyDescent="0.25">
      <c r="A3495"/>
      <c r="B3495"/>
      <c r="C3495"/>
      <c r="D3495"/>
    </row>
    <row r="3496" spans="1:4" x14ac:dyDescent="0.25">
      <c r="A3496"/>
      <c r="B3496"/>
      <c r="C3496"/>
      <c r="D3496"/>
    </row>
    <row r="3497" spans="1:4" x14ac:dyDescent="0.25">
      <c r="A3497"/>
      <c r="B3497"/>
      <c r="C3497"/>
      <c r="D3497"/>
    </row>
    <row r="3498" spans="1:4" x14ac:dyDescent="0.25">
      <c r="A3498"/>
      <c r="B3498"/>
      <c r="C3498"/>
      <c r="D3498"/>
    </row>
    <row r="3499" spans="1:4" x14ac:dyDescent="0.25">
      <c r="A3499"/>
      <c r="B3499"/>
      <c r="C3499"/>
      <c r="D3499"/>
    </row>
    <row r="3500" spans="1:4" x14ac:dyDescent="0.25">
      <c r="A3500"/>
      <c r="B3500"/>
      <c r="C3500"/>
      <c r="D3500"/>
    </row>
    <row r="3501" spans="1:4" x14ac:dyDescent="0.25">
      <c r="A3501"/>
      <c r="B3501"/>
      <c r="C3501"/>
      <c r="D3501"/>
    </row>
    <row r="3502" spans="1:4" x14ac:dyDescent="0.25">
      <c r="A3502"/>
      <c r="B3502"/>
      <c r="C3502"/>
      <c r="D3502"/>
    </row>
    <row r="3503" spans="1:4" x14ac:dyDescent="0.25">
      <c r="A3503"/>
      <c r="B3503"/>
      <c r="C3503"/>
      <c r="D3503"/>
    </row>
    <row r="3504" spans="1:4" x14ac:dyDescent="0.25">
      <c r="A3504"/>
      <c r="B3504"/>
      <c r="C3504"/>
      <c r="D3504"/>
    </row>
    <row r="3505" spans="1:4" x14ac:dyDescent="0.25">
      <c r="A3505"/>
      <c r="B3505"/>
      <c r="C3505"/>
      <c r="D3505"/>
    </row>
    <row r="3506" spans="1:4" x14ac:dyDescent="0.25">
      <c r="A3506"/>
      <c r="B3506"/>
      <c r="C3506"/>
      <c r="D3506"/>
    </row>
    <row r="3507" spans="1:4" x14ac:dyDescent="0.25">
      <c r="A3507"/>
      <c r="B3507"/>
      <c r="C3507"/>
      <c r="D3507"/>
    </row>
    <row r="3508" spans="1:4" x14ac:dyDescent="0.25">
      <c r="A3508"/>
      <c r="B3508"/>
      <c r="C3508"/>
      <c r="D3508"/>
    </row>
    <row r="3509" spans="1:4" x14ac:dyDescent="0.25">
      <c r="A3509"/>
      <c r="B3509"/>
      <c r="C3509"/>
      <c r="D3509"/>
    </row>
    <row r="3510" spans="1:4" x14ac:dyDescent="0.25">
      <c r="A3510"/>
      <c r="B3510"/>
      <c r="C3510"/>
      <c r="D3510"/>
    </row>
    <row r="3511" spans="1:4" x14ac:dyDescent="0.25">
      <c r="A3511"/>
      <c r="B3511"/>
      <c r="C3511"/>
      <c r="D3511"/>
    </row>
    <row r="3512" spans="1:4" x14ac:dyDescent="0.25">
      <c r="A3512"/>
      <c r="B3512"/>
      <c r="C3512"/>
      <c r="D3512"/>
    </row>
    <row r="3513" spans="1:4" x14ac:dyDescent="0.25">
      <c r="A3513"/>
      <c r="B3513"/>
      <c r="C3513"/>
      <c r="D3513"/>
    </row>
    <row r="3514" spans="1:4" x14ac:dyDescent="0.25">
      <c r="A3514"/>
      <c r="B3514"/>
      <c r="C3514"/>
      <c r="D3514"/>
    </row>
    <row r="3515" spans="1:4" x14ac:dyDescent="0.25">
      <c r="A3515"/>
      <c r="B3515"/>
      <c r="C3515"/>
      <c r="D3515"/>
    </row>
    <row r="3516" spans="1:4" x14ac:dyDescent="0.25">
      <c r="A3516"/>
      <c r="B3516"/>
      <c r="C3516"/>
      <c r="D3516"/>
    </row>
    <row r="3517" spans="1:4" x14ac:dyDescent="0.25">
      <c r="A3517"/>
      <c r="B3517"/>
      <c r="C3517"/>
      <c r="D3517"/>
    </row>
    <row r="3518" spans="1:4" x14ac:dyDescent="0.25">
      <c r="A3518"/>
      <c r="B3518"/>
      <c r="C3518"/>
      <c r="D3518"/>
    </row>
    <row r="3519" spans="1:4" x14ac:dyDescent="0.25">
      <c r="A3519"/>
      <c r="B3519"/>
      <c r="C3519"/>
      <c r="D3519"/>
    </row>
    <row r="3520" spans="1:4" x14ac:dyDescent="0.25">
      <c r="A3520"/>
      <c r="B3520"/>
      <c r="C3520"/>
      <c r="D3520"/>
    </row>
    <row r="3521" spans="1:4" x14ac:dyDescent="0.25">
      <c r="A3521"/>
      <c r="B3521"/>
      <c r="C3521"/>
      <c r="D3521"/>
    </row>
    <row r="3522" spans="1:4" x14ac:dyDescent="0.25">
      <c r="A3522"/>
      <c r="B3522"/>
      <c r="C3522"/>
      <c r="D3522"/>
    </row>
    <row r="3523" spans="1:4" x14ac:dyDescent="0.25">
      <c r="A3523"/>
      <c r="B3523"/>
      <c r="C3523"/>
      <c r="D3523"/>
    </row>
    <row r="3524" spans="1:4" x14ac:dyDescent="0.25">
      <c r="A3524"/>
      <c r="B3524"/>
      <c r="C3524"/>
      <c r="D3524"/>
    </row>
    <row r="3525" spans="1:4" x14ac:dyDescent="0.25">
      <c r="A3525"/>
      <c r="B3525"/>
      <c r="C3525"/>
      <c r="D3525"/>
    </row>
    <row r="3526" spans="1:4" x14ac:dyDescent="0.25">
      <c r="A3526"/>
      <c r="B3526"/>
      <c r="C3526"/>
      <c r="D3526"/>
    </row>
    <row r="3527" spans="1:4" x14ac:dyDescent="0.25">
      <c r="A3527"/>
      <c r="B3527"/>
      <c r="C3527"/>
      <c r="D3527"/>
    </row>
    <row r="3528" spans="1:4" x14ac:dyDescent="0.25">
      <c r="A3528"/>
      <c r="B3528"/>
      <c r="C3528"/>
      <c r="D3528"/>
    </row>
    <row r="3529" spans="1:4" x14ac:dyDescent="0.25">
      <c r="A3529"/>
      <c r="B3529"/>
      <c r="C3529"/>
      <c r="D3529"/>
    </row>
    <row r="3530" spans="1:4" x14ac:dyDescent="0.25">
      <c r="A3530"/>
      <c r="B3530"/>
      <c r="C3530"/>
      <c r="D3530"/>
    </row>
    <row r="3531" spans="1:4" x14ac:dyDescent="0.25">
      <c r="A3531"/>
      <c r="B3531"/>
      <c r="C3531"/>
      <c r="D3531"/>
    </row>
    <row r="3532" spans="1:4" x14ac:dyDescent="0.25">
      <c r="A3532"/>
      <c r="B3532"/>
      <c r="C3532"/>
      <c r="D3532"/>
    </row>
    <row r="3533" spans="1:4" x14ac:dyDescent="0.25">
      <c r="A3533"/>
      <c r="B3533"/>
      <c r="C3533"/>
      <c r="D3533"/>
    </row>
    <row r="3534" spans="1:4" x14ac:dyDescent="0.25">
      <c r="A3534"/>
      <c r="B3534"/>
      <c r="C3534"/>
      <c r="D3534"/>
    </row>
    <row r="3535" spans="1:4" x14ac:dyDescent="0.25">
      <c r="A3535"/>
      <c r="B3535"/>
      <c r="C3535"/>
      <c r="D3535"/>
    </row>
    <row r="3536" spans="1:4" x14ac:dyDescent="0.25">
      <c r="A3536"/>
      <c r="B3536"/>
      <c r="C3536"/>
      <c r="D3536"/>
    </row>
    <row r="3537" spans="1:4" x14ac:dyDescent="0.25">
      <c r="A3537"/>
      <c r="B3537"/>
      <c r="C3537"/>
      <c r="D3537"/>
    </row>
    <row r="3538" spans="1:4" x14ac:dyDescent="0.25">
      <c r="A3538"/>
      <c r="B3538"/>
      <c r="C3538"/>
      <c r="D3538"/>
    </row>
    <row r="3539" spans="1:4" x14ac:dyDescent="0.25">
      <c r="A3539"/>
      <c r="B3539"/>
      <c r="C3539"/>
      <c r="D3539"/>
    </row>
    <row r="3540" spans="1:4" x14ac:dyDescent="0.25">
      <c r="A3540"/>
      <c r="B3540"/>
      <c r="C3540"/>
      <c r="D3540"/>
    </row>
    <row r="3541" spans="1:4" x14ac:dyDescent="0.25">
      <c r="A3541"/>
      <c r="B3541"/>
      <c r="C3541"/>
      <c r="D3541"/>
    </row>
    <row r="3542" spans="1:4" x14ac:dyDescent="0.25">
      <c r="A3542"/>
      <c r="B3542"/>
      <c r="C3542"/>
      <c r="D3542"/>
    </row>
    <row r="3543" spans="1:4" x14ac:dyDescent="0.25">
      <c r="A3543"/>
      <c r="B3543"/>
      <c r="C3543"/>
      <c r="D3543"/>
    </row>
    <row r="3544" spans="1:4" x14ac:dyDescent="0.25">
      <c r="A3544"/>
      <c r="B3544"/>
      <c r="C3544"/>
      <c r="D3544"/>
    </row>
    <row r="3545" spans="1:4" x14ac:dyDescent="0.25">
      <c r="A3545"/>
      <c r="B3545"/>
      <c r="C3545"/>
      <c r="D3545"/>
    </row>
    <row r="3546" spans="1:4" x14ac:dyDescent="0.25">
      <c r="A3546"/>
      <c r="B3546"/>
      <c r="C3546"/>
      <c r="D3546"/>
    </row>
    <row r="3547" spans="1:4" x14ac:dyDescent="0.25">
      <c r="A3547"/>
      <c r="B3547"/>
      <c r="C3547"/>
      <c r="D3547"/>
    </row>
    <row r="3548" spans="1:4" x14ac:dyDescent="0.25">
      <c r="A3548"/>
      <c r="B3548"/>
      <c r="C3548"/>
      <c r="D3548"/>
    </row>
    <row r="3549" spans="1:4" x14ac:dyDescent="0.25">
      <c r="A3549"/>
      <c r="B3549"/>
      <c r="C3549"/>
      <c r="D3549"/>
    </row>
    <row r="3550" spans="1:4" x14ac:dyDescent="0.25">
      <c r="A3550"/>
      <c r="B3550"/>
      <c r="C3550"/>
      <c r="D3550"/>
    </row>
    <row r="3551" spans="1:4" x14ac:dyDescent="0.25">
      <c r="A3551"/>
      <c r="B3551"/>
      <c r="C3551"/>
      <c r="D3551"/>
    </row>
    <row r="3552" spans="1:4" x14ac:dyDescent="0.25">
      <c r="A3552"/>
      <c r="B3552"/>
      <c r="C3552"/>
      <c r="D3552"/>
    </row>
    <row r="3553" spans="1:4" x14ac:dyDescent="0.25">
      <c r="A3553"/>
      <c r="B3553"/>
      <c r="C3553"/>
      <c r="D3553"/>
    </row>
    <row r="3554" spans="1:4" x14ac:dyDescent="0.25">
      <c r="A3554"/>
      <c r="B3554"/>
      <c r="C3554"/>
      <c r="D3554"/>
    </row>
    <row r="3555" spans="1:4" x14ac:dyDescent="0.25">
      <c r="A3555"/>
      <c r="B3555"/>
      <c r="C3555"/>
      <c r="D3555"/>
    </row>
    <row r="3556" spans="1:4" x14ac:dyDescent="0.25">
      <c r="A3556"/>
      <c r="B3556"/>
      <c r="C3556"/>
      <c r="D3556"/>
    </row>
    <row r="3557" spans="1:4" x14ac:dyDescent="0.25">
      <c r="A3557"/>
      <c r="B3557"/>
      <c r="C3557"/>
      <c r="D3557"/>
    </row>
    <row r="3558" spans="1:4" x14ac:dyDescent="0.25">
      <c r="A3558"/>
      <c r="B3558"/>
      <c r="C3558"/>
      <c r="D3558"/>
    </row>
    <row r="3559" spans="1:4" x14ac:dyDescent="0.25">
      <c r="A3559"/>
      <c r="B3559"/>
      <c r="C3559"/>
      <c r="D3559"/>
    </row>
    <row r="3560" spans="1:4" x14ac:dyDescent="0.25">
      <c r="A3560"/>
      <c r="B3560"/>
      <c r="C3560"/>
      <c r="D3560"/>
    </row>
    <row r="3561" spans="1:4" x14ac:dyDescent="0.25">
      <c r="A3561"/>
      <c r="B3561"/>
      <c r="C3561"/>
      <c r="D3561"/>
    </row>
    <row r="3562" spans="1:4" x14ac:dyDescent="0.25">
      <c r="A3562"/>
      <c r="B3562"/>
      <c r="C3562"/>
      <c r="D3562"/>
    </row>
    <row r="3563" spans="1:4" x14ac:dyDescent="0.25">
      <c r="A3563"/>
      <c r="B3563"/>
      <c r="C3563"/>
      <c r="D3563"/>
    </row>
    <row r="3564" spans="1:4" x14ac:dyDescent="0.25">
      <c r="A3564"/>
      <c r="B3564"/>
      <c r="C3564"/>
      <c r="D3564"/>
    </row>
    <row r="3565" spans="1:4" x14ac:dyDescent="0.25">
      <c r="A3565"/>
      <c r="B3565"/>
      <c r="C3565"/>
      <c r="D3565"/>
    </row>
    <row r="3566" spans="1:4" x14ac:dyDescent="0.25">
      <c r="A3566"/>
      <c r="B3566"/>
      <c r="C3566"/>
      <c r="D3566"/>
    </row>
    <row r="3567" spans="1:4" x14ac:dyDescent="0.25">
      <c r="A3567"/>
      <c r="B3567"/>
      <c r="C3567"/>
      <c r="D3567"/>
    </row>
    <row r="3568" spans="1:4" x14ac:dyDescent="0.25">
      <c r="A3568"/>
      <c r="B3568"/>
      <c r="C3568"/>
      <c r="D3568"/>
    </row>
    <row r="3569" spans="1:4" x14ac:dyDescent="0.25">
      <c r="A3569"/>
      <c r="B3569"/>
      <c r="C3569"/>
      <c r="D3569"/>
    </row>
    <row r="3570" spans="1:4" x14ac:dyDescent="0.25">
      <c r="A3570"/>
      <c r="B3570"/>
      <c r="C3570"/>
      <c r="D3570"/>
    </row>
    <row r="3571" spans="1:4" x14ac:dyDescent="0.25">
      <c r="A3571"/>
      <c r="B3571"/>
      <c r="C3571"/>
      <c r="D3571"/>
    </row>
    <row r="3572" spans="1:4" x14ac:dyDescent="0.25">
      <c r="A3572"/>
      <c r="B3572"/>
      <c r="C3572"/>
      <c r="D3572"/>
    </row>
    <row r="3573" spans="1:4" x14ac:dyDescent="0.25">
      <c r="A3573"/>
      <c r="B3573"/>
      <c r="C3573"/>
      <c r="D3573"/>
    </row>
    <row r="3574" spans="1:4" x14ac:dyDescent="0.25">
      <c r="A3574"/>
      <c r="B3574"/>
      <c r="C3574"/>
      <c r="D3574"/>
    </row>
    <row r="3575" spans="1:4" x14ac:dyDescent="0.25">
      <c r="A3575"/>
      <c r="B3575"/>
      <c r="C3575"/>
      <c r="D3575"/>
    </row>
    <row r="3576" spans="1:4" x14ac:dyDescent="0.25">
      <c r="A3576"/>
      <c r="B3576"/>
      <c r="C3576"/>
      <c r="D3576"/>
    </row>
    <row r="3577" spans="1:4" x14ac:dyDescent="0.25">
      <c r="A3577"/>
      <c r="B3577"/>
      <c r="C3577"/>
      <c r="D3577"/>
    </row>
    <row r="3578" spans="1:4" x14ac:dyDescent="0.25">
      <c r="A3578"/>
      <c r="B3578"/>
      <c r="C3578"/>
      <c r="D3578"/>
    </row>
    <row r="3579" spans="1:4" x14ac:dyDescent="0.25">
      <c r="A3579"/>
      <c r="B3579"/>
      <c r="C3579"/>
      <c r="D3579"/>
    </row>
    <row r="3580" spans="1:4" x14ac:dyDescent="0.25">
      <c r="A3580"/>
      <c r="B3580"/>
      <c r="C3580"/>
      <c r="D3580"/>
    </row>
    <row r="3581" spans="1:4" x14ac:dyDescent="0.25">
      <c r="A3581"/>
      <c r="B3581"/>
      <c r="C3581"/>
      <c r="D3581"/>
    </row>
    <row r="3582" spans="1:4" x14ac:dyDescent="0.25">
      <c r="A3582"/>
      <c r="B3582"/>
      <c r="C3582"/>
      <c r="D3582"/>
    </row>
    <row r="3583" spans="1:4" x14ac:dyDescent="0.25">
      <c r="A3583"/>
      <c r="B3583"/>
      <c r="C3583"/>
      <c r="D3583"/>
    </row>
    <row r="3584" spans="1:4" x14ac:dyDescent="0.25">
      <c r="A3584"/>
      <c r="B3584"/>
      <c r="C3584"/>
      <c r="D3584"/>
    </row>
    <row r="3585" spans="1:4" x14ac:dyDescent="0.25">
      <c r="A3585"/>
      <c r="B3585"/>
      <c r="C3585"/>
      <c r="D3585"/>
    </row>
    <row r="3586" spans="1:4" x14ac:dyDescent="0.25">
      <c r="A3586"/>
      <c r="B3586"/>
      <c r="C3586"/>
      <c r="D3586"/>
    </row>
    <row r="3587" spans="1:4" x14ac:dyDescent="0.25">
      <c r="A3587"/>
      <c r="B3587"/>
      <c r="C3587"/>
      <c r="D3587"/>
    </row>
    <row r="3588" spans="1:4" x14ac:dyDescent="0.25">
      <c r="A3588"/>
      <c r="B3588"/>
      <c r="C3588"/>
      <c r="D3588"/>
    </row>
    <row r="3589" spans="1:4" x14ac:dyDescent="0.25">
      <c r="A3589"/>
      <c r="B3589"/>
      <c r="C3589"/>
      <c r="D3589"/>
    </row>
    <row r="3590" spans="1:4" x14ac:dyDescent="0.25">
      <c r="A3590"/>
      <c r="B3590"/>
      <c r="C3590"/>
      <c r="D3590"/>
    </row>
    <row r="3591" spans="1:4" x14ac:dyDescent="0.25">
      <c r="A3591"/>
      <c r="B3591"/>
      <c r="C3591"/>
      <c r="D3591"/>
    </row>
    <row r="3592" spans="1:4" x14ac:dyDescent="0.25">
      <c r="A3592"/>
      <c r="B3592"/>
      <c r="C3592"/>
      <c r="D3592"/>
    </row>
    <row r="3593" spans="1:4" x14ac:dyDescent="0.25">
      <c r="A3593"/>
      <c r="B3593"/>
      <c r="C3593"/>
      <c r="D3593"/>
    </row>
    <row r="3594" spans="1:4" x14ac:dyDescent="0.25">
      <c r="A3594"/>
      <c r="B3594"/>
      <c r="C3594"/>
      <c r="D3594"/>
    </row>
    <row r="3595" spans="1:4" x14ac:dyDescent="0.25">
      <c r="A3595"/>
      <c r="B3595"/>
      <c r="C3595"/>
      <c r="D3595"/>
    </row>
    <row r="3596" spans="1:4" x14ac:dyDescent="0.25">
      <c r="A3596"/>
      <c r="B3596"/>
      <c r="C3596"/>
      <c r="D3596"/>
    </row>
    <row r="3597" spans="1:4" x14ac:dyDescent="0.25">
      <c r="A3597"/>
      <c r="B3597"/>
      <c r="C3597"/>
      <c r="D3597"/>
    </row>
    <row r="3598" spans="1:4" x14ac:dyDescent="0.25">
      <c r="A3598"/>
      <c r="B3598"/>
      <c r="C3598"/>
      <c r="D3598"/>
    </row>
    <row r="3599" spans="1:4" x14ac:dyDescent="0.25">
      <c r="A3599"/>
      <c r="B3599"/>
      <c r="C3599"/>
      <c r="D3599"/>
    </row>
    <row r="3600" spans="1:4" x14ac:dyDescent="0.25">
      <c r="A3600"/>
      <c r="B3600"/>
      <c r="C3600"/>
      <c r="D3600"/>
    </row>
    <row r="3601" spans="1:4" x14ac:dyDescent="0.25">
      <c r="A3601"/>
      <c r="B3601"/>
      <c r="C3601"/>
      <c r="D3601"/>
    </row>
    <row r="3602" spans="1:4" x14ac:dyDescent="0.25">
      <c r="A3602"/>
      <c r="B3602"/>
      <c r="C3602"/>
      <c r="D3602"/>
    </row>
    <row r="3603" spans="1:4" x14ac:dyDescent="0.25">
      <c r="A3603"/>
      <c r="B3603"/>
      <c r="C3603"/>
      <c r="D3603"/>
    </row>
    <row r="3604" spans="1:4" x14ac:dyDescent="0.25">
      <c r="A3604"/>
      <c r="B3604"/>
      <c r="C3604"/>
      <c r="D3604"/>
    </row>
    <row r="3605" spans="1:4" x14ac:dyDescent="0.25">
      <c r="A3605"/>
      <c r="B3605"/>
      <c r="C3605"/>
      <c r="D3605"/>
    </row>
    <row r="3606" spans="1:4" x14ac:dyDescent="0.25">
      <c r="A3606"/>
      <c r="B3606"/>
      <c r="C3606"/>
      <c r="D3606"/>
    </row>
    <row r="3607" spans="1:4" x14ac:dyDescent="0.25">
      <c r="A3607"/>
      <c r="B3607"/>
      <c r="C3607"/>
      <c r="D3607"/>
    </row>
    <row r="3608" spans="1:4" x14ac:dyDescent="0.25">
      <c r="A3608"/>
      <c r="B3608"/>
      <c r="C3608"/>
      <c r="D3608"/>
    </row>
    <row r="3609" spans="1:4" x14ac:dyDescent="0.25">
      <c r="A3609"/>
      <c r="B3609"/>
      <c r="C3609"/>
      <c r="D3609"/>
    </row>
    <row r="3610" spans="1:4" x14ac:dyDescent="0.25">
      <c r="A3610"/>
      <c r="B3610"/>
      <c r="C3610"/>
      <c r="D3610"/>
    </row>
    <row r="3611" spans="1:4" x14ac:dyDescent="0.25">
      <c r="A3611"/>
      <c r="B3611"/>
      <c r="C3611"/>
      <c r="D3611"/>
    </row>
    <row r="3612" spans="1:4" x14ac:dyDescent="0.25">
      <c r="A3612"/>
      <c r="B3612"/>
      <c r="C3612"/>
      <c r="D3612"/>
    </row>
    <row r="3613" spans="1:4" x14ac:dyDescent="0.25">
      <c r="A3613"/>
      <c r="B3613"/>
      <c r="C3613"/>
      <c r="D3613"/>
    </row>
    <row r="3614" spans="1:4" x14ac:dyDescent="0.25">
      <c r="A3614"/>
      <c r="B3614"/>
      <c r="C3614"/>
      <c r="D3614"/>
    </row>
    <row r="3615" spans="1:4" x14ac:dyDescent="0.25">
      <c r="A3615"/>
      <c r="B3615"/>
      <c r="C3615"/>
      <c r="D3615"/>
    </row>
    <row r="3616" spans="1:4" x14ac:dyDescent="0.25">
      <c r="A3616"/>
      <c r="B3616"/>
      <c r="C3616"/>
      <c r="D3616"/>
    </row>
    <row r="3617" spans="1:4" x14ac:dyDescent="0.25">
      <c r="A3617"/>
      <c r="B3617"/>
      <c r="C3617"/>
      <c r="D3617"/>
    </row>
    <row r="3618" spans="1:4" x14ac:dyDescent="0.25">
      <c r="A3618"/>
      <c r="B3618"/>
      <c r="C3618"/>
      <c r="D3618"/>
    </row>
    <row r="3619" spans="1:4" x14ac:dyDescent="0.25">
      <c r="A3619"/>
      <c r="B3619"/>
      <c r="C3619"/>
      <c r="D3619"/>
    </row>
    <row r="3620" spans="1:4" x14ac:dyDescent="0.25">
      <c r="A3620"/>
      <c r="B3620"/>
      <c r="C3620"/>
      <c r="D3620"/>
    </row>
    <row r="3621" spans="1:4" x14ac:dyDescent="0.25">
      <c r="A3621"/>
      <c r="B3621"/>
      <c r="C3621"/>
      <c r="D3621"/>
    </row>
    <row r="3622" spans="1:4" x14ac:dyDescent="0.25">
      <c r="A3622"/>
      <c r="B3622"/>
      <c r="C3622"/>
      <c r="D3622"/>
    </row>
    <row r="3623" spans="1:4" x14ac:dyDescent="0.25">
      <c r="A3623"/>
      <c r="B3623"/>
      <c r="C3623"/>
      <c r="D3623"/>
    </row>
    <row r="3624" spans="1:4" x14ac:dyDescent="0.25">
      <c r="A3624"/>
      <c r="B3624"/>
      <c r="C3624"/>
      <c r="D3624"/>
    </row>
    <row r="3625" spans="1:4" x14ac:dyDescent="0.25">
      <c r="A3625"/>
      <c r="B3625"/>
      <c r="C3625"/>
      <c r="D3625"/>
    </row>
    <row r="3626" spans="1:4" x14ac:dyDescent="0.25">
      <c r="A3626"/>
      <c r="B3626"/>
      <c r="C3626"/>
      <c r="D3626"/>
    </row>
    <row r="3627" spans="1:4" x14ac:dyDescent="0.25">
      <c r="A3627"/>
      <c r="B3627"/>
      <c r="C3627"/>
      <c r="D3627"/>
    </row>
    <row r="3628" spans="1:4" x14ac:dyDescent="0.25">
      <c r="A3628"/>
      <c r="B3628"/>
      <c r="C3628"/>
      <c r="D3628"/>
    </row>
    <row r="3629" spans="1:4" x14ac:dyDescent="0.25">
      <c r="A3629"/>
      <c r="B3629"/>
      <c r="C3629"/>
      <c r="D3629"/>
    </row>
    <row r="3630" spans="1:4" x14ac:dyDescent="0.25">
      <c r="A3630"/>
      <c r="B3630"/>
      <c r="C3630"/>
      <c r="D3630"/>
    </row>
    <row r="3631" spans="1:4" x14ac:dyDescent="0.25">
      <c r="A3631"/>
      <c r="B3631"/>
      <c r="C3631"/>
      <c r="D3631"/>
    </row>
    <row r="3632" spans="1:4" x14ac:dyDescent="0.25">
      <c r="A3632"/>
      <c r="B3632"/>
      <c r="C3632"/>
      <c r="D3632"/>
    </row>
    <row r="3633" spans="1:4" x14ac:dyDescent="0.25">
      <c r="A3633"/>
      <c r="B3633"/>
      <c r="C3633"/>
      <c r="D3633"/>
    </row>
    <row r="3634" spans="1:4" x14ac:dyDescent="0.25">
      <c r="A3634"/>
      <c r="B3634"/>
      <c r="C3634"/>
      <c r="D3634"/>
    </row>
    <row r="3635" spans="1:4" x14ac:dyDescent="0.25">
      <c r="A3635"/>
      <c r="B3635"/>
      <c r="C3635"/>
      <c r="D3635"/>
    </row>
    <row r="3636" spans="1:4" x14ac:dyDescent="0.25">
      <c r="A3636"/>
      <c r="B3636"/>
      <c r="C3636"/>
      <c r="D3636"/>
    </row>
    <row r="3637" spans="1:4" x14ac:dyDescent="0.25">
      <c r="A3637"/>
      <c r="B3637"/>
      <c r="C3637"/>
      <c r="D3637"/>
    </row>
    <row r="3638" spans="1:4" x14ac:dyDescent="0.25">
      <c r="A3638"/>
      <c r="B3638"/>
      <c r="C3638"/>
      <c r="D3638"/>
    </row>
    <row r="3639" spans="1:4" x14ac:dyDescent="0.25">
      <c r="A3639"/>
      <c r="B3639"/>
      <c r="C3639"/>
      <c r="D3639"/>
    </row>
    <row r="3640" spans="1:4" x14ac:dyDescent="0.25">
      <c r="A3640"/>
      <c r="B3640"/>
      <c r="C3640"/>
      <c r="D3640"/>
    </row>
    <row r="3641" spans="1:4" x14ac:dyDescent="0.25">
      <c r="A3641"/>
      <c r="B3641"/>
      <c r="C3641"/>
      <c r="D3641"/>
    </row>
    <row r="3642" spans="1:4" x14ac:dyDescent="0.25">
      <c r="A3642"/>
      <c r="B3642"/>
      <c r="C3642"/>
      <c r="D3642"/>
    </row>
    <row r="3643" spans="1:4" x14ac:dyDescent="0.25">
      <c r="A3643"/>
      <c r="B3643"/>
      <c r="C3643"/>
      <c r="D3643"/>
    </row>
    <row r="3644" spans="1:4" x14ac:dyDescent="0.25">
      <c r="A3644"/>
      <c r="B3644"/>
      <c r="C3644"/>
      <c r="D3644"/>
    </row>
    <row r="3645" spans="1:4" x14ac:dyDescent="0.25">
      <c r="A3645"/>
      <c r="B3645"/>
      <c r="C3645"/>
      <c r="D3645"/>
    </row>
    <row r="3646" spans="1:4" x14ac:dyDescent="0.25">
      <c r="A3646"/>
      <c r="B3646"/>
      <c r="C3646"/>
      <c r="D3646"/>
    </row>
    <row r="3647" spans="1:4" x14ac:dyDescent="0.25">
      <c r="A3647"/>
      <c r="B3647"/>
      <c r="C3647"/>
      <c r="D3647"/>
    </row>
    <row r="3648" spans="1:4" x14ac:dyDescent="0.25">
      <c r="A3648"/>
      <c r="B3648"/>
      <c r="C3648"/>
      <c r="D3648"/>
    </row>
    <row r="3649" spans="1:4" x14ac:dyDescent="0.25">
      <c r="A3649"/>
      <c r="B3649"/>
      <c r="C3649"/>
      <c r="D3649"/>
    </row>
    <row r="3650" spans="1:4" x14ac:dyDescent="0.25">
      <c r="A3650"/>
      <c r="B3650"/>
      <c r="C3650"/>
      <c r="D3650"/>
    </row>
    <row r="3651" spans="1:4" x14ac:dyDescent="0.25">
      <c r="A3651"/>
      <c r="B3651"/>
      <c r="C3651"/>
      <c r="D3651"/>
    </row>
    <row r="3652" spans="1:4" x14ac:dyDescent="0.25">
      <c r="A3652"/>
      <c r="B3652"/>
      <c r="C3652"/>
      <c r="D3652"/>
    </row>
    <row r="3653" spans="1:4" x14ac:dyDescent="0.25">
      <c r="A3653"/>
      <c r="B3653"/>
      <c r="C3653"/>
      <c r="D3653"/>
    </row>
    <row r="3654" spans="1:4" x14ac:dyDescent="0.25">
      <c r="A3654"/>
      <c r="B3654"/>
      <c r="C3654"/>
      <c r="D3654"/>
    </row>
    <row r="3655" spans="1:4" x14ac:dyDescent="0.25">
      <c r="A3655"/>
      <c r="B3655"/>
      <c r="C3655"/>
      <c r="D3655"/>
    </row>
    <row r="3656" spans="1:4" x14ac:dyDescent="0.25">
      <c r="A3656"/>
      <c r="B3656"/>
      <c r="C3656"/>
      <c r="D3656"/>
    </row>
    <row r="3657" spans="1:4" x14ac:dyDescent="0.25">
      <c r="A3657"/>
      <c r="B3657"/>
      <c r="C3657"/>
      <c r="D3657"/>
    </row>
    <row r="3658" spans="1:4" x14ac:dyDescent="0.25">
      <c r="A3658"/>
      <c r="B3658"/>
      <c r="C3658"/>
      <c r="D3658"/>
    </row>
    <row r="3659" spans="1:4" x14ac:dyDescent="0.25">
      <c r="A3659"/>
      <c r="B3659"/>
      <c r="C3659"/>
      <c r="D3659"/>
    </row>
    <row r="3660" spans="1:4" x14ac:dyDescent="0.25">
      <c r="A3660"/>
      <c r="B3660"/>
      <c r="C3660"/>
      <c r="D3660"/>
    </row>
    <row r="3661" spans="1:4" x14ac:dyDescent="0.25">
      <c r="A3661"/>
      <c r="B3661"/>
      <c r="C3661"/>
      <c r="D3661"/>
    </row>
    <row r="3662" spans="1:4" x14ac:dyDescent="0.25">
      <c r="A3662"/>
      <c r="B3662"/>
      <c r="C3662"/>
      <c r="D3662"/>
    </row>
    <row r="3663" spans="1:4" x14ac:dyDescent="0.25">
      <c r="A3663"/>
      <c r="B3663"/>
      <c r="C3663"/>
      <c r="D3663"/>
    </row>
    <row r="3664" spans="1:4" x14ac:dyDescent="0.25">
      <c r="A3664"/>
      <c r="B3664"/>
      <c r="C3664"/>
      <c r="D3664"/>
    </row>
    <row r="3665" spans="1:4" x14ac:dyDescent="0.25">
      <c r="A3665"/>
      <c r="B3665"/>
      <c r="C3665"/>
      <c r="D3665"/>
    </row>
    <row r="3666" spans="1:4" x14ac:dyDescent="0.25">
      <c r="A3666"/>
      <c r="B3666"/>
      <c r="C3666"/>
      <c r="D3666"/>
    </row>
    <row r="3667" spans="1:4" x14ac:dyDescent="0.25">
      <c r="A3667"/>
      <c r="B3667"/>
      <c r="C3667"/>
      <c r="D3667"/>
    </row>
    <row r="3668" spans="1:4" x14ac:dyDescent="0.25">
      <c r="A3668"/>
      <c r="B3668"/>
      <c r="C3668"/>
      <c r="D3668"/>
    </row>
    <row r="3669" spans="1:4" x14ac:dyDescent="0.25">
      <c r="A3669"/>
      <c r="B3669"/>
      <c r="C3669"/>
      <c r="D3669"/>
    </row>
    <row r="3670" spans="1:4" x14ac:dyDescent="0.25">
      <c r="A3670"/>
      <c r="B3670"/>
      <c r="C3670"/>
      <c r="D3670"/>
    </row>
    <row r="3671" spans="1:4" x14ac:dyDescent="0.25">
      <c r="A3671"/>
      <c r="B3671"/>
      <c r="C3671"/>
      <c r="D3671"/>
    </row>
    <row r="3672" spans="1:4" x14ac:dyDescent="0.25">
      <c r="A3672"/>
      <c r="B3672"/>
      <c r="C3672"/>
      <c r="D3672"/>
    </row>
    <row r="3673" spans="1:4" x14ac:dyDescent="0.25">
      <c r="A3673"/>
      <c r="B3673"/>
      <c r="C3673"/>
      <c r="D3673"/>
    </row>
    <row r="3674" spans="1:4" x14ac:dyDescent="0.25">
      <c r="A3674"/>
      <c r="B3674"/>
      <c r="C3674"/>
      <c r="D3674"/>
    </row>
    <row r="3675" spans="1:4" x14ac:dyDescent="0.25">
      <c r="A3675"/>
      <c r="B3675"/>
      <c r="C3675"/>
      <c r="D3675"/>
    </row>
    <row r="3676" spans="1:4" x14ac:dyDescent="0.25">
      <c r="A3676"/>
      <c r="B3676"/>
      <c r="C3676"/>
      <c r="D3676"/>
    </row>
    <row r="3677" spans="1:4" x14ac:dyDescent="0.25">
      <c r="A3677"/>
      <c r="B3677"/>
      <c r="C3677"/>
      <c r="D3677"/>
    </row>
    <row r="3678" spans="1:4" x14ac:dyDescent="0.25">
      <c r="A3678"/>
      <c r="B3678"/>
      <c r="C3678"/>
      <c r="D3678"/>
    </row>
    <row r="3679" spans="1:4" x14ac:dyDescent="0.25">
      <c r="A3679"/>
      <c r="B3679"/>
      <c r="C3679"/>
      <c r="D3679"/>
    </row>
    <row r="3680" spans="1:4" x14ac:dyDescent="0.25">
      <c r="A3680"/>
      <c r="B3680"/>
      <c r="C3680"/>
      <c r="D3680"/>
    </row>
    <row r="3681" spans="1:4" x14ac:dyDescent="0.25">
      <c r="A3681"/>
      <c r="B3681"/>
      <c r="C3681"/>
      <c r="D3681"/>
    </row>
    <row r="3682" spans="1:4" x14ac:dyDescent="0.25">
      <c r="A3682"/>
      <c r="B3682"/>
      <c r="C3682"/>
      <c r="D3682"/>
    </row>
    <row r="3683" spans="1:4" x14ac:dyDescent="0.25">
      <c r="A3683"/>
      <c r="B3683"/>
      <c r="C3683"/>
      <c r="D3683"/>
    </row>
    <row r="3684" spans="1:4" x14ac:dyDescent="0.25">
      <c r="A3684"/>
      <c r="B3684"/>
      <c r="C3684"/>
      <c r="D3684"/>
    </row>
    <row r="3685" spans="1:4" x14ac:dyDescent="0.25">
      <c r="A3685"/>
      <c r="B3685"/>
      <c r="C3685"/>
      <c r="D3685"/>
    </row>
    <row r="3686" spans="1:4" x14ac:dyDescent="0.25">
      <c r="A3686"/>
      <c r="B3686"/>
      <c r="C3686"/>
      <c r="D3686"/>
    </row>
    <row r="3687" spans="1:4" x14ac:dyDescent="0.25">
      <c r="A3687"/>
      <c r="B3687"/>
      <c r="C3687"/>
      <c r="D3687"/>
    </row>
    <row r="3688" spans="1:4" x14ac:dyDescent="0.25">
      <c r="A3688"/>
      <c r="B3688"/>
      <c r="C3688"/>
      <c r="D3688"/>
    </row>
    <row r="3689" spans="1:4" x14ac:dyDescent="0.25">
      <c r="A3689"/>
      <c r="B3689"/>
      <c r="C3689"/>
      <c r="D3689"/>
    </row>
    <row r="3690" spans="1:4" x14ac:dyDescent="0.25">
      <c r="A3690"/>
      <c r="B3690"/>
      <c r="C3690"/>
      <c r="D3690"/>
    </row>
    <row r="3691" spans="1:4" x14ac:dyDescent="0.25">
      <c r="A3691"/>
      <c r="B3691"/>
      <c r="C3691"/>
      <c r="D3691"/>
    </row>
    <row r="3692" spans="1:4" x14ac:dyDescent="0.25">
      <c r="A3692"/>
      <c r="B3692"/>
      <c r="C3692"/>
      <c r="D3692"/>
    </row>
    <row r="3693" spans="1:4" x14ac:dyDescent="0.25">
      <c r="A3693"/>
      <c r="B3693"/>
      <c r="C3693"/>
      <c r="D3693"/>
    </row>
    <row r="3694" spans="1:4" x14ac:dyDescent="0.25">
      <c r="A3694"/>
      <c r="B3694"/>
      <c r="C3694"/>
      <c r="D3694"/>
    </row>
    <row r="3695" spans="1:4" x14ac:dyDescent="0.25">
      <c r="A3695"/>
      <c r="B3695"/>
      <c r="C3695"/>
      <c r="D3695"/>
    </row>
    <row r="3696" spans="1:4" x14ac:dyDescent="0.25">
      <c r="A3696"/>
      <c r="B3696"/>
      <c r="C3696"/>
      <c r="D3696"/>
    </row>
    <row r="3697" spans="1:4" x14ac:dyDescent="0.25">
      <c r="A3697"/>
      <c r="B3697"/>
      <c r="C3697"/>
      <c r="D3697"/>
    </row>
    <row r="3698" spans="1:4" x14ac:dyDescent="0.25">
      <c r="A3698"/>
      <c r="B3698"/>
      <c r="C3698"/>
      <c r="D3698"/>
    </row>
    <row r="3699" spans="1:4" x14ac:dyDescent="0.25">
      <c r="A3699"/>
      <c r="B3699"/>
      <c r="C3699"/>
      <c r="D3699"/>
    </row>
    <row r="3700" spans="1:4" x14ac:dyDescent="0.25">
      <c r="A3700"/>
      <c r="B3700"/>
      <c r="C3700"/>
      <c r="D3700"/>
    </row>
    <row r="3701" spans="1:4" x14ac:dyDescent="0.25">
      <c r="A3701"/>
      <c r="B3701"/>
      <c r="C3701"/>
      <c r="D3701"/>
    </row>
    <row r="3702" spans="1:4" x14ac:dyDescent="0.25">
      <c r="A3702"/>
      <c r="B3702"/>
      <c r="C3702"/>
      <c r="D3702"/>
    </row>
    <row r="3703" spans="1:4" x14ac:dyDescent="0.25">
      <c r="A3703"/>
      <c r="B3703"/>
      <c r="C3703"/>
      <c r="D3703"/>
    </row>
    <row r="3704" spans="1:4" x14ac:dyDescent="0.25">
      <c r="A3704"/>
      <c r="B3704"/>
      <c r="C3704"/>
      <c r="D3704"/>
    </row>
    <row r="3705" spans="1:4" x14ac:dyDescent="0.25">
      <c r="A3705"/>
      <c r="B3705"/>
      <c r="C3705"/>
      <c r="D3705"/>
    </row>
    <row r="3706" spans="1:4" x14ac:dyDescent="0.25">
      <c r="A3706"/>
      <c r="B3706"/>
      <c r="C3706"/>
      <c r="D3706"/>
    </row>
    <row r="3707" spans="1:4" x14ac:dyDescent="0.25">
      <c r="A3707"/>
      <c r="B3707"/>
      <c r="C3707"/>
      <c r="D3707"/>
    </row>
    <row r="3708" spans="1:4" x14ac:dyDescent="0.25">
      <c r="A3708"/>
      <c r="B3708"/>
      <c r="C3708"/>
      <c r="D3708"/>
    </row>
    <row r="3709" spans="1:4" x14ac:dyDescent="0.25">
      <c r="A3709"/>
      <c r="B3709"/>
      <c r="C3709"/>
      <c r="D3709"/>
    </row>
    <row r="3710" spans="1:4" x14ac:dyDescent="0.25">
      <c r="A3710"/>
      <c r="B3710"/>
      <c r="C3710"/>
      <c r="D3710"/>
    </row>
    <row r="3711" spans="1:4" x14ac:dyDescent="0.25">
      <c r="A3711"/>
      <c r="B3711"/>
      <c r="C3711"/>
      <c r="D3711"/>
    </row>
    <row r="3712" spans="1:4" x14ac:dyDescent="0.25">
      <c r="A3712"/>
      <c r="B3712"/>
      <c r="C3712"/>
      <c r="D3712"/>
    </row>
    <row r="3713" spans="1:4" x14ac:dyDescent="0.25">
      <c r="A3713"/>
      <c r="B3713"/>
      <c r="C3713"/>
      <c r="D3713"/>
    </row>
    <row r="3714" spans="1:4" x14ac:dyDescent="0.25">
      <c r="A3714"/>
      <c r="B3714"/>
      <c r="C3714"/>
      <c r="D3714"/>
    </row>
    <row r="3715" spans="1:4" x14ac:dyDescent="0.25">
      <c r="A3715"/>
      <c r="B3715"/>
      <c r="C3715"/>
      <c r="D3715"/>
    </row>
    <row r="3716" spans="1:4" x14ac:dyDescent="0.25">
      <c r="A3716"/>
      <c r="B3716"/>
      <c r="C3716"/>
      <c r="D3716"/>
    </row>
    <row r="3717" spans="1:4" x14ac:dyDescent="0.25">
      <c r="A3717"/>
      <c r="B3717"/>
      <c r="C3717"/>
      <c r="D3717"/>
    </row>
    <row r="3718" spans="1:4" x14ac:dyDescent="0.25">
      <c r="A3718"/>
      <c r="B3718"/>
      <c r="C3718"/>
      <c r="D3718"/>
    </row>
    <row r="3719" spans="1:4" x14ac:dyDescent="0.25">
      <c r="A3719"/>
      <c r="B3719"/>
      <c r="C3719"/>
      <c r="D3719"/>
    </row>
    <row r="3720" spans="1:4" x14ac:dyDescent="0.25">
      <c r="A3720"/>
      <c r="B3720"/>
      <c r="C3720"/>
      <c r="D3720"/>
    </row>
    <row r="3721" spans="1:4" x14ac:dyDescent="0.25">
      <c r="A3721"/>
      <c r="B3721"/>
      <c r="C3721"/>
      <c r="D3721"/>
    </row>
    <row r="3722" spans="1:4" x14ac:dyDescent="0.25">
      <c r="A3722"/>
      <c r="B3722"/>
      <c r="C3722"/>
      <c r="D3722"/>
    </row>
    <row r="3723" spans="1:4" x14ac:dyDescent="0.25">
      <c r="A3723"/>
      <c r="B3723"/>
      <c r="C3723"/>
      <c r="D3723"/>
    </row>
    <row r="3724" spans="1:4" x14ac:dyDescent="0.25">
      <c r="A3724"/>
      <c r="B3724"/>
      <c r="C3724"/>
      <c r="D3724"/>
    </row>
    <row r="3725" spans="1:4" x14ac:dyDescent="0.25">
      <c r="A3725"/>
      <c r="B3725"/>
      <c r="C3725"/>
      <c r="D3725"/>
    </row>
    <row r="3726" spans="1:4" x14ac:dyDescent="0.25">
      <c r="A3726"/>
      <c r="B3726"/>
      <c r="C3726"/>
      <c r="D3726"/>
    </row>
    <row r="3727" spans="1:4" x14ac:dyDescent="0.25">
      <c r="A3727"/>
      <c r="B3727"/>
      <c r="C3727"/>
      <c r="D3727"/>
    </row>
    <row r="3728" spans="1:4" x14ac:dyDescent="0.25">
      <c r="A3728"/>
      <c r="B3728"/>
      <c r="C3728"/>
      <c r="D3728"/>
    </row>
    <row r="3729" spans="1:4" x14ac:dyDescent="0.25">
      <c r="A3729"/>
      <c r="B3729"/>
      <c r="C3729"/>
      <c r="D3729"/>
    </row>
    <row r="3730" spans="1:4" x14ac:dyDescent="0.25">
      <c r="A3730"/>
      <c r="B3730"/>
      <c r="C3730"/>
      <c r="D3730"/>
    </row>
    <row r="3731" spans="1:4" x14ac:dyDescent="0.25">
      <c r="A3731"/>
      <c r="B3731"/>
      <c r="C3731"/>
      <c r="D3731"/>
    </row>
    <row r="3732" spans="1:4" x14ac:dyDescent="0.25">
      <c r="A3732"/>
      <c r="B3732"/>
      <c r="C3732"/>
      <c r="D3732"/>
    </row>
    <row r="3733" spans="1:4" x14ac:dyDescent="0.25">
      <c r="A3733"/>
      <c r="B3733"/>
      <c r="C3733"/>
      <c r="D3733"/>
    </row>
    <row r="3734" spans="1:4" x14ac:dyDescent="0.25">
      <c r="A3734"/>
      <c r="B3734"/>
      <c r="C3734"/>
      <c r="D3734"/>
    </row>
    <row r="3735" spans="1:4" x14ac:dyDescent="0.25">
      <c r="A3735"/>
      <c r="B3735"/>
      <c r="C3735"/>
      <c r="D3735"/>
    </row>
    <row r="3736" spans="1:4" x14ac:dyDescent="0.25">
      <c r="A3736"/>
      <c r="B3736"/>
      <c r="C3736"/>
      <c r="D3736"/>
    </row>
    <row r="3737" spans="1:4" x14ac:dyDescent="0.25">
      <c r="A3737"/>
      <c r="B3737"/>
      <c r="C3737"/>
      <c r="D3737"/>
    </row>
    <row r="3738" spans="1:4" x14ac:dyDescent="0.25">
      <c r="A3738"/>
      <c r="B3738"/>
      <c r="C3738"/>
      <c r="D3738"/>
    </row>
    <row r="3739" spans="1:4" x14ac:dyDescent="0.25">
      <c r="A3739"/>
      <c r="B3739"/>
      <c r="C3739"/>
      <c r="D3739"/>
    </row>
    <row r="3740" spans="1:4" x14ac:dyDescent="0.25">
      <c r="A3740"/>
      <c r="B3740"/>
      <c r="C3740"/>
      <c r="D3740"/>
    </row>
    <row r="3741" spans="1:4" x14ac:dyDescent="0.25">
      <c r="A3741"/>
      <c r="B3741"/>
      <c r="C3741"/>
      <c r="D3741"/>
    </row>
    <row r="3742" spans="1:4" x14ac:dyDescent="0.25">
      <c r="A3742"/>
      <c r="B3742"/>
      <c r="C3742"/>
      <c r="D3742"/>
    </row>
    <row r="3743" spans="1:4" x14ac:dyDescent="0.25">
      <c r="A3743"/>
      <c r="B3743"/>
      <c r="C3743"/>
      <c r="D3743"/>
    </row>
    <row r="3744" spans="1:4" x14ac:dyDescent="0.25">
      <c r="A3744"/>
      <c r="B3744"/>
      <c r="C3744"/>
      <c r="D3744"/>
    </row>
    <row r="3745" spans="1:4" x14ac:dyDescent="0.25">
      <c r="A3745"/>
      <c r="B3745"/>
      <c r="C3745"/>
      <c r="D3745"/>
    </row>
    <row r="3746" spans="1:4" x14ac:dyDescent="0.25">
      <c r="A3746"/>
      <c r="B3746"/>
      <c r="C3746"/>
      <c r="D3746"/>
    </row>
    <row r="3747" spans="1:4" x14ac:dyDescent="0.25">
      <c r="A3747"/>
      <c r="B3747"/>
      <c r="C3747"/>
      <c r="D3747"/>
    </row>
    <row r="3748" spans="1:4" x14ac:dyDescent="0.25">
      <c r="A3748"/>
      <c r="B3748"/>
      <c r="C3748"/>
      <c r="D3748"/>
    </row>
    <row r="3749" spans="1:4" x14ac:dyDescent="0.25">
      <c r="A3749"/>
      <c r="B3749"/>
      <c r="C3749"/>
      <c r="D3749"/>
    </row>
    <row r="3750" spans="1:4" x14ac:dyDescent="0.25">
      <c r="A3750"/>
      <c r="B3750"/>
      <c r="C3750"/>
      <c r="D3750"/>
    </row>
    <row r="3751" spans="1:4" x14ac:dyDescent="0.25">
      <c r="A3751"/>
      <c r="B3751"/>
      <c r="C3751"/>
      <c r="D3751"/>
    </row>
    <row r="3752" spans="1:4" x14ac:dyDescent="0.25">
      <c r="A3752"/>
      <c r="B3752"/>
      <c r="C3752"/>
      <c r="D3752"/>
    </row>
    <row r="3753" spans="1:4" x14ac:dyDescent="0.25">
      <c r="A3753"/>
      <c r="B3753"/>
      <c r="C3753"/>
      <c r="D3753"/>
    </row>
    <row r="3754" spans="1:4" x14ac:dyDescent="0.25">
      <c r="A3754"/>
      <c r="B3754"/>
      <c r="C3754"/>
      <c r="D3754"/>
    </row>
    <row r="3755" spans="1:4" x14ac:dyDescent="0.25">
      <c r="A3755"/>
      <c r="B3755"/>
      <c r="C3755"/>
      <c r="D3755"/>
    </row>
    <row r="3756" spans="1:4" x14ac:dyDescent="0.25">
      <c r="A3756"/>
      <c r="B3756"/>
      <c r="C3756"/>
      <c r="D3756"/>
    </row>
    <row r="3757" spans="1:4" x14ac:dyDescent="0.25">
      <c r="A3757"/>
      <c r="B3757"/>
      <c r="C3757"/>
      <c r="D3757"/>
    </row>
    <row r="3758" spans="1:4" x14ac:dyDescent="0.25">
      <c r="A3758"/>
      <c r="B3758"/>
      <c r="C3758"/>
      <c r="D3758"/>
    </row>
    <row r="3759" spans="1:4" x14ac:dyDescent="0.25">
      <c r="A3759"/>
      <c r="B3759"/>
      <c r="C3759"/>
      <c r="D3759"/>
    </row>
    <row r="3760" spans="1:4" x14ac:dyDescent="0.25">
      <c r="A3760"/>
      <c r="B3760"/>
      <c r="C3760"/>
      <c r="D3760"/>
    </row>
    <row r="3761" spans="1:4" x14ac:dyDescent="0.25">
      <c r="A3761"/>
      <c r="B3761"/>
      <c r="C3761"/>
      <c r="D3761"/>
    </row>
    <row r="3762" spans="1:4" x14ac:dyDescent="0.25">
      <c r="A3762"/>
      <c r="B3762"/>
      <c r="C3762"/>
      <c r="D3762"/>
    </row>
    <row r="3763" spans="1:4" x14ac:dyDescent="0.25">
      <c r="A3763"/>
      <c r="B3763"/>
      <c r="C3763"/>
      <c r="D3763"/>
    </row>
    <row r="3764" spans="1:4" x14ac:dyDescent="0.25">
      <c r="A3764"/>
      <c r="B3764"/>
      <c r="C3764"/>
      <c r="D3764"/>
    </row>
    <row r="3765" spans="1:4" x14ac:dyDescent="0.25">
      <c r="A3765"/>
      <c r="B3765"/>
      <c r="C3765"/>
      <c r="D3765"/>
    </row>
    <row r="3766" spans="1:4" x14ac:dyDescent="0.25">
      <c r="A3766"/>
      <c r="B3766"/>
      <c r="C3766"/>
      <c r="D3766"/>
    </row>
    <row r="3767" spans="1:4" x14ac:dyDescent="0.25">
      <c r="A3767"/>
      <c r="B3767"/>
      <c r="C3767"/>
      <c r="D3767"/>
    </row>
    <row r="3768" spans="1:4" x14ac:dyDescent="0.25">
      <c r="A3768"/>
      <c r="B3768"/>
      <c r="C3768"/>
      <c r="D3768"/>
    </row>
    <row r="3769" spans="1:4" x14ac:dyDescent="0.25">
      <c r="A3769"/>
      <c r="B3769"/>
      <c r="C3769"/>
      <c r="D3769"/>
    </row>
    <row r="3770" spans="1:4" x14ac:dyDescent="0.25">
      <c r="A3770"/>
      <c r="B3770"/>
      <c r="C3770"/>
      <c r="D3770"/>
    </row>
    <row r="3771" spans="1:4" x14ac:dyDescent="0.25">
      <c r="A3771"/>
      <c r="B3771"/>
      <c r="C3771"/>
      <c r="D3771"/>
    </row>
    <row r="3772" spans="1:4" x14ac:dyDescent="0.25">
      <c r="A3772"/>
      <c r="B3772"/>
      <c r="C3772"/>
      <c r="D3772"/>
    </row>
    <row r="3773" spans="1:4" x14ac:dyDescent="0.25">
      <c r="A3773"/>
      <c r="B3773"/>
      <c r="C3773"/>
      <c r="D3773"/>
    </row>
    <row r="3774" spans="1:4" x14ac:dyDescent="0.25">
      <c r="A3774"/>
      <c r="B3774"/>
      <c r="C3774"/>
      <c r="D3774"/>
    </row>
    <row r="3775" spans="1:4" x14ac:dyDescent="0.25">
      <c r="A3775"/>
      <c r="B3775"/>
      <c r="C3775"/>
      <c r="D3775"/>
    </row>
    <row r="3776" spans="1:4" x14ac:dyDescent="0.25">
      <c r="A3776"/>
      <c r="B3776"/>
      <c r="C3776"/>
      <c r="D3776"/>
    </row>
    <row r="3777" spans="1:4" x14ac:dyDescent="0.25">
      <c r="A3777"/>
      <c r="B3777"/>
      <c r="C3777"/>
      <c r="D3777"/>
    </row>
    <row r="3778" spans="1:4" x14ac:dyDescent="0.25">
      <c r="A3778"/>
      <c r="B3778"/>
      <c r="C3778"/>
      <c r="D3778"/>
    </row>
    <row r="3779" spans="1:4" x14ac:dyDescent="0.25">
      <c r="A3779"/>
      <c r="B3779"/>
      <c r="C3779"/>
      <c r="D3779"/>
    </row>
    <row r="3780" spans="1:4" x14ac:dyDescent="0.25">
      <c r="A3780"/>
      <c r="B3780"/>
      <c r="C3780"/>
      <c r="D3780"/>
    </row>
    <row r="3781" spans="1:4" x14ac:dyDescent="0.25">
      <c r="A3781"/>
      <c r="B3781"/>
      <c r="C3781"/>
      <c r="D3781"/>
    </row>
    <row r="3782" spans="1:4" x14ac:dyDescent="0.25">
      <c r="A3782"/>
      <c r="B3782"/>
      <c r="C3782"/>
      <c r="D3782"/>
    </row>
    <row r="3783" spans="1:4" x14ac:dyDescent="0.25">
      <c r="A3783"/>
      <c r="B3783"/>
      <c r="C3783"/>
      <c r="D3783"/>
    </row>
    <row r="3784" spans="1:4" x14ac:dyDescent="0.25">
      <c r="A3784"/>
      <c r="B3784"/>
      <c r="C3784"/>
      <c r="D3784"/>
    </row>
    <row r="3785" spans="1:4" x14ac:dyDescent="0.25">
      <c r="A3785"/>
      <c r="B3785"/>
      <c r="C3785"/>
      <c r="D3785"/>
    </row>
    <row r="3786" spans="1:4" x14ac:dyDescent="0.25">
      <c r="A3786"/>
      <c r="B3786"/>
      <c r="C3786"/>
      <c r="D3786"/>
    </row>
    <row r="3787" spans="1:4" x14ac:dyDescent="0.25">
      <c r="A3787"/>
      <c r="B3787"/>
      <c r="C3787"/>
      <c r="D3787"/>
    </row>
    <row r="3788" spans="1:4" x14ac:dyDescent="0.25">
      <c r="A3788"/>
      <c r="B3788"/>
      <c r="C3788"/>
      <c r="D3788"/>
    </row>
    <row r="3789" spans="1:4" x14ac:dyDescent="0.25">
      <c r="A3789"/>
      <c r="B3789"/>
      <c r="C3789"/>
      <c r="D3789"/>
    </row>
    <row r="3790" spans="1:4" x14ac:dyDescent="0.25">
      <c r="A3790"/>
      <c r="B3790"/>
      <c r="C3790"/>
      <c r="D3790"/>
    </row>
    <row r="3791" spans="1:4" x14ac:dyDescent="0.25">
      <c r="A3791"/>
      <c r="B3791"/>
      <c r="C3791"/>
      <c r="D3791"/>
    </row>
    <row r="3792" spans="1:4" x14ac:dyDescent="0.25">
      <c r="A3792"/>
      <c r="B3792"/>
      <c r="C3792"/>
      <c r="D3792"/>
    </row>
    <row r="3793" spans="1:4" x14ac:dyDescent="0.25">
      <c r="A3793"/>
      <c r="B3793"/>
      <c r="C3793"/>
      <c r="D3793"/>
    </row>
    <row r="3794" spans="1:4" x14ac:dyDescent="0.25">
      <c r="A3794"/>
      <c r="B3794"/>
      <c r="C3794"/>
      <c r="D3794"/>
    </row>
    <row r="3795" spans="1:4" x14ac:dyDescent="0.25">
      <c r="A3795"/>
      <c r="B3795"/>
      <c r="C3795"/>
      <c r="D3795"/>
    </row>
    <row r="3796" spans="1:4" x14ac:dyDescent="0.25">
      <c r="A3796"/>
      <c r="B3796"/>
      <c r="C3796"/>
      <c r="D3796"/>
    </row>
    <row r="3797" spans="1:4" x14ac:dyDescent="0.25">
      <c r="A3797"/>
      <c r="B3797"/>
      <c r="C3797"/>
      <c r="D3797"/>
    </row>
    <row r="3798" spans="1:4" x14ac:dyDescent="0.25">
      <c r="A3798"/>
      <c r="B3798"/>
      <c r="C3798"/>
      <c r="D3798"/>
    </row>
    <row r="3799" spans="1:4" x14ac:dyDescent="0.25">
      <c r="A3799"/>
      <c r="B3799"/>
      <c r="C3799"/>
      <c r="D3799"/>
    </row>
    <row r="3800" spans="1:4" x14ac:dyDescent="0.25">
      <c r="A3800"/>
      <c r="B3800"/>
      <c r="C3800"/>
      <c r="D3800"/>
    </row>
    <row r="3801" spans="1:4" x14ac:dyDescent="0.25">
      <c r="A3801"/>
      <c r="B3801"/>
      <c r="C3801"/>
      <c r="D3801"/>
    </row>
    <row r="3802" spans="1:4" x14ac:dyDescent="0.25">
      <c r="A3802"/>
      <c r="B3802"/>
      <c r="C3802"/>
      <c r="D3802"/>
    </row>
    <row r="3803" spans="1:4" x14ac:dyDescent="0.25">
      <c r="A3803"/>
      <c r="B3803"/>
      <c r="C3803"/>
      <c r="D3803"/>
    </row>
    <row r="3804" spans="1:4" x14ac:dyDescent="0.25">
      <c r="A3804"/>
      <c r="B3804"/>
      <c r="C3804"/>
      <c r="D3804"/>
    </row>
    <row r="3805" spans="1:4" x14ac:dyDescent="0.25">
      <c r="A3805"/>
      <c r="B3805"/>
      <c r="C3805"/>
      <c r="D3805"/>
    </row>
    <row r="3806" spans="1:4" x14ac:dyDescent="0.25">
      <c r="A3806"/>
      <c r="B3806"/>
      <c r="C3806"/>
      <c r="D3806"/>
    </row>
    <row r="3807" spans="1:4" x14ac:dyDescent="0.25">
      <c r="A3807"/>
      <c r="B3807"/>
      <c r="C3807"/>
      <c r="D3807"/>
    </row>
    <row r="3808" spans="1:4" x14ac:dyDescent="0.25">
      <c r="A3808"/>
      <c r="B3808"/>
      <c r="C3808"/>
      <c r="D3808"/>
    </row>
    <row r="3809" spans="1:4" x14ac:dyDescent="0.25">
      <c r="A3809"/>
      <c r="B3809"/>
      <c r="C3809"/>
      <c r="D3809"/>
    </row>
    <row r="3810" spans="1:4" x14ac:dyDescent="0.25">
      <c r="A3810"/>
      <c r="B3810"/>
      <c r="C3810"/>
      <c r="D3810"/>
    </row>
    <row r="3811" spans="1:4" x14ac:dyDescent="0.25">
      <c r="A3811"/>
      <c r="B3811"/>
      <c r="C3811"/>
      <c r="D3811"/>
    </row>
    <row r="3812" spans="1:4" x14ac:dyDescent="0.25">
      <c r="A3812"/>
      <c r="B3812"/>
      <c r="C3812"/>
      <c r="D3812"/>
    </row>
    <row r="3813" spans="1:4" x14ac:dyDescent="0.25">
      <c r="A3813"/>
      <c r="B3813"/>
      <c r="C3813"/>
      <c r="D3813"/>
    </row>
    <row r="3814" spans="1:4" x14ac:dyDescent="0.25">
      <c r="A3814"/>
      <c r="B3814"/>
      <c r="C3814"/>
      <c r="D3814"/>
    </row>
    <row r="3815" spans="1:4" x14ac:dyDescent="0.25">
      <c r="A3815"/>
      <c r="B3815"/>
      <c r="C3815"/>
      <c r="D3815"/>
    </row>
    <row r="3816" spans="1:4" x14ac:dyDescent="0.25">
      <c r="A3816"/>
      <c r="B3816"/>
      <c r="C3816"/>
      <c r="D3816"/>
    </row>
    <row r="3817" spans="1:4" x14ac:dyDescent="0.25">
      <c r="A3817"/>
      <c r="B3817"/>
      <c r="C3817"/>
      <c r="D3817"/>
    </row>
    <row r="3818" spans="1:4" x14ac:dyDescent="0.25">
      <c r="A3818"/>
      <c r="B3818"/>
      <c r="C3818"/>
      <c r="D3818"/>
    </row>
    <row r="3819" spans="1:4" x14ac:dyDescent="0.25">
      <c r="A3819"/>
      <c r="B3819"/>
      <c r="C3819"/>
      <c r="D3819"/>
    </row>
    <row r="3820" spans="1:4" x14ac:dyDescent="0.25">
      <c r="A3820"/>
      <c r="B3820"/>
      <c r="C3820"/>
      <c r="D3820"/>
    </row>
    <row r="3821" spans="1:4" x14ac:dyDescent="0.25">
      <c r="A3821"/>
      <c r="B3821"/>
      <c r="C3821"/>
      <c r="D3821"/>
    </row>
    <row r="3822" spans="1:4" x14ac:dyDescent="0.25">
      <c r="A3822"/>
      <c r="B3822"/>
      <c r="C3822"/>
      <c r="D3822"/>
    </row>
    <row r="3823" spans="1:4" x14ac:dyDescent="0.25">
      <c r="A3823"/>
      <c r="B3823"/>
      <c r="C3823"/>
      <c r="D3823"/>
    </row>
    <row r="3824" spans="1:4" x14ac:dyDescent="0.25">
      <c r="A3824"/>
      <c r="B3824"/>
      <c r="C3824"/>
      <c r="D3824"/>
    </row>
    <row r="3825" spans="1:4" x14ac:dyDescent="0.25">
      <c r="A3825"/>
      <c r="B3825"/>
      <c r="C3825"/>
      <c r="D3825"/>
    </row>
    <row r="3826" spans="1:4" x14ac:dyDescent="0.25">
      <c r="A3826"/>
      <c r="B3826"/>
      <c r="C3826"/>
      <c r="D3826"/>
    </row>
    <row r="3827" spans="1:4" x14ac:dyDescent="0.25">
      <c r="A3827"/>
      <c r="B3827"/>
      <c r="C3827"/>
      <c r="D3827"/>
    </row>
    <row r="3828" spans="1:4" x14ac:dyDescent="0.25">
      <c r="A3828"/>
      <c r="B3828"/>
      <c r="C3828"/>
      <c r="D3828"/>
    </row>
    <row r="3829" spans="1:4" x14ac:dyDescent="0.25">
      <c r="A3829"/>
      <c r="B3829"/>
      <c r="C3829"/>
      <c r="D3829"/>
    </row>
    <row r="3830" spans="1:4" x14ac:dyDescent="0.25">
      <c r="A3830"/>
      <c r="B3830"/>
      <c r="C3830"/>
      <c r="D3830"/>
    </row>
    <row r="3831" spans="1:4" x14ac:dyDescent="0.25">
      <c r="A3831"/>
      <c r="B3831"/>
      <c r="C3831"/>
      <c r="D3831"/>
    </row>
    <row r="3832" spans="1:4" x14ac:dyDescent="0.25">
      <c r="A3832"/>
      <c r="B3832"/>
      <c r="C3832"/>
      <c r="D3832"/>
    </row>
    <row r="3833" spans="1:4" x14ac:dyDescent="0.25">
      <c r="A3833"/>
      <c r="B3833"/>
      <c r="C3833"/>
      <c r="D3833"/>
    </row>
    <row r="3834" spans="1:4" x14ac:dyDescent="0.25">
      <c r="A3834"/>
      <c r="B3834"/>
      <c r="C3834"/>
      <c r="D3834"/>
    </row>
    <row r="3835" spans="1:4" x14ac:dyDescent="0.25">
      <c r="A3835"/>
      <c r="B3835"/>
      <c r="C3835"/>
      <c r="D3835"/>
    </row>
    <row r="3836" spans="1:4" x14ac:dyDescent="0.25">
      <c r="A3836"/>
      <c r="B3836"/>
      <c r="C3836"/>
      <c r="D3836"/>
    </row>
    <row r="3837" spans="1:4" x14ac:dyDescent="0.25">
      <c r="A3837"/>
      <c r="B3837"/>
      <c r="C3837"/>
      <c r="D3837"/>
    </row>
    <row r="3838" spans="1:4" x14ac:dyDescent="0.25">
      <c r="A3838"/>
      <c r="B3838"/>
      <c r="C3838"/>
      <c r="D3838"/>
    </row>
    <row r="3839" spans="1:4" x14ac:dyDescent="0.25">
      <c r="A3839"/>
      <c r="B3839"/>
      <c r="C3839"/>
      <c r="D3839"/>
    </row>
    <row r="3840" spans="1:4" x14ac:dyDescent="0.25">
      <c r="A3840"/>
      <c r="B3840"/>
      <c r="C3840"/>
      <c r="D3840"/>
    </row>
    <row r="3841" spans="1:4" x14ac:dyDescent="0.25">
      <c r="A3841"/>
      <c r="B3841"/>
      <c r="C3841"/>
      <c r="D3841"/>
    </row>
    <row r="3842" spans="1:4" x14ac:dyDescent="0.25">
      <c r="A3842"/>
      <c r="B3842"/>
      <c r="C3842"/>
      <c r="D3842"/>
    </row>
    <row r="3843" spans="1:4" x14ac:dyDescent="0.25">
      <c r="A3843"/>
      <c r="B3843"/>
      <c r="C3843"/>
      <c r="D3843"/>
    </row>
    <row r="3844" spans="1:4" x14ac:dyDescent="0.25">
      <c r="A3844"/>
      <c r="B3844"/>
      <c r="C3844"/>
      <c r="D3844"/>
    </row>
    <row r="3845" spans="1:4" x14ac:dyDescent="0.25">
      <c r="A3845"/>
      <c r="B3845"/>
      <c r="C3845"/>
      <c r="D3845"/>
    </row>
    <row r="3846" spans="1:4" x14ac:dyDescent="0.25">
      <c r="A3846"/>
      <c r="B3846"/>
      <c r="C3846"/>
      <c r="D3846"/>
    </row>
    <row r="3847" spans="1:4" x14ac:dyDescent="0.25">
      <c r="A3847"/>
      <c r="B3847"/>
      <c r="C3847"/>
      <c r="D3847"/>
    </row>
    <row r="3848" spans="1:4" x14ac:dyDescent="0.25">
      <c r="A3848"/>
      <c r="B3848"/>
      <c r="C3848"/>
      <c r="D3848"/>
    </row>
    <row r="3849" spans="1:4" x14ac:dyDescent="0.25">
      <c r="A3849"/>
      <c r="B3849"/>
      <c r="C3849"/>
      <c r="D3849"/>
    </row>
    <row r="3850" spans="1:4" x14ac:dyDescent="0.25">
      <c r="A3850"/>
      <c r="B3850"/>
      <c r="C3850"/>
      <c r="D3850"/>
    </row>
    <row r="3851" spans="1:4" x14ac:dyDescent="0.25">
      <c r="A3851"/>
      <c r="B3851"/>
      <c r="C3851"/>
      <c r="D3851"/>
    </row>
    <row r="3852" spans="1:4" x14ac:dyDescent="0.25">
      <c r="A3852"/>
      <c r="B3852"/>
      <c r="C3852"/>
      <c r="D3852"/>
    </row>
    <row r="3853" spans="1:4" x14ac:dyDescent="0.25">
      <c r="A3853"/>
      <c r="B3853"/>
      <c r="C3853"/>
      <c r="D3853"/>
    </row>
    <row r="3854" spans="1:4" x14ac:dyDescent="0.25">
      <c r="A3854"/>
      <c r="B3854"/>
      <c r="C3854"/>
      <c r="D3854"/>
    </row>
    <row r="3855" spans="1:4" x14ac:dyDescent="0.25">
      <c r="A3855"/>
      <c r="B3855"/>
      <c r="C3855"/>
      <c r="D3855"/>
    </row>
    <row r="3856" spans="1:4" x14ac:dyDescent="0.25">
      <c r="A3856"/>
      <c r="B3856"/>
      <c r="C3856"/>
      <c r="D3856"/>
    </row>
    <row r="3857" spans="1:4" x14ac:dyDescent="0.25">
      <c r="A3857"/>
      <c r="B3857"/>
      <c r="C3857"/>
      <c r="D3857"/>
    </row>
    <row r="3858" spans="1:4" x14ac:dyDescent="0.25">
      <c r="A3858"/>
      <c r="B3858"/>
      <c r="C3858"/>
      <c r="D3858"/>
    </row>
    <row r="3859" spans="1:4" x14ac:dyDescent="0.25">
      <c r="A3859"/>
      <c r="B3859"/>
      <c r="C3859"/>
      <c r="D3859"/>
    </row>
    <row r="3860" spans="1:4" x14ac:dyDescent="0.25">
      <c r="A3860"/>
      <c r="B3860"/>
      <c r="C3860"/>
      <c r="D3860"/>
    </row>
    <row r="3861" spans="1:4" x14ac:dyDescent="0.25">
      <c r="A3861"/>
      <c r="B3861"/>
      <c r="C3861"/>
      <c r="D3861"/>
    </row>
    <row r="3862" spans="1:4" x14ac:dyDescent="0.25">
      <c r="A3862"/>
      <c r="B3862"/>
      <c r="C3862"/>
      <c r="D3862"/>
    </row>
    <row r="3863" spans="1:4" x14ac:dyDescent="0.25">
      <c r="A3863"/>
      <c r="B3863"/>
      <c r="C3863"/>
      <c r="D3863"/>
    </row>
    <row r="3864" spans="1:4" x14ac:dyDescent="0.25">
      <c r="A3864"/>
      <c r="B3864"/>
      <c r="C3864"/>
      <c r="D3864"/>
    </row>
    <row r="3865" spans="1:4" x14ac:dyDescent="0.25">
      <c r="A3865"/>
      <c r="B3865"/>
      <c r="C3865"/>
      <c r="D3865"/>
    </row>
    <row r="3866" spans="1:4" x14ac:dyDescent="0.25">
      <c r="A3866"/>
      <c r="B3866"/>
      <c r="C3866"/>
      <c r="D3866"/>
    </row>
    <row r="3867" spans="1:4" x14ac:dyDescent="0.25">
      <c r="A3867"/>
      <c r="B3867"/>
      <c r="C3867"/>
      <c r="D3867"/>
    </row>
    <row r="3868" spans="1:4" x14ac:dyDescent="0.25">
      <c r="A3868"/>
      <c r="B3868"/>
      <c r="C3868"/>
      <c r="D3868"/>
    </row>
    <row r="3869" spans="1:4" x14ac:dyDescent="0.25">
      <c r="A3869"/>
      <c r="B3869"/>
      <c r="C3869"/>
      <c r="D3869"/>
    </row>
    <row r="3870" spans="1:4" x14ac:dyDescent="0.25">
      <c r="A3870"/>
      <c r="B3870"/>
      <c r="C3870"/>
      <c r="D3870"/>
    </row>
    <row r="3871" spans="1:4" x14ac:dyDescent="0.25">
      <c r="A3871"/>
      <c r="B3871"/>
      <c r="C3871"/>
      <c r="D3871"/>
    </row>
    <row r="3872" spans="1:4" x14ac:dyDescent="0.25">
      <c r="A3872"/>
      <c r="B3872"/>
      <c r="C3872"/>
      <c r="D3872"/>
    </row>
    <row r="3873" spans="1:4" x14ac:dyDescent="0.25">
      <c r="A3873"/>
      <c r="B3873"/>
      <c r="C3873"/>
      <c r="D3873"/>
    </row>
    <row r="3874" spans="1:4" x14ac:dyDescent="0.25">
      <c r="A3874"/>
      <c r="B3874"/>
      <c r="C3874"/>
      <c r="D3874"/>
    </row>
    <row r="3875" spans="1:4" x14ac:dyDescent="0.25">
      <c r="A3875"/>
      <c r="B3875"/>
      <c r="C3875"/>
      <c r="D3875"/>
    </row>
    <row r="3876" spans="1:4" x14ac:dyDescent="0.25">
      <c r="A3876"/>
      <c r="B3876"/>
      <c r="C3876"/>
      <c r="D3876"/>
    </row>
    <row r="3877" spans="1:4" x14ac:dyDescent="0.25">
      <c r="A3877"/>
      <c r="B3877"/>
      <c r="C3877"/>
      <c r="D3877"/>
    </row>
    <row r="3878" spans="1:4" x14ac:dyDescent="0.25">
      <c r="A3878"/>
      <c r="B3878"/>
      <c r="C3878"/>
      <c r="D3878"/>
    </row>
    <row r="3879" spans="1:4" x14ac:dyDescent="0.25">
      <c r="A3879"/>
      <c r="B3879"/>
      <c r="C3879"/>
      <c r="D3879"/>
    </row>
    <row r="3880" spans="1:4" x14ac:dyDescent="0.25">
      <c r="A3880"/>
      <c r="B3880"/>
      <c r="C3880"/>
      <c r="D3880"/>
    </row>
    <row r="3881" spans="1:4" x14ac:dyDescent="0.25">
      <c r="A3881"/>
      <c r="B3881"/>
      <c r="C3881"/>
      <c r="D3881"/>
    </row>
    <row r="3882" spans="1:4" x14ac:dyDescent="0.25">
      <c r="A3882"/>
      <c r="B3882"/>
      <c r="C3882"/>
      <c r="D3882"/>
    </row>
    <row r="3883" spans="1:4" x14ac:dyDescent="0.25">
      <c r="A3883"/>
      <c r="B3883"/>
      <c r="C3883"/>
      <c r="D3883"/>
    </row>
    <row r="3884" spans="1:4" x14ac:dyDescent="0.25">
      <c r="A3884"/>
      <c r="B3884"/>
      <c r="C3884"/>
      <c r="D3884"/>
    </row>
    <row r="3885" spans="1:4" x14ac:dyDescent="0.25">
      <c r="A3885"/>
      <c r="B3885"/>
      <c r="C3885"/>
      <c r="D3885"/>
    </row>
    <row r="3886" spans="1:4" x14ac:dyDescent="0.25">
      <c r="A3886"/>
      <c r="B3886"/>
      <c r="C3886"/>
      <c r="D3886"/>
    </row>
    <row r="3887" spans="1:4" x14ac:dyDescent="0.25">
      <c r="A3887"/>
      <c r="B3887"/>
      <c r="C3887"/>
      <c r="D3887"/>
    </row>
    <row r="3888" spans="1:4" x14ac:dyDescent="0.25">
      <c r="A3888"/>
      <c r="B3888"/>
      <c r="C3888"/>
      <c r="D3888"/>
    </row>
    <row r="3889" spans="1:4" x14ac:dyDescent="0.25">
      <c r="A3889"/>
      <c r="B3889"/>
      <c r="C3889"/>
      <c r="D3889"/>
    </row>
    <row r="3890" spans="1:4" x14ac:dyDescent="0.25">
      <c r="A3890"/>
      <c r="B3890"/>
      <c r="C3890"/>
      <c r="D3890"/>
    </row>
    <row r="3891" spans="1:4" x14ac:dyDescent="0.25">
      <c r="A3891"/>
      <c r="B3891"/>
      <c r="C3891"/>
      <c r="D3891"/>
    </row>
    <row r="3892" spans="1:4" x14ac:dyDescent="0.25">
      <c r="A3892"/>
      <c r="B3892"/>
      <c r="C3892"/>
      <c r="D3892"/>
    </row>
    <row r="3893" spans="1:4" x14ac:dyDescent="0.25">
      <c r="A3893"/>
      <c r="B3893"/>
      <c r="C3893"/>
      <c r="D3893"/>
    </row>
    <row r="3894" spans="1:4" x14ac:dyDescent="0.25">
      <c r="A3894"/>
      <c r="B3894"/>
      <c r="C3894"/>
      <c r="D3894"/>
    </row>
    <row r="3895" spans="1:4" x14ac:dyDescent="0.25">
      <c r="A3895"/>
      <c r="B3895"/>
      <c r="C3895"/>
      <c r="D3895"/>
    </row>
    <row r="3896" spans="1:4" x14ac:dyDescent="0.25">
      <c r="A3896"/>
      <c r="B3896"/>
      <c r="C3896"/>
      <c r="D3896"/>
    </row>
    <row r="3897" spans="1:4" x14ac:dyDescent="0.25">
      <c r="A3897"/>
      <c r="B3897"/>
      <c r="C3897"/>
      <c r="D3897"/>
    </row>
    <row r="3898" spans="1:4" x14ac:dyDescent="0.25">
      <c r="A3898"/>
      <c r="B3898"/>
      <c r="C3898"/>
      <c r="D3898"/>
    </row>
    <row r="3899" spans="1:4" x14ac:dyDescent="0.25">
      <c r="A3899"/>
      <c r="B3899"/>
      <c r="C3899"/>
      <c r="D3899"/>
    </row>
    <row r="3900" spans="1:4" x14ac:dyDescent="0.25">
      <c r="A3900"/>
      <c r="B3900"/>
      <c r="C3900"/>
      <c r="D3900"/>
    </row>
    <row r="3901" spans="1:4" x14ac:dyDescent="0.25">
      <c r="A3901"/>
      <c r="B3901"/>
      <c r="C3901"/>
      <c r="D3901"/>
    </row>
    <row r="3902" spans="1:4" x14ac:dyDescent="0.25">
      <c r="A3902"/>
      <c r="B3902"/>
      <c r="C3902"/>
      <c r="D3902"/>
    </row>
    <row r="3903" spans="1:4" x14ac:dyDescent="0.25">
      <c r="A3903"/>
      <c r="B3903"/>
      <c r="C3903"/>
      <c r="D3903"/>
    </row>
    <row r="3904" spans="1:4" x14ac:dyDescent="0.25">
      <c r="A3904"/>
      <c r="B3904"/>
      <c r="C3904"/>
      <c r="D3904"/>
    </row>
    <row r="3905" spans="1:4" x14ac:dyDescent="0.25">
      <c r="A3905"/>
      <c r="B3905"/>
      <c r="C3905"/>
      <c r="D3905"/>
    </row>
    <row r="3906" spans="1:4" x14ac:dyDescent="0.25">
      <c r="A3906"/>
      <c r="B3906"/>
      <c r="C3906"/>
      <c r="D3906"/>
    </row>
    <row r="3907" spans="1:4" x14ac:dyDescent="0.25">
      <c r="A3907"/>
      <c r="B3907"/>
      <c r="C3907"/>
      <c r="D3907"/>
    </row>
    <row r="3908" spans="1:4" x14ac:dyDescent="0.25">
      <c r="A3908"/>
      <c r="B3908"/>
      <c r="C3908"/>
      <c r="D3908"/>
    </row>
    <row r="3909" spans="1:4" x14ac:dyDescent="0.25">
      <c r="A3909"/>
      <c r="B3909"/>
      <c r="C3909"/>
      <c r="D3909"/>
    </row>
    <row r="3910" spans="1:4" x14ac:dyDescent="0.25">
      <c r="A3910"/>
      <c r="B3910"/>
      <c r="C3910"/>
      <c r="D3910"/>
    </row>
    <row r="3911" spans="1:4" x14ac:dyDescent="0.25">
      <c r="A3911"/>
      <c r="B3911"/>
      <c r="C3911"/>
      <c r="D3911"/>
    </row>
    <row r="3912" spans="1:4" x14ac:dyDescent="0.25">
      <c r="A3912"/>
      <c r="B3912"/>
      <c r="C3912"/>
      <c r="D3912"/>
    </row>
    <row r="3913" spans="1:4" x14ac:dyDescent="0.25">
      <c r="A3913"/>
      <c r="B3913"/>
      <c r="C3913"/>
      <c r="D3913"/>
    </row>
    <row r="3914" spans="1:4" x14ac:dyDescent="0.25">
      <c r="A3914"/>
      <c r="B3914"/>
      <c r="C3914"/>
      <c r="D3914"/>
    </row>
    <row r="3915" spans="1:4" x14ac:dyDescent="0.25">
      <c r="A3915"/>
      <c r="B3915"/>
      <c r="C3915"/>
      <c r="D3915"/>
    </row>
    <row r="3916" spans="1:4" x14ac:dyDescent="0.25">
      <c r="A3916"/>
      <c r="B3916"/>
      <c r="C3916"/>
      <c r="D3916"/>
    </row>
    <row r="3917" spans="1:4" x14ac:dyDescent="0.25">
      <c r="A3917"/>
      <c r="B3917"/>
      <c r="C3917"/>
      <c r="D3917"/>
    </row>
    <row r="3918" spans="1:4" x14ac:dyDescent="0.25">
      <c r="A3918"/>
      <c r="B3918"/>
      <c r="C3918"/>
      <c r="D3918"/>
    </row>
    <row r="3919" spans="1:4" x14ac:dyDescent="0.25">
      <c r="A3919"/>
      <c r="B3919"/>
      <c r="C3919"/>
      <c r="D3919"/>
    </row>
    <row r="3920" spans="1:4" x14ac:dyDescent="0.25">
      <c r="A3920"/>
      <c r="B3920"/>
      <c r="C3920"/>
      <c r="D3920"/>
    </row>
    <row r="3921" spans="1:4" x14ac:dyDescent="0.25">
      <c r="A3921"/>
      <c r="B3921"/>
      <c r="C3921"/>
      <c r="D3921"/>
    </row>
    <row r="3922" spans="1:4" x14ac:dyDescent="0.25">
      <c r="A3922"/>
      <c r="B3922"/>
      <c r="C3922"/>
      <c r="D3922"/>
    </row>
    <row r="3923" spans="1:4" x14ac:dyDescent="0.25">
      <c r="A3923"/>
      <c r="B3923"/>
      <c r="C3923"/>
      <c r="D3923"/>
    </row>
    <row r="3924" spans="1:4" x14ac:dyDescent="0.25">
      <c r="A3924"/>
      <c r="B3924"/>
      <c r="C3924"/>
      <c r="D3924"/>
    </row>
    <row r="3925" spans="1:4" x14ac:dyDescent="0.25">
      <c r="A3925"/>
      <c r="B3925"/>
      <c r="C3925"/>
      <c r="D3925"/>
    </row>
    <row r="3926" spans="1:4" x14ac:dyDescent="0.25">
      <c r="A3926"/>
      <c r="B3926"/>
      <c r="C3926"/>
      <c r="D3926"/>
    </row>
    <row r="3927" spans="1:4" x14ac:dyDescent="0.25">
      <c r="A3927"/>
      <c r="B3927"/>
      <c r="C3927"/>
      <c r="D3927"/>
    </row>
    <row r="3928" spans="1:4" x14ac:dyDescent="0.25">
      <c r="A3928"/>
      <c r="B3928"/>
      <c r="C3928"/>
      <c r="D3928"/>
    </row>
    <row r="3929" spans="1:4" x14ac:dyDescent="0.25">
      <c r="A3929"/>
      <c r="B3929"/>
      <c r="C3929"/>
      <c r="D3929"/>
    </row>
    <row r="3930" spans="1:4" x14ac:dyDescent="0.25">
      <c r="A3930"/>
      <c r="B3930"/>
      <c r="C3930"/>
      <c r="D3930"/>
    </row>
    <row r="3931" spans="1:4" x14ac:dyDescent="0.25">
      <c r="A3931"/>
      <c r="B3931"/>
      <c r="C3931"/>
      <c r="D3931"/>
    </row>
    <row r="3932" spans="1:4" x14ac:dyDescent="0.25">
      <c r="A3932"/>
      <c r="B3932"/>
      <c r="C3932"/>
      <c r="D3932"/>
    </row>
    <row r="3933" spans="1:4" x14ac:dyDescent="0.25">
      <c r="A3933"/>
      <c r="B3933"/>
      <c r="C3933"/>
      <c r="D3933"/>
    </row>
    <row r="3934" spans="1:4" x14ac:dyDescent="0.25">
      <c r="A3934"/>
      <c r="B3934"/>
      <c r="C3934"/>
      <c r="D3934"/>
    </row>
    <row r="3935" spans="1:4" x14ac:dyDescent="0.25">
      <c r="A3935"/>
      <c r="B3935"/>
      <c r="C3935"/>
      <c r="D3935"/>
    </row>
    <row r="3936" spans="1:4" x14ac:dyDescent="0.25">
      <c r="A3936"/>
      <c r="B3936"/>
      <c r="C3936"/>
      <c r="D3936"/>
    </row>
    <row r="3937" spans="1:4" x14ac:dyDescent="0.25">
      <c r="A3937"/>
      <c r="B3937"/>
      <c r="C3937"/>
      <c r="D3937"/>
    </row>
    <row r="3938" spans="1:4" x14ac:dyDescent="0.25">
      <c r="A3938"/>
      <c r="B3938"/>
      <c r="C3938"/>
      <c r="D3938"/>
    </row>
    <row r="3939" spans="1:4" x14ac:dyDescent="0.25">
      <c r="A3939"/>
      <c r="B3939"/>
      <c r="C3939"/>
      <c r="D3939"/>
    </row>
    <row r="3940" spans="1:4" x14ac:dyDescent="0.25">
      <c r="A3940"/>
      <c r="B3940"/>
      <c r="C3940"/>
      <c r="D3940"/>
    </row>
    <row r="3941" spans="1:4" x14ac:dyDescent="0.25">
      <c r="A3941"/>
      <c r="B3941"/>
      <c r="C3941"/>
      <c r="D3941"/>
    </row>
    <row r="3942" spans="1:4" x14ac:dyDescent="0.25">
      <c r="A3942"/>
      <c r="B3942"/>
      <c r="C3942"/>
      <c r="D3942"/>
    </row>
    <row r="3943" spans="1:4" x14ac:dyDescent="0.25">
      <c r="A3943"/>
      <c r="B3943"/>
      <c r="C3943"/>
      <c r="D3943"/>
    </row>
    <row r="3944" spans="1:4" x14ac:dyDescent="0.25">
      <c r="A3944"/>
      <c r="B3944"/>
      <c r="C3944"/>
      <c r="D3944"/>
    </row>
    <row r="3945" spans="1:4" x14ac:dyDescent="0.25">
      <c r="A3945"/>
      <c r="B3945"/>
      <c r="C3945"/>
      <c r="D3945"/>
    </row>
    <row r="3946" spans="1:4" x14ac:dyDescent="0.25">
      <c r="A3946"/>
      <c r="B3946"/>
      <c r="C3946"/>
      <c r="D3946"/>
    </row>
    <row r="3947" spans="1:4" x14ac:dyDescent="0.25">
      <c r="A3947"/>
      <c r="B3947"/>
      <c r="C3947"/>
      <c r="D3947"/>
    </row>
    <row r="3948" spans="1:4" x14ac:dyDescent="0.25">
      <c r="A3948"/>
      <c r="B3948"/>
      <c r="C3948"/>
      <c r="D3948"/>
    </row>
    <row r="3949" spans="1:4" x14ac:dyDescent="0.25">
      <c r="A3949"/>
      <c r="B3949"/>
      <c r="C3949"/>
      <c r="D3949"/>
    </row>
    <row r="3950" spans="1:4" x14ac:dyDescent="0.25">
      <c r="A3950"/>
      <c r="B3950"/>
      <c r="C3950"/>
      <c r="D3950"/>
    </row>
    <row r="3951" spans="1:4" x14ac:dyDescent="0.25">
      <c r="A3951"/>
      <c r="B3951"/>
      <c r="C3951"/>
      <c r="D3951"/>
    </row>
    <row r="3952" spans="1:4" x14ac:dyDescent="0.25">
      <c r="A3952"/>
      <c r="B3952"/>
      <c r="C3952"/>
      <c r="D3952"/>
    </row>
    <row r="3953" spans="1:4" x14ac:dyDescent="0.25">
      <c r="A3953"/>
      <c r="B3953"/>
      <c r="C3953"/>
      <c r="D3953"/>
    </row>
    <row r="3954" spans="1:4" x14ac:dyDescent="0.25">
      <c r="A3954"/>
      <c r="B3954"/>
      <c r="C3954"/>
      <c r="D3954"/>
    </row>
    <row r="3955" spans="1:4" x14ac:dyDescent="0.25">
      <c r="A3955"/>
      <c r="B3955"/>
      <c r="C3955"/>
      <c r="D3955"/>
    </row>
    <row r="3956" spans="1:4" x14ac:dyDescent="0.25">
      <c r="A3956"/>
      <c r="B3956"/>
      <c r="C3956"/>
      <c r="D3956"/>
    </row>
    <row r="3957" spans="1:4" x14ac:dyDescent="0.25">
      <c r="A3957"/>
      <c r="B3957"/>
      <c r="C3957"/>
      <c r="D3957"/>
    </row>
    <row r="3958" spans="1:4" x14ac:dyDescent="0.25">
      <c r="A3958"/>
      <c r="B3958"/>
      <c r="C3958"/>
      <c r="D3958"/>
    </row>
    <row r="3959" spans="1:4" x14ac:dyDescent="0.25">
      <c r="A3959"/>
      <c r="B3959"/>
      <c r="C3959"/>
      <c r="D3959"/>
    </row>
    <row r="3960" spans="1:4" x14ac:dyDescent="0.25">
      <c r="A3960"/>
      <c r="B3960"/>
      <c r="C3960"/>
      <c r="D3960"/>
    </row>
    <row r="3961" spans="1:4" x14ac:dyDescent="0.25">
      <c r="A3961"/>
      <c r="B3961"/>
      <c r="C3961"/>
      <c r="D3961"/>
    </row>
    <row r="3962" spans="1:4" x14ac:dyDescent="0.25">
      <c r="A3962"/>
      <c r="B3962"/>
      <c r="C3962"/>
      <c r="D3962"/>
    </row>
    <row r="3963" spans="1:4" x14ac:dyDescent="0.25">
      <c r="A3963"/>
      <c r="B3963"/>
      <c r="C3963"/>
      <c r="D3963"/>
    </row>
    <row r="3964" spans="1:4" x14ac:dyDescent="0.25">
      <c r="A3964"/>
      <c r="B3964"/>
      <c r="C3964"/>
      <c r="D3964"/>
    </row>
    <row r="3965" spans="1:4" x14ac:dyDescent="0.25">
      <c r="A3965"/>
      <c r="B3965"/>
      <c r="C3965"/>
      <c r="D3965"/>
    </row>
    <row r="3966" spans="1:4" x14ac:dyDescent="0.25">
      <c r="A3966"/>
      <c r="B3966"/>
      <c r="C3966"/>
      <c r="D3966"/>
    </row>
    <row r="3967" spans="1:4" x14ac:dyDescent="0.25">
      <c r="A3967"/>
      <c r="B3967"/>
      <c r="C3967"/>
      <c r="D3967"/>
    </row>
    <row r="3968" spans="1:4" x14ac:dyDescent="0.25">
      <c r="A3968"/>
      <c r="B3968"/>
      <c r="C3968"/>
      <c r="D3968"/>
    </row>
    <row r="3969" spans="1:4" x14ac:dyDescent="0.25">
      <c r="A3969"/>
      <c r="B3969"/>
      <c r="C3969"/>
      <c r="D3969"/>
    </row>
    <row r="3970" spans="1:4" x14ac:dyDescent="0.25">
      <c r="A3970"/>
      <c r="B3970"/>
      <c r="C3970"/>
      <c r="D3970"/>
    </row>
    <row r="3971" spans="1:4" x14ac:dyDescent="0.25">
      <c r="A3971"/>
      <c r="B3971"/>
      <c r="C3971"/>
      <c r="D3971"/>
    </row>
    <row r="3972" spans="1:4" x14ac:dyDescent="0.25">
      <c r="A3972"/>
      <c r="B3972"/>
      <c r="C3972"/>
      <c r="D3972"/>
    </row>
    <row r="3973" spans="1:4" x14ac:dyDescent="0.25">
      <c r="A3973"/>
      <c r="B3973"/>
      <c r="C3973"/>
      <c r="D3973"/>
    </row>
    <row r="3974" spans="1:4" x14ac:dyDescent="0.25">
      <c r="A3974"/>
      <c r="B3974"/>
      <c r="C3974"/>
      <c r="D3974"/>
    </row>
    <row r="3975" spans="1:4" x14ac:dyDescent="0.25">
      <c r="A3975"/>
      <c r="B3975"/>
      <c r="C3975"/>
      <c r="D3975"/>
    </row>
    <row r="3976" spans="1:4" x14ac:dyDescent="0.25">
      <c r="A3976"/>
      <c r="B3976"/>
      <c r="C3976"/>
      <c r="D3976"/>
    </row>
    <row r="3977" spans="1:4" x14ac:dyDescent="0.25">
      <c r="A3977"/>
      <c r="B3977"/>
      <c r="C3977"/>
      <c r="D3977"/>
    </row>
    <row r="3978" spans="1:4" x14ac:dyDescent="0.25">
      <c r="A3978"/>
      <c r="B3978"/>
      <c r="C3978"/>
      <c r="D3978"/>
    </row>
    <row r="3979" spans="1:4" x14ac:dyDescent="0.25">
      <c r="A3979"/>
      <c r="B3979"/>
      <c r="C3979"/>
      <c r="D3979"/>
    </row>
    <row r="3980" spans="1:4" x14ac:dyDescent="0.25">
      <c r="A3980"/>
      <c r="B3980"/>
      <c r="C3980"/>
      <c r="D3980"/>
    </row>
    <row r="3981" spans="1:4" x14ac:dyDescent="0.25">
      <c r="A3981"/>
      <c r="B3981"/>
      <c r="C3981"/>
      <c r="D3981"/>
    </row>
    <row r="3982" spans="1:4" x14ac:dyDescent="0.25">
      <c r="A3982"/>
      <c r="B3982"/>
      <c r="C3982"/>
      <c r="D3982"/>
    </row>
    <row r="3983" spans="1:4" x14ac:dyDescent="0.25">
      <c r="A3983"/>
      <c r="B3983"/>
      <c r="C3983"/>
      <c r="D3983"/>
    </row>
    <row r="3984" spans="1:4" x14ac:dyDescent="0.25">
      <c r="A3984"/>
      <c r="B3984"/>
      <c r="C3984"/>
      <c r="D3984"/>
    </row>
    <row r="3985" spans="1:4" x14ac:dyDescent="0.25">
      <c r="A3985"/>
      <c r="B3985"/>
      <c r="C3985"/>
      <c r="D3985"/>
    </row>
    <row r="3986" spans="1:4" x14ac:dyDescent="0.25">
      <c r="A3986"/>
      <c r="B3986"/>
      <c r="C3986"/>
      <c r="D3986"/>
    </row>
    <row r="3987" spans="1:4" x14ac:dyDescent="0.25">
      <c r="A3987"/>
      <c r="B3987"/>
      <c r="C3987"/>
      <c r="D3987"/>
    </row>
    <row r="3988" spans="1:4" x14ac:dyDescent="0.25">
      <c r="A3988"/>
      <c r="B3988"/>
      <c r="C3988"/>
      <c r="D3988"/>
    </row>
    <row r="3989" spans="1:4" x14ac:dyDescent="0.25">
      <c r="A3989"/>
      <c r="B3989"/>
      <c r="C3989"/>
      <c r="D3989"/>
    </row>
    <row r="3990" spans="1:4" x14ac:dyDescent="0.25">
      <c r="A3990"/>
      <c r="B3990"/>
      <c r="C3990"/>
      <c r="D3990"/>
    </row>
    <row r="3991" spans="1:4" x14ac:dyDescent="0.25">
      <c r="A3991"/>
      <c r="B3991"/>
      <c r="C3991"/>
      <c r="D3991"/>
    </row>
    <row r="3992" spans="1:4" x14ac:dyDescent="0.25">
      <c r="A3992"/>
      <c r="B3992"/>
      <c r="C3992"/>
      <c r="D3992"/>
    </row>
    <row r="3993" spans="1:4" x14ac:dyDescent="0.25">
      <c r="A3993"/>
      <c r="B3993"/>
      <c r="C3993"/>
      <c r="D3993"/>
    </row>
    <row r="3994" spans="1:4" x14ac:dyDescent="0.25">
      <c r="A3994"/>
      <c r="B3994"/>
      <c r="C3994"/>
      <c r="D3994"/>
    </row>
    <row r="3995" spans="1:4" x14ac:dyDescent="0.25">
      <c r="A3995"/>
      <c r="B3995"/>
      <c r="C3995"/>
      <c r="D3995"/>
    </row>
    <row r="3996" spans="1:4" x14ac:dyDescent="0.25">
      <c r="A3996"/>
      <c r="B3996"/>
      <c r="C3996"/>
      <c r="D3996"/>
    </row>
    <row r="3997" spans="1:4" x14ac:dyDescent="0.25">
      <c r="A3997"/>
      <c r="B3997"/>
      <c r="C3997"/>
      <c r="D3997"/>
    </row>
    <row r="3998" spans="1:4" x14ac:dyDescent="0.25">
      <c r="A3998"/>
      <c r="B3998"/>
      <c r="C3998"/>
      <c r="D3998"/>
    </row>
    <row r="3999" spans="1:4" x14ac:dyDescent="0.25">
      <c r="A3999"/>
      <c r="B3999"/>
      <c r="C3999"/>
      <c r="D3999"/>
    </row>
    <row r="4000" spans="1:4" x14ac:dyDescent="0.25">
      <c r="A4000"/>
      <c r="B4000"/>
      <c r="C4000"/>
      <c r="D4000"/>
    </row>
    <row r="4001" spans="1:4" x14ac:dyDescent="0.25">
      <c r="A4001"/>
      <c r="B4001"/>
      <c r="C4001"/>
      <c r="D4001"/>
    </row>
    <row r="4002" spans="1:4" x14ac:dyDescent="0.25">
      <c r="A4002"/>
      <c r="B4002"/>
      <c r="C4002"/>
      <c r="D4002"/>
    </row>
    <row r="4003" spans="1:4" x14ac:dyDescent="0.25">
      <c r="A4003"/>
      <c r="B4003"/>
      <c r="C4003"/>
      <c r="D4003"/>
    </row>
    <row r="4004" spans="1:4" x14ac:dyDescent="0.25">
      <c r="A4004"/>
      <c r="B4004"/>
      <c r="C4004"/>
      <c r="D4004"/>
    </row>
    <row r="4005" spans="1:4" x14ac:dyDescent="0.25">
      <c r="A4005"/>
      <c r="B4005"/>
      <c r="C4005"/>
      <c r="D4005"/>
    </row>
    <row r="4006" spans="1:4" x14ac:dyDescent="0.25">
      <c r="A4006"/>
      <c r="B4006"/>
      <c r="C4006"/>
      <c r="D4006"/>
    </row>
    <row r="4007" spans="1:4" x14ac:dyDescent="0.25">
      <c r="A4007"/>
      <c r="B4007"/>
      <c r="C4007"/>
      <c r="D4007"/>
    </row>
    <row r="4008" spans="1:4" x14ac:dyDescent="0.25">
      <c r="A4008"/>
      <c r="B4008"/>
      <c r="C4008"/>
      <c r="D4008"/>
    </row>
    <row r="4009" spans="1:4" x14ac:dyDescent="0.25">
      <c r="A4009"/>
      <c r="B4009"/>
      <c r="C4009"/>
      <c r="D4009"/>
    </row>
    <row r="4010" spans="1:4" x14ac:dyDescent="0.25">
      <c r="A4010"/>
      <c r="B4010"/>
      <c r="C4010"/>
      <c r="D4010"/>
    </row>
    <row r="4011" spans="1:4" x14ac:dyDescent="0.25">
      <c r="A4011"/>
      <c r="B4011"/>
      <c r="C4011"/>
      <c r="D4011"/>
    </row>
    <row r="4012" spans="1:4" x14ac:dyDescent="0.25">
      <c r="A4012"/>
      <c r="B4012"/>
      <c r="C4012"/>
      <c r="D4012"/>
    </row>
    <row r="4013" spans="1:4" x14ac:dyDescent="0.25">
      <c r="A4013"/>
      <c r="B4013"/>
      <c r="C4013"/>
      <c r="D4013"/>
    </row>
    <row r="4014" spans="1:4" x14ac:dyDescent="0.25">
      <c r="A4014"/>
      <c r="B4014"/>
      <c r="C4014"/>
      <c r="D4014"/>
    </row>
    <row r="4015" spans="1:4" x14ac:dyDescent="0.25">
      <c r="A4015"/>
      <c r="B4015"/>
      <c r="C4015"/>
      <c r="D4015"/>
    </row>
    <row r="4016" spans="1:4" x14ac:dyDescent="0.25">
      <c r="A4016"/>
      <c r="B4016"/>
      <c r="C4016"/>
      <c r="D4016"/>
    </row>
    <row r="4017" spans="1:4" x14ac:dyDescent="0.25">
      <c r="A4017"/>
      <c r="B4017"/>
      <c r="C4017"/>
      <c r="D4017"/>
    </row>
    <row r="4018" spans="1:4" x14ac:dyDescent="0.25">
      <c r="A4018"/>
      <c r="B4018"/>
      <c r="C4018"/>
      <c r="D4018"/>
    </row>
    <row r="4019" spans="1:4" x14ac:dyDescent="0.25">
      <c r="A4019"/>
      <c r="B4019"/>
      <c r="C4019"/>
      <c r="D4019"/>
    </row>
    <row r="4020" spans="1:4" x14ac:dyDescent="0.25">
      <c r="A4020"/>
      <c r="B4020"/>
      <c r="C4020"/>
      <c r="D4020"/>
    </row>
    <row r="4021" spans="1:4" x14ac:dyDescent="0.25">
      <c r="A4021"/>
      <c r="B4021"/>
      <c r="C4021"/>
      <c r="D4021"/>
    </row>
    <row r="4022" spans="1:4" x14ac:dyDescent="0.25">
      <c r="A4022"/>
      <c r="B4022"/>
      <c r="C4022"/>
      <c r="D4022"/>
    </row>
    <row r="4023" spans="1:4" x14ac:dyDescent="0.25">
      <c r="A4023"/>
      <c r="B4023"/>
      <c r="C4023"/>
      <c r="D4023"/>
    </row>
    <row r="4024" spans="1:4" x14ac:dyDescent="0.25">
      <c r="A4024"/>
      <c r="B4024"/>
      <c r="C4024"/>
      <c r="D4024"/>
    </row>
    <row r="4025" spans="1:4" x14ac:dyDescent="0.25">
      <c r="A4025"/>
      <c r="B4025"/>
      <c r="C4025"/>
      <c r="D4025"/>
    </row>
    <row r="4026" spans="1:4" x14ac:dyDescent="0.25">
      <c r="A4026"/>
      <c r="B4026"/>
      <c r="C4026"/>
      <c r="D4026"/>
    </row>
    <row r="4027" spans="1:4" x14ac:dyDescent="0.25">
      <c r="A4027"/>
      <c r="B4027"/>
      <c r="C4027"/>
      <c r="D4027"/>
    </row>
    <row r="4028" spans="1:4" x14ac:dyDescent="0.25">
      <c r="A4028"/>
      <c r="B4028"/>
      <c r="C4028"/>
      <c r="D4028"/>
    </row>
    <row r="4029" spans="1:4" x14ac:dyDescent="0.25">
      <c r="A4029"/>
      <c r="B4029"/>
      <c r="C4029"/>
      <c r="D4029"/>
    </row>
    <row r="4030" spans="1:4" x14ac:dyDescent="0.25">
      <c r="A4030"/>
      <c r="B4030"/>
      <c r="C4030"/>
      <c r="D4030"/>
    </row>
    <row r="4031" spans="1:4" x14ac:dyDescent="0.25">
      <c r="A4031"/>
      <c r="B4031"/>
      <c r="C4031"/>
      <c r="D4031"/>
    </row>
    <row r="4032" spans="1:4" x14ac:dyDescent="0.25">
      <c r="A4032"/>
      <c r="B4032"/>
      <c r="C4032"/>
      <c r="D4032"/>
    </row>
    <row r="4033" spans="1:4" x14ac:dyDescent="0.25">
      <c r="A4033"/>
      <c r="B4033"/>
      <c r="C4033"/>
      <c r="D4033"/>
    </row>
    <row r="4034" spans="1:4" x14ac:dyDescent="0.25">
      <c r="A4034"/>
      <c r="B4034"/>
      <c r="C4034"/>
      <c r="D4034"/>
    </row>
    <row r="4035" spans="1:4" x14ac:dyDescent="0.25">
      <c r="A4035"/>
      <c r="B4035"/>
      <c r="C4035"/>
      <c r="D4035"/>
    </row>
    <row r="4036" spans="1:4" x14ac:dyDescent="0.25">
      <c r="A4036"/>
      <c r="B4036"/>
      <c r="C4036"/>
      <c r="D4036"/>
    </row>
    <row r="4037" spans="1:4" x14ac:dyDescent="0.25">
      <c r="A4037"/>
      <c r="B4037"/>
      <c r="C4037"/>
      <c r="D4037"/>
    </row>
    <row r="4038" spans="1:4" x14ac:dyDescent="0.25">
      <c r="A4038"/>
      <c r="B4038"/>
      <c r="C4038"/>
      <c r="D4038"/>
    </row>
    <row r="4039" spans="1:4" x14ac:dyDescent="0.25">
      <c r="A4039"/>
      <c r="B4039"/>
      <c r="C4039"/>
      <c r="D4039"/>
    </row>
    <row r="4040" spans="1:4" x14ac:dyDescent="0.25">
      <c r="A4040"/>
      <c r="B4040"/>
      <c r="C4040"/>
      <c r="D4040"/>
    </row>
    <row r="4041" spans="1:4" x14ac:dyDescent="0.25">
      <c r="A4041"/>
      <c r="B4041"/>
      <c r="C4041"/>
      <c r="D4041"/>
    </row>
    <row r="4042" spans="1:4" x14ac:dyDescent="0.25">
      <c r="A4042"/>
      <c r="B4042"/>
      <c r="C4042"/>
      <c r="D4042"/>
    </row>
    <row r="4043" spans="1:4" x14ac:dyDescent="0.25">
      <c r="A4043"/>
      <c r="B4043"/>
      <c r="C4043"/>
      <c r="D4043"/>
    </row>
    <row r="4044" spans="1:4" x14ac:dyDescent="0.25">
      <c r="A4044"/>
      <c r="B4044"/>
      <c r="C4044"/>
      <c r="D4044"/>
    </row>
    <row r="4045" spans="1:4" x14ac:dyDescent="0.25">
      <c r="A4045"/>
      <c r="B4045"/>
      <c r="C4045"/>
      <c r="D4045"/>
    </row>
    <row r="4046" spans="1:4" x14ac:dyDescent="0.25">
      <c r="A4046"/>
      <c r="B4046"/>
      <c r="C4046"/>
      <c r="D4046"/>
    </row>
    <row r="4047" spans="1:4" x14ac:dyDescent="0.25">
      <c r="A4047"/>
      <c r="B4047"/>
      <c r="C4047"/>
      <c r="D4047"/>
    </row>
    <row r="4048" spans="1:4" x14ac:dyDescent="0.25">
      <c r="A4048"/>
      <c r="B4048"/>
      <c r="C4048"/>
      <c r="D4048"/>
    </row>
    <row r="4049" spans="1:4" x14ac:dyDescent="0.25">
      <c r="A4049"/>
      <c r="B4049"/>
      <c r="C4049"/>
      <c r="D4049"/>
    </row>
    <row r="4050" spans="1:4" x14ac:dyDescent="0.25">
      <c r="A4050"/>
      <c r="B4050"/>
      <c r="C4050"/>
      <c r="D4050"/>
    </row>
    <row r="4051" spans="1:4" x14ac:dyDescent="0.25">
      <c r="A4051"/>
      <c r="B4051"/>
      <c r="C4051"/>
      <c r="D4051"/>
    </row>
    <row r="4052" spans="1:4" x14ac:dyDescent="0.25">
      <c r="A4052"/>
      <c r="B4052"/>
      <c r="C4052"/>
      <c r="D4052"/>
    </row>
    <row r="4053" spans="1:4" x14ac:dyDescent="0.25">
      <c r="A4053"/>
      <c r="B4053"/>
      <c r="C4053"/>
      <c r="D4053"/>
    </row>
    <row r="4054" spans="1:4" x14ac:dyDescent="0.25">
      <c r="A4054"/>
      <c r="B4054"/>
      <c r="C4054"/>
      <c r="D4054"/>
    </row>
    <row r="4055" spans="1:4" x14ac:dyDescent="0.25">
      <c r="A4055"/>
      <c r="B4055"/>
      <c r="C4055"/>
      <c r="D4055"/>
    </row>
    <row r="4056" spans="1:4" x14ac:dyDescent="0.25">
      <c r="A4056"/>
      <c r="B4056"/>
      <c r="C4056"/>
      <c r="D4056"/>
    </row>
    <row r="4057" spans="1:4" x14ac:dyDescent="0.25">
      <c r="A4057"/>
      <c r="B4057"/>
      <c r="C4057"/>
      <c r="D4057"/>
    </row>
    <row r="4058" spans="1:4" x14ac:dyDescent="0.25">
      <c r="A4058"/>
      <c r="B4058"/>
      <c r="C4058"/>
      <c r="D4058"/>
    </row>
    <row r="4059" spans="1:4" x14ac:dyDescent="0.25">
      <c r="A4059"/>
      <c r="B4059"/>
      <c r="C4059"/>
      <c r="D4059"/>
    </row>
    <row r="4060" spans="1:4" x14ac:dyDescent="0.25">
      <c r="A4060"/>
      <c r="B4060"/>
      <c r="C4060"/>
      <c r="D4060"/>
    </row>
    <row r="4061" spans="1:4" x14ac:dyDescent="0.25">
      <c r="A4061"/>
      <c r="B4061"/>
      <c r="C4061"/>
      <c r="D4061"/>
    </row>
    <row r="4062" spans="1:4" x14ac:dyDescent="0.25">
      <c r="A4062"/>
      <c r="B4062"/>
      <c r="C4062"/>
      <c r="D4062"/>
    </row>
    <row r="4063" spans="1:4" x14ac:dyDescent="0.25">
      <c r="A4063"/>
      <c r="B4063"/>
      <c r="C4063"/>
      <c r="D4063"/>
    </row>
    <row r="4064" spans="1:4" x14ac:dyDescent="0.25">
      <c r="A4064"/>
      <c r="B4064"/>
      <c r="C4064"/>
      <c r="D4064"/>
    </row>
    <row r="4065" spans="1:4" x14ac:dyDescent="0.25">
      <c r="A4065"/>
      <c r="B4065"/>
      <c r="C4065"/>
      <c r="D4065"/>
    </row>
    <row r="4066" spans="1:4" x14ac:dyDescent="0.25">
      <c r="A4066"/>
      <c r="B4066"/>
      <c r="C4066"/>
      <c r="D4066"/>
    </row>
    <row r="4067" spans="1:4" x14ac:dyDescent="0.25">
      <c r="A4067"/>
      <c r="B4067"/>
      <c r="C4067"/>
      <c r="D4067"/>
    </row>
    <row r="4068" spans="1:4" x14ac:dyDescent="0.25">
      <c r="A4068"/>
      <c r="B4068"/>
      <c r="C4068"/>
      <c r="D4068"/>
    </row>
    <row r="4069" spans="1:4" x14ac:dyDescent="0.25">
      <c r="A4069"/>
      <c r="B4069"/>
      <c r="C4069"/>
      <c r="D4069"/>
    </row>
    <row r="4070" spans="1:4" x14ac:dyDescent="0.25">
      <c r="A4070"/>
      <c r="B4070"/>
      <c r="C4070"/>
      <c r="D4070"/>
    </row>
    <row r="4071" spans="1:4" x14ac:dyDescent="0.25">
      <c r="A4071"/>
      <c r="B4071"/>
      <c r="C4071"/>
      <c r="D4071"/>
    </row>
    <row r="4072" spans="1:4" x14ac:dyDescent="0.25">
      <c r="A4072"/>
      <c r="B4072"/>
      <c r="C4072"/>
      <c r="D4072"/>
    </row>
    <row r="4073" spans="1:4" x14ac:dyDescent="0.25">
      <c r="A4073"/>
      <c r="B4073"/>
      <c r="C4073"/>
      <c r="D4073"/>
    </row>
    <row r="4074" spans="1:4" x14ac:dyDescent="0.25">
      <c r="A4074"/>
      <c r="B4074"/>
      <c r="C4074"/>
      <c r="D4074"/>
    </row>
    <row r="4075" spans="1:4" x14ac:dyDescent="0.25">
      <c r="A4075"/>
      <c r="B4075"/>
      <c r="C4075"/>
      <c r="D4075"/>
    </row>
    <row r="4076" spans="1:4" x14ac:dyDescent="0.25">
      <c r="A4076"/>
      <c r="B4076"/>
      <c r="C4076"/>
      <c r="D4076"/>
    </row>
    <row r="4077" spans="1:4" x14ac:dyDescent="0.25">
      <c r="A4077"/>
      <c r="B4077"/>
      <c r="C4077"/>
      <c r="D4077"/>
    </row>
    <row r="4078" spans="1:4" x14ac:dyDescent="0.25">
      <c r="A4078"/>
      <c r="B4078"/>
      <c r="C4078"/>
      <c r="D4078"/>
    </row>
    <row r="4079" spans="1:4" x14ac:dyDescent="0.25">
      <c r="A4079"/>
      <c r="B4079"/>
      <c r="C4079"/>
      <c r="D4079"/>
    </row>
    <row r="4080" spans="1:4" x14ac:dyDescent="0.25">
      <c r="A4080"/>
      <c r="B4080"/>
      <c r="C4080"/>
      <c r="D4080"/>
    </row>
    <row r="4081" spans="1:4" x14ac:dyDescent="0.25">
      <c r="A4081"/>
      <c r="B4081"/>
      <c r="C4081"/>
      <c r="D4081"/>
    </row>
    <row r="4082" spans="1:4" x14ac:dyDescent="0.25">
      <c r="A4082"/>
      <c r="B4082"/>
      <c r="C4082"/>
      <c r="D4082"/>
    </row>
    <row r="4083" spans="1:4" x14ac:dyDescent="0.25">
      <c r="A4083"/>
      <c r="B4083"/>
      <c r="C4083"/>
      <c r="D4083"/>
    </row>
    <row r="4084" spans="1:4" x14ac:dyDescent="0.25">
      <c r="A4084"/>
      <c r="B4084"/>
      <c r="C4084"/>
      <c r="D4084"/>
    </row>
    <row r="4085" spans="1:4" x14ac:dyDescent="0.25">
      <c r="A4085"/>
      <c r="B4085"/>
      <c r="C4085"/>
      <c r="D4085"/>
    </row>
    <row r="4086" spans="1:4" x14ac:dyDescent="0.25">
      <c r="A4086"/>
      <c r="B4086"/>
      <c r="C4086"/>
      <c r="D4086"/>
    </row>
    <row r="4087" spans="1:4" x14ac:dyDescent="0.25">
      <c r="A4087"/>
      <c r="B4087"/>
      <c r="C4087"/>
      <c r="D4087"/>
    </row>
    <row r="4088" spans="1:4" x14ac:dyDescent="0.25">
      <c r="A4088"/>
      <c r="B4088"/>
      <c r="C4088"/>
      <c r="D4088"/>
    </row>
    <row r="4089" spans="1:4" x14ac:dyDescent="0.25">
      <c r="A4089"/>
      <c r="B4089"/>
      <c r="C4089"/>
      <c r="D4089"/>
    </row>
    <row r="4090" spans="1:4" x14ac:dyDescent="0.25">
      <c r="A4090"/>
      <c r="B4090"/>
      <c r="C4090"/>
      <c r="D4090"/>
    </row>
    <row r="4091" spans="1:4" x14ac:dyDescent="0.25">
      <c r="A4091"/>
      <c r="B4091"/>
      <c r="C4091"/>
      <c r="D4091"/>
    </row>
    <row r="4092" spans="1:4" x14ac:dyDescent="0.25">
      <c r="A4092"/>
      <c r="B4092"/>
      <c r="C4092"/>
      <c r="D4092"/>
    </row>
    <row r="4093" spans="1:4" x14ac:dyDescent="0.25">
      <c r="A4093"/>
      <c r="B4093"/>
      <c r="C4093"/>
      <c r="D4093"/>
    </row>
    <row r="4094" spans="1:4" x14ac:dyDescent="0.25">
      <c r="A4094"/>
      <c r="B4094"/>
      <c r="C4094"/>
      <c r="D4094"/>
    </row>
    <row r="4095" spans="1:4" x14ac:dyDescent="0.25">
      <c r="A4095"/>
      <c r="B4095"/>
      <c r="C4095"/>
      <c r="D4095"/>
    </row>
    <row r="4096" spans="1:4" x14ac:dyDescent="0.25">
      <c r="A4096"/>
      <c r="B4096"/>
      <c r="C4096"/>
      <c r="D4096"/>
    </row>
    <row r="4097" spans="1:4" x14ac:dyDescent="0.25">
      <c r="A4097"/>
      <c r="B4097"/>
      <c r="C4097"/>
      <c r="D4097"/>
    </row>
    <row r="4098" spans="1:4" x14ac:dyDescent="0.25">
      <c r="A4098"/>
      <c r="B4098"/>
      <c r="C4098"/>
      <c r="D4098"/>
    </row>
    <row r="4099" spans="1:4" x14ac:dyDescent="0.25">
      <c r="A4099"/>
      <c r="B4099"/>
      <c r="C4099"/>
      <c r="D4099"/>
    </row>
    <row r="4100" spans="1:4" x14ac:dyDescent="0.25">
      <c r="A4100"/>
      <c r="B4100"/>
      <c r="C4100"/>
      <c r="D4100"/>
    </row>
    <row r="4101" spans="1:4" x14ac:dyDescent="0.25">
      <c r="A4101"/>
      <c r="B4101"/>
      <c r="C4101"/>
      <c r="D4101"/>
    </row>
    <row r="4102" spans="1:4" x14ac:dyDescent="0.25">
      <c r="A4102"/>
      <c r="B4102"/>
      <c r="C4102"/>
      <c r="D4102"/>
    </row>
    <row r="4103" spans="1:4" x14ac:dyDescent="0.25">
      <c r="A4103"/>
      <c r="B4103"/>
      <c r="C4103"/>
      <c r="D4103"/>
    </row>
    <row r="4104" spans="1:4" x14ac:dyDescent="0.25">
      <c r="A4104"/>
      <c r="B4104"/>
      <c r="C4104"/>
      <c r="D4104"/>
    </row>
    <row r="4105" spans="1:4" x14ac:dyDescent="0.25">
      <c r="A4105"/>
      <c r="B4105"/>
      <c r="C4105"/>
      <c r="D4105"/>
    </row>
    <row r="4106" spans="1:4" x14ac:dyDescent="0.25">
      <c r="A4106"/>
      <c r="B4106"/>
      <c r="C4106"/>
      <c r="D4106"/>
    </row>
    <row r="4107" spans="1:4" x14ac:dyDescent="0.25">
      <c r="A4107"/>
      <c r="B4107"/>
      <c r="C4107"/>
      <c r="D4107"/>
    </row>
    <row r="4108" spans="1:4" x14ac:dyDescent="0.25">
      <c r="A4108"/>
      <c r="B4108"/>
      <c r="C4108"/>
      <c r="D4108"/>
    </row>
    <row r="4109" spans="1:4" x14ac:dyDescent="0.25">
      <c r="A4109"/>
      <c r="B4109"/>
      <c r="C4109"/>
      <c r="D4109"/>
    </row>
    <row r="4110" spans="1:4" x14ac:dyDescent="0.25">
      <c r="A4110"/>
      <c r="B4110"/>
      <c r="C4110"/>
      <c r="D4110"/>
    </row>
    <row r="4111" spans="1:4" x14ac:dyDescent="0.25">
      <c r="A4111"/>
      <c r="B4111"/>
      <c r="C4111"/>
      <c r="D4111"/>
    </row>
    <row r="4112" spans="1:4" x14ac:dyDescent="0.25">
      <c r="A4112"/>
      <c r="B4112"/>
      <c r="C4112"/>
      <c r="D4112"/>
    </row>
    <row r="4113" spans="1:4" x14ac:dyDescent="0.25">
      <c r="A4113"/>
      <c r="B4113"/>
      <c r="C4113"/>
      <c r="D4113"/>
    </row>
    <row r="4114" spans="1:4" x14ac:dyDescent="0.25">
      <c r="A4114"/>
      <c r="B4114"/>
      <c r="C4114"/>
      <c r="D4114"/>
    </row>
    <row r="4115" spans="1:4" x14ac:dyDescent="0.25">
      <c r="A4115"/>
      <c r="B4115"/>
      <c r="C4115"/>
      <c r="D4115"/>
    </row>
    <row r="4116" spans="1:4" x14ac:dyDescent="0.25">
      <c r="A4116"/>
      <c r="B4116"/>
      <c r="C4116"/>
      <c r="D4116"/>
    </row>
    <row r="4117" spans="1:4" x14ac:dyDescent="0.25">
      <c r="A4117"/>
      <c r="B4117"/>
      <c r="C4117"/>
      <c r="D4117"/>
    </row>
    <row r="4118" spans="1:4" x14ac:dyDescent="0.25">
      <c r="A4118"/>
      <c r="B4118"/>
      <c r="C4118"/>
      <c r="D4118"/>
    </row>
    <row r="4119" spans="1:4" x14ac:dyDescent="0.25">
      <c r="A4119"/>
      <c r="B4119"/>
      <c r="C4119"/>
      <c r="D4119"/>
    </row>
    <row r="4120" spans="1:4" x14ac:dyDescent="0.25">
      <c r="A4120"/>
      <c r="B4120"/>
      <c r="C4120"/>
      <c r="D4120"/>
    </row>
    <row r="4121" spans="1:4" x14ac:dyDescent="0.25">
      <c r="A4121"/>
      <c r="B4121"/>
      <c r="C4121"/>
      <c r="D4121"/>
    </row>
    <row r="4122" spans="1:4" x14ac:dyDescent="0.25">
      <c r="A4122"/>
      <c r="B4122"/>
      <c r="C4122"/>
      <c r="D4122"/>
    </row>
    <row r="4123" spans="1:4" x14ac:dyDescent="0.25">
      <c r="A4123"/>
      <c r="B4123"/>
      <c r="C4123"/>
      <c r="D4123"/>
    </row>
    <row r="4124" spans="1:4" x14ac:dyDescent="0.25">
      <c r="A4124"/>
      <c r="B4124"/>
      <c r="C4124"/>
      <c r="D4124"/>
    </row>
    <row r="4125" spans="1:4" x14ac:dyDescent="0.25">
      <c r="A4125"/>
      <c r="B4125"/>
      <c r="C4125"/>
      <c r="D4125"/>
    </row>
    <row r="4126" spans="1:4" x14ac:dyDescent="0.25">
      <c r="A4126"/>
      <c r="B4126"/>
      <c r="C4126"/>
      <c r="D4126"/>
    </row>
    <row r="4127" spans="1:4" x14ac:dyDescent="0.25">
      <c r="A4127"/>
      <c r="B4127"/>
      <c r="C4127"/>
      <c r="D4127"/>
    </row>
    <row r="4128" spans="1:4" x14ac:dyDescent="0.25">
      <c r="A4128"/>
      <c r="B4128"/>
      <c r="C4128"/>
      <c r="D4128"/>
    </row>
    <row r="4129" spans="1:4" x14ac:dyDescent="0.25">
      <c r="A4129"/>
      <c r="B4129"/>
      <c r="C4129"/>
      <c r="D4129"/>
    </row>
    <row r="4130" spans="1:4" x14ac:dyDescent="0.25">
      <c r="A4130"/>
      <c r="B4130"/>
      <c r="C4130"/>
      <c r="D4130"/>
    </row>
    <row r="4131" spans="1:4" x14ac:dyDescent="0.25">
      <c r="A4131"/>
      <c r="B4131"/>
      <c r="C4131"/>
      <c r="D4131"/>
    </row>
    <row r="4132" spans="1:4" x14ac:dyDescent="0.25">
      <c r="A4132"/>
      <c r="B4132"/>
      <c r="C4132"/>
      <c r="D4132"/>
    </row>
    <row r="4133" spans="1:4" x14ac:dyDescent="0.25">
      <c r="A4133"/>
      <c r="B4133"/>
      <c r="C4133"/>
      <c r="D4133"/>
    </row>
    <row r="4134" spans="1:4" x14ac:dyDescent="0.25">
      <c r="A4134"/>
      <c r="B4134"/>
      <c r="C4134"/>
      <c r="D4134"/>
    </row>
    <row r="4135" spans="1:4" x14ac:dyDescent="0.25">
      <c r="A4135"/>
      <c r="B4135"/>
      <c r="C4135"/>
      <c r="D4135"/>
    </row>
    <row r="4136" spans="1:4" x14ac:dyDescent="0.25">
      <c r="A4136"/>
      <c r="B4136"/>
      <c r="C4136"/>
      <c r="D4136"/>
    </row>
    <row r="4137" spans="1:4" x14ac:dyDescent="0.25">
      <c r="A4137"/>
      <c r="B4137"/>
      <c r="C4137"/>
      <c r="D4137"/>
    </row>
    <row r="4138" spans="1:4" x14ac:dyDescent="0.25">
      <c r="A4138"/>
      <c r="B4138"/>
      <c r="C4138"/>
      <c r="D4138"/>
    </row>
    <row r="4139" spans="1:4" x14ac:dyDescent="0.25">
      <c r="A4139"/>
      <c r="B4139"/>
      <c r="C4139"/>
      <c r="D4139"/>
    </row>
    <row r="4140" spans="1:4" x14ac:dyDescent="0.25">
      <c r="A4140"/>
      <c r="B4140"/>
      <c r="C4140"/>
      <c r="D4140"/>
    </row>
    <row r="4141" spans="1:4" x14ac:dyDescent="0.25">
      <c r="A4141"/>
      <c r="B4141"/>
      <c r="C4141"/>
      <c r="D4141"/>
    </row>
    <row r="4142" spans="1:4" x14ac:dyDescent="0.25">
      <c r="A4142"/>
      <c r="B4142"/>
      <c r="C4142"/>
      <c r="D4142"/>
    </row>
    <row r="4143" spans="1:4" x14ac:dyDescent="0.25">
      <c r="A4143"/>
      <c r="B4143"/>
      <c r="C4143"/>
      <c r="D4143"/>
    </row>
    <row r="4144" spans="1:4" x14ac:dyDescent="0.25">
      <c r="A4144"/>
      <c r="B4144"/>
      <c r="C4144"/>
      <c r="D4144"/>
    </row>
    <row r="4145" spans="1:4" x14ac:dyDescent="0.25">
      <c r="A4145"/>
      <c r="B4145"/>
      <c r="C4145"/>
      <c r="D4145"/>
    </row>
    <row r="4146" spans="1:4" x14ac:dyDescent="0.25">
      <c r="A4146"/>
      <c r="B4146"/>
      <c r="C4146"/>
      <c r="D4146"/>
    </row>
    <row r="4147" spans="1:4" x14ac:dyDescent="0.25">
      <c r="A4147"/>
      <c r="B4147"/>
      <c r="C4147"/>
      <c r="D4147"/>
    </row>
    <row r="4148" spans="1:4" x14ac:dyDescent="0.25">
      <c r="A4148"/>
      <c r="B4148"/>
      <c r="C4148"/>
      <c r="D4148"/>
    </row>
    <row r="4149" spans="1:4" x14ac:dyDescent="0.25">
      <c r="A4149"/>
      <c r="B4149"/>
      <c r="C4149"/>
      <c r="D4149"/>
    </row>
    <row r="4150" spans="1:4" x14ac:dyDescent="0.25">
      <c r="A4150"/>
      <c r="B4150"/>
      <c r="C4150"/>
      <c r="D4150"/>
    </row>
    <row r="4151" spans="1:4" x14ac:dyDescent="0.25">
      <c r="A4151"/>
      <c r="B4151"/>
      <c r="C4151"/>
      <c r="D4151"/>
    </row>
    <row r="4152" spans="1:4" x14ac:dyDescent="0.25">
      <c r="A4152"/>
      <c r="B4152"/>
      <c r="C4152"/>
      <c r="D4152"/>
    </row>
    <row r="4153" spans="1:4" x14ac:dyDescent="0.25">
      <c r="A4153"/>
      <c r="B4153"/>
      <c r="C4153"/>
      <c r="D4153"/>
    </row>
    <row r="4154" spans="1:4" x14ac:dyDescent="0.25">
      <c r="A4154"/>
      <c r="B4154"/>
      <c r="C4154"/>
      <c r="D4154"/>
    </row>
    <row r="4155" spans="1:4" x14ac:dyDescent="0.25">
      <c r="A4155"/>
      <c r="B4155"/>
      <c r="C4155"/>
      <c r="D4155"/>
    </row>
    <row r="4156" spans="1:4" x14ac:dyDescent="0.25">
      <c r="A4156"/>
      <c r="B4156"/>
      <c r="C4156"/>
      <c r="D4156"/>
    </row>
    <row r="4157" spans="1:4" x14ac:dyDescent="0.25">
      <c r="A4157"/>
      <c r="B4157"/>
      <c r="C4157"/>
      <c r="D4157"/>
    </row>
    <row r="4158" spans="1:4" x14ac:dyDescent="0.25">
      <c r="A4158"/>
      <c r="B4158"/>
      <c r="C4158"/>
      <c r="D4158"/>
    </row>
    <row r="4159" spans="1:4" x14ac:dyDescent="0.25">
      <c r="A4159"/>
      <c r="B4159"/>
      <c r="C4159"/>
      <c r="D4159"/>
    </row>
    <row r="4160" spans="1:4" x14ac:dyDescent="0.25">
      <c r="A4160"/>
      <c r="B4160"/>
      <c r="C4160"/>
      <c r="D4160"/>
    </row>
    <row r="4161" spans="1:4" x14ac:dyDescent="0.25">
      <c r="A4161"/>
      <c r="B4161"/>
      <c r="C4161"/>
      <c r="D4161"/>
    </row>
    <row r="4162" spans="1:4" x14ac:dyDescent="0.25">
      <c r="A4162"/>
      <c r="B4162"/>
      <c r="C4162"/>
      <c r="D4162"/>
    </row>
    <row r="4163" spans="1:4" x14ac:dyDescent="0.25">
      <c r="A4163"/>
      <c r="B4163"/>
      <c r="C4163"/>
      <c r="D4163"/>
    </row>
    <row r="4164" spans="1:4" x14ac:dyDescent="0.25">
      <c r="A4164"/>
      <c r="B4164"/>
      <c r="C4164"/>
      <c r="D4164"/>
    </row>
    <row r="4165" spans="1:4" x14ac:dyDescent="0.25">
      <c r="A4165"/>
      <c r="B4165"/>
      <c r="C4165"/>
      <c r="D4165"/>
    </row>
    <row r="4166" spans="1:4" x14ac:dyDescent="0.25">
      <c r="A4166"/>
      <c r="B4166"/>
      <c r="C4166"/>
      <c r="D4166"/>
    </row>
    <row r="4167" spans="1:4" x14ac:dyDescent="0.25">
      <c r="A4167"/>
      <c r="B4167"/>
      <c r="C4167"/>
      <c r="D4167"/>
    </row>
    <row r="4168" spans="1:4" x14ac:dyDescent="0.25">
      <c r="A4168"/>
      <c r="B4168"/>
      <c r="C4168"/>
      <c r="D4168"/>
    </row>
    <row r="4169" spans="1:4" x14ac:dyDescent="0.25">
      <c r="A4169"/>
      <c r="B4169"/>
      <c r="C4169"/>
      <c r="D4169"/>
    </row>
    <row r="4170" spans="1:4" x14ac:dyDescent="0.25">
      <c r="A4170"/>
      <c r="B4170"/>
      <c r="C4170"/>
      <c r="D4170"/>
    </row>
    <row r="4171" spans="1:4" x14ac:dyDescent="0.25">
      <c r="A4171"/>
      <c r="B4171"/>
      <c r="C4171"/>
      <c r="D4171"/>
    </row>
    <row r="4172" spans="1:4" x14ac:dyDescent="0.25">
      <c r="A4172"/>
      <c r="B4172"/>
      <c r="C4172"/>
      <c r="D4172"/>
    </row>
    <row r="4173" spans="1:4" x14ac:dyDescent="0.25">
      <c r="A4173"/>
      <c r="B4173"/>
      <c r="C4173"/>
      <c r="D4173"/>
    </row>
    <row r="4174" spans="1:4" x14ac:dyDescent="0.25">
      <c r="A4174"/>
      <c r="B4174"/>
      <c r="C4174"/>
      <c r="D4174"/>
    </row>
    <row r="4175" spans="1:4" x14ac:dyDescent="0.25">
      <c r="A4175"/>
      <c r="B4175"/>
      <c r="C4175"/>
      <c r="D4175"/>
    </row>
    <row r="4176" spans="1:4" x14ac:dyDescent="0.25">
      <c r="A4176"/>
      <c r="B4176"/>
      <c r="C4176"/>
      <c r="D4176"/>
    </row>
    <row r="4177" spans="1:4" x14ac:dyDescent="0.25">
      <c r="A4177"/>
      <c r="B4177"/>
      <c r="C4177"/>
      <c r="D4177"/>
    </row>
    <row r="4178" spans="1:4" x14ac:dyDescent="0.25">
      <c r="A4178"/>
      <c r="B4178"/>
      <c r="C4178"/>
      <c r="D4178"/>
    </row>
    <row r="4179" spans="1:4" x14ac:dyDescent="0.25">
      <c r="A4179"/>
      <c r="B4179"/>
      <c r="C4179"/>
      <c r="D4179"/>
    </row>
    <row r="4180" spans="1:4" x14ac:dyDescent="0.25">
      <c r="A4180"/>
      <c r="B4180"/>
      <c r="C4180"/>
      <c r="D4180"/>
    </row>
    <row r="4181" spans="1:4" x14ac:dyDescent="0.25">
      <c r="A4181"/>
      <c r="B4181"/>
      <c r="C4181"/>
      <c r="D4181"/>
    </row>
    <row r="4182" spans="1:4" x14ac:dyDescent="0.25">
      <c r="A4182"/>
      <c r="B4182"/>
      <c r="C4182"/>
      <c r="D4182"/>
    </row>
    <row r="4183" spans="1:4" x14ac:dyDescent="0.25">
      <c r="A4183"/>
      <c r="B4183"/>
      <c r="C4183"/>
      <c r="D4183"/>
    </row>
    <row r="4184" spans="1:4" x14ac:dyDescent="0.25">
      <c r="A4184"/>
      <c r="B4184"/>
      <c r="C4184"/>
      <c r="D4184"/>
    </row>
    <row r="4185" spans="1:4" x14ac:dyDescent="0.25">
      <c r="A4185"/>
      <c r="B4185"/>
      <c r="C4185"/>
      <c r="D4185"/>
    </row>
    <row r="4186" spans="1:4" x14ac:dyDescent="0.25">
      <c r="A4186"/>
      <c r="B4186"/>
      <c r="C4186"/>
      <c r="D4186"/>
    </row>
    <row r="4187" spans="1:4" x14ac:dyDescent="0.25">
      <c r="A4187"/>
      <c r="B4187"/>
      <c r="C4187"/>
      <c r="D4187"/>
    </row>
    <row r="4188" spans="1:4" x14ac:dyDescent="0.25">
      <c r="A4188"/>
      <c r="B4188"/>
      <c r="C4188"/>
      <c r="D4188"/>
    </row>
    <row r="4189" spans="1:4" x14ac:dyDescent="0.25">
      <c r="A4189"/>
      <c r="B4189"/>
      <c r="C4189"/>
      <c r="D4189"/>
    </row>
    <row r="4190" spans="1:4" x14ac:dyDescent="0.25">
      <c r="A4190"/>
      <c r="B4190"/>
      <c r="C4190"/>
      <c r="D4190"/>
    </row>
    <row r="4191" spans="1:4" x14ac:dyDescent="0.25">
      <c r="A4191"/>
      <c r="B4191"/>
      <c r="C4191"/>
      <c r="D4191"/>
    </row>
    <row r="4192" spans="1:4" x14ac:dyDescent="0.25">
      <c r="A4192"/>
      <c r="B4192"/>
      <c r="C4192"/>
      <c r="D4192"/>
    </row>
    <row r="4193" spans="1:4" x14ac:dyDescent="0.25">
      <c r="A4193"/>
      <c r="B4193"/>
      <c r="C4193"/>
      <c r="D4193"/>
    </row>
    <row r="4194" spans="1:4" x14ac:dyDescent="0.25">
      <c r="A4194"/>
      <c r="B4194"/>
      <c r="C4194"/>
      <c r="D4194"/>
    </row>
    <row r="4195" spans="1:4" x14ac:dyDescent="0.25">
      <c r="A4195"/>
      <c r="B4195"/>
      <c r="C4195"/>
      <c r="D4195"/>
    </row>
    <row r="4196" spans="1:4" x14ac:dyDescent="0.25">
      <c r="A4196"/>
      <c r="B4196"/>
      <c r="C4196"/>
      <c r="D4196"/>
    </row>
    <row r="4197" spans="1:4" x14ac:dyDescent="0.25">
      <c r="A4197"/>
      <c r="B4197"/>
      <c r="C4197"/>
      <c r="D4197"/>
    </row>
    <row r="4198" spans="1:4" x14ac:dyDescent="0.25">
      <c r="A4198"/>
      <c r="B4198"/>
      <c r="C4198"/>
      <c r="D4198"/>
    </row>
    <row r="4199" spans="1:4" x14ac:dyDescent="0.25">
      <c r="A4199"/>
      <c r="B4199"/>
      <c r="C4199"/>
      <c r="D4199"/>
    </row>
    <row r="4200" spans="1:4" x14ac:dyDescent="0.25">
      <c r="A4200"/>
      <c r="B4200"/>
      <c r="C4200"/>
      <c r="D4200"/>
    </row>
    <row r="4201" spans="1:4" x14ac:dyDescent="0.25">
      <c r="A4201"/>
      <c r="B4201"/>
      <c r="C4201"/>
      <c r="D4201"/>
    </row>
    <row r="4202" spans="1:4" x14ac:dyDescent="0.25">
      <c r="A4202"/>
      <c r="B4202"/>
      <c r="C4202"/>
      <c r="D4202"/>
    </row>
    <row r="4203" spans="1:4" x14ac:dyDescent="0.25">
      <c r="A4203"/>
      <c r="B4203"/>
      <c r="C4203"/>
      <c r="D4203"/>
    </row>
    <row r="4204" spans="1:4" x14ac:dyDescent="0.25">
      <c r="A4204"/>
      <c r="B4204"/>
      <c r="C4204"/>
      <c r="D4204"/>
    </row>
    <row r="4205" spans="1:4" x14ac:dyDescent="0.25">
      <c r="A4205"/>
      <c r="B4205"/>
      <c r="C4205"/>
      <c r="D4205"/>
    </row>
    <row r="4206" spans="1:4" x14ac:dyDescent="0.25">
      <c r="A4206"/>
      <c r="B4206"/>
      <c r="C4206"/>
      <c r="D4206"/>
    </row>
    <row r="4207" spans="1:4" x14ac:dyDescent="0.25">
      <c r="A4207"/>
      <c r="B4207"/>
      <c r="C4207"/>
      <c r="D4207"/>
    </row>
    <row r="4208" spans="1:4" x14ac:dyDescent="0.25">
      <c r="A4208"/>
      <c r="B4208"/>
      <c r="C4208"/>
      <c r="D4208"/>
    </row>
    <row r="4209" spans="1:4" x14ac:dyDescent="0.25">
      <c r="A4209"/>
      <c r="B4209"/>
      <c r="C4209"/>
      <c r="D4209"/>
    </row>
    <row r="4210" spans="1:4" x14ac:dyDescent="0.25">
      <c r="A4210"/>
      <c r="B4210"/>
      <c r="C4210"/>
      <c r="D4210"/>
    </row>
    <row r="4211" spans="1:4" x14ac:dyDescent="0.25">
      <c r="A4211"/>
      <c r="B4211"/>
      <c r="C4211"/>
      <c r="D4211"/>
    </row>
    <row r="4212" spans="1:4" x14ac:dyDescent="0.25">
      <c r="A4212"/>
      <c r="B4212"/>
      <c r="C4212"/>
      <c r="D4212"/>
    </row>
    <row r="4213" spans="1:4" x14ac:dyDescent="0.25">
      <c r="A4213"/>
      <c r="B4213"/>
      <c r="C4213"/>
      <c r="D4213"/>
    </row>
    <row r="4214" spans="1:4" x14ac:dyDescent="0.25">
      <c r="A4214"/>
      <c r="B4214"/>
      <c r="C4214"/>
      <c r="D4214"/>
    </row>
    <row r="4215" spans="1:4" x14ac:dyDescent="0.25">
      <c r="A4215"/>
      <c r="B4215"/>
      <c r="C4215"/>
      <c r="D4215"/>
    </row>
    <row r="4216" spans="1:4" x14ac:dyDescent="0.25">
      <c r="A4216"/>
      <c r="B4216"/>
      <c r="C4216"/>
      <c r="D4216"/>
    </row>
    <row r="4217" spans="1:4" x14ac:dyDescent="0.25">
      <c r="A4217"/>
      <c r="B4217"/>
      <c r="C4217"/>
      <c r="D4217"/>
    </row>
    <row r="4218" spans="1:4" x14ac:dyDescent="0.25">
      <c r="A4218"/>
      <c r="B4218"/>
      <c r="C4218"/>
      <c r="D4218"/>
    </row>
    <row r="4219" spans="1:4" x14ac:dyDescent="0.25">
      <c r="A4219"/>
      <c r="B4219"/>
      <c r="C4219"/>
      <c r="D4219"/>
    </row>
    <row r="4220" spans="1:4" x14ac:dyDescent="0.25">
      <c r="A4220"/>
      <c r="B4220"/>
      <c r="C4220"/>
      <c r="D4220"/>
    </row>
    <row r="4221" spans="1:4" x14ac:dyDescent="0.25">
      <c r="A4221"/>
      <c r="B4221"/>
      <c r="C4221"/>
      <c r="D4221"/>
    </row>
    <row r="4222" spans="1:4" x14ac:dyDescent="0.25">
      <c r="A4222"/>
      <c r="B4222"/>
      <c r="C4222"/>
      <c r="D4222"/>
    </row>
    <row r="4223" spans="1:4" x14ac:dyDescent="0.25">
      <c r="A4223"/>
      <c r="B4223"/>
      <c r="C4223"/>
      <c r="D4223"/>
    </row>
    <row r="4224" spans="1:4" x14ac:dyDescent="0.25">
      <c r="A4224"/>
      <c r="B4224"/>
      <c r="C4224"/>
      <c r="D4224"/>
    </row>
    <row r="4225" spans="1:4" x14ac:dyDescent="0.25">
      <c r="A4225"/>
      <c r="B4225"/>
      <c r="C4225"/>
      <c r="D4225"/>
    </row>
    <row r="4226" spans="1:4" x14ac:dyDescent="0.25">
      <c r="A4226"/>
      <c r="B4226"/>
      <c r="C4226"/>
      <c r="D4226"/>
    </row>
    <row r="4227" spans="1:4" x14ac:dyDescent="0.25">
      <c r="A4227"/>
      <c r="B4227"/>
      <c r="C4227"/>
      <c r="D4227"/>
    </row>
    <row r="4228" spans="1:4" x14ac:dyDescent="0.25">
      <c r="A4228"/>
      <c r="B4228"/>
      <c r="C4228"/>
      <c r="D4228"/>
    </row>
    <row r="4229" spans="1:4" x14ac:dyDescent="0.25">
      <c r="A4229"/>
      <c r="B4229"/>
      <c r="C4229"/>
      <c r="D4229"/>
    </row>
    <row r="4230" spans="1:4" x14ac:dyDescent="0.25">
      <c r="A4230"/>
      <c r="B4230"/>
      <c r="C4230"/>
      <c r="D4230"/>
    </row>
    <row r="4231" spans="1:4" x14ac:dyDescent="0.25">
      <c r="A4231"/>
      <c r="B4231"/>
      <c r="C4231"/>
      <c r="D4231"/>
    </row>
    <row r="4232" spans="1:4" x14ac:dyDescent="0.25">
      <c r="A4232"/>
      <c r="B4232"/>
      <c r="C4232"/>
      <c r="D4232"/>
    </row>
    <row r="4233" spans="1:4" x14ac:dyDescent="0.25">
      <c r="A4233"/>
      <c r="B4233"/>
      <c r="C4233"/>
      <c r="D4233"/>
    </row>
    <row r="4234" spans="1:4" x14ac:dyDescent="0.25">
      <c r="A4234"/>
      <c r="B4234"/>
      <c r="C4234"/>
      <c r="D4234"/>
    </row>
    <row r="4235" spans="1:4" x14ac:dyDescent="0.25">
      <c r="A4235"/>
      <c r="B4235"/>
      <c r="C4235"/>
      <c r="D4235"/>
    </row>
    <row r="4236" spans="1:4" x14ac:dyDescent="0.25">
      <c r="A4236"/>
      <c r="B4236"/>
      <c r="C4236"/>
      <c r="D4236"/>
    </row>
    <row r="4237" spans="1:4" x14ac:dyDescent="0.25">
      <c r="A4237"/>
      <c r="B4237"/>
      <c r="C4237"/>
      <c r="D4237"/>
    </row>
    <row r="4238" spans="1:4" x14ac:dyDescent="0.25">
      <c r="A4238"/>
      <c r="B4238"/>
      <c r="C4238"/>
      <c r="D4238"/>
    </row>
    <row r="4239" spans="1:4" x14ac:dyDescent="0.25">
      <c r="A4239"/>
      <c r="B4239"/>
      <c r="C4239"/>
      <c r="D4239"/>
    </row>
    <row r="4240" spans="1:4" x14ac:dyDescent="0.25">
      <c r="A4240"/>
      <c r="B4240"/>
      <c r="C4240"/>
      <c r="D4240"/>
    </row>
    <row r="4241" spans="1:4" x14ac:dyDescent="0.25">
      <c r="A4241"/>
      <c r="B4241"/>
      <c r="C4241"/>
      <c r="D4241"/>
    </row>
    <row r="4242" spans="1:4" x14ac:dyDescent="0.25">
      <c r="A4242"/>
      <c r="B4242"/>
      <c r="C4242"/>
      <c r="D4242"/>
    </row>
    <row r="4243" spans="1:4" x14ac:dyDescent="0.25">
      <c r="A4243"/>
      <c r="B4243"/>
      <c r="C4243"/>
      <c r="D4243"/>
    </row>
    <row r="4244" spans="1:4" x14ac:dyDescent="0.25">
      <c r="A4244"/>
      <c r="B4244"/>
      <c r="C4244"/>
      <c r="D4244"/>
    </row>
    <row r="4245" spans="1:4" x14ac:dyDescent="0.25">
      <c r="A4245"/>
      <c r="B4245"/>
      <c r="C4245"/>
      <c r="D4245"/>
    </row>
    <row r="4246" spans="1:4" x14ac:dyDescent="0.25">
      <c r="A4246"/>
      <c r="B4246"/>
      <c r="C4246"/>
      <c r="D4246"/>
    </row>
    <row r="4247" spans="1:4" x14ac:dyDescent="0.25">
      <c r="A4247"/>
      <c r="B4247"/>
      <c r="C4247"/>
      <c r="D4247"/>
    </row>
    <row r="4248" spans="1:4" x14ac:dyDescent="0.25">
      <c r="A4248"/>
      <c r="B4248"/>
      <c r="C4248"/>
      <c r="D4248"/>
    </row>
    <row r="4249" spans="1:4" x14ac:dyDescent="0.25">
      <c r="A4249"/>
      <c r="B4249"/>
      <c r="C4249"/>
      <c r="D4249"/>
    </row>
    <row r="4250" spans="1:4" x14ac:dyDescent="0.25">
      <c r="A4250"/>
      <c r="B4250"/>
      <c r="C4250"/>
      <c r="D4250"/>
    </row>
    <row r="4251" spans="1:4" x14ac:dyDescent="0.25">
      <c r="A4251"/>
      <c r="B4251"/>
      <c r="C4251"/>
      <c r="D4251"/>
    </row>
    <row r="4252" spans="1:4" x14ac:dyDescent="0.25">
      <c r="A4252"/>
      <c r="B4252"/>
      <c r="C4252"/>
      <c r="D4252"/>
    </row>
    <row r="4253" spans="1:4" x14ac:dyDescent="0.25">
      <c r="A4253"/>
      <c r="B4253"/>
      <c r="C4253"/>
      <c r="D4253"/>
    </row>
    <row r="4254" spans="1:4" x14ac:dyDescent="0.25">
      <c r="A4254"/>
      <c r="B4254"/>
      <c r="C4254"/>
      <c r="D4254"/>
    </row>
    <row r="4255" spans="1:4" x14ac:dyDescent="0.25">
      <c r="A4255"/>
      <c r="B4255"/>
      <c r="C4255"/>
      <c r="D4255"/>
    </row>
    <row r="4256" spans="1:4" x14ac:dyDescent="0.25">
      <c r="A4256"/>
      <c r="B4256"/>
      <c r="C4256"/>
      <c r="D4256"/>
    </row>
    <row r="4257" spans="1:4" x14ac:dyDescent="0.25">
      <c r="A4257"/>
      <c r="B4257"/>
      <c r="C4257"/>
      <c r="D4257"/>
    </row>
    <row r="4258" spans="1:4" x14ac:dyDescent="0.25">
      <c r="A4258"/>
      <c r="B4258"/>
      <c r="C4258"/>
      <c r="D4258"/>
    </row>
    <row r="4259" spans="1:4" x14ac:dyDescent="0.25">
      <c r="A4259"/>
      <c r="B4259"/>
      <c r="C4259"/>
      <c r="D4259"/>
    </row>
    <row r="4260" spans="1:4" x14ac:dyDescent="0.25">
      <c r="A4260"/>
      <c r="B4260"/>
      <c r="C4260"/>
      <c r="D4260"/>
    </row>
    <row r="4261" spans="1:4" x14ac:dyDescent="0.25">
      <c r="A4261"/>
      <c r="B4261"/>
      <c r="C4261"/>
      <c r="D4261"/>
    </row>
    <row r="4262" spans="1:4" x14ac:dyDescent="0.25">
      <c r="A4262"/>
      <c r="B4262"/>
      <c r="C4262"/>
      <c r="D4262"/>
    </row>
    <row r="4263" spans="1:4" x14ac:dyDescent="0.25">
      <c r="A4263"/>
      <c r="B4263"/>
      <c r="C4263"/>
      <c r="D4263"/>
    </row>
    <row r="4264" spans="1:4" x14ac:dyDescent="0.25">
      <c r="A4264"/>
      <c r="B4264"/>
      <c r="C4264"/>
      <c r="D4264"/>
    </row>
    <row r="4265" spans="1:4" x14ac:dyDescent="0.25">
      <c r="A4265"/>
      <c r="B4265"/>
      <c r="C4265"/>
      <c r="D4265"/>
    </row>
    <row r="4266" spans="1:4" x14ac:dyDescent="0.25">
      <c r="A4266"/>
      <c r="B4266"/>
      <c r="C4266"/>
      <c r="D4266"/>
    </row>
    <row r="4267" spans="1:4" x14ac:dyDescent="0.25">
      <c r="A4267"/>
      <c r="B4267"/>
      <c r="C4267"/>
      <c r="D4267"/>
    </row>
    <row r="4268" spans="1:4" x14ac:dyDescent="0.25">
      <c r="A4268"/>
      <c r="B4268"/>
      <c r="C4268"/>
      <c r="D4268"/>
    </row>
    <row r="4269" spans="1:4" x14ac:dyDescent="0.25">
      <c r="A4269"/>
      <c r="B4269"/>
      <c r="C4269"/>
      <c r="D4269"/>
    </row>
    <row r="4270" spans="1:4" x14ac:dyDescent="0.25">
      <c r="A4270"/>
      <c r="B4270"/>
      <c r="C4270"/>
      <c r="D4270"/>
    </row>
    <row r="4271" spans="1:4" x14ac:dyDescent="0.25">
      <c r="A4271"/>
      <c r="B4271"/>
      <c r="C4271"/>
      <c r="D4271"/>
    </row>
    <row r="4272" spans="1:4" x14ac:dyDescent="0.25">
      <c r="A4272"/>
      <c r="B4272"/>
      <c r="C4272"/>
      <c r="D4272"/>
    </row>
    <row r="4273" spans="1:4" x14ac:dyDescent="0.25">
      <c r="A4273"/>
      <c r="B4273"/>
      <c r="C4273"/>
      <c r="D4273"/>
    </row>
    <row r="4274" spans="1:4" x14ac:dyDescent="0.25">
      <c r="A4274"/>
      <c r="B4274"/>
      <c r="C4274"/>
      <c r="D4274"/>
    </row>
    <row r="4275" spans="1:4" x14ac:dyDescent="0.25">
      <c r="A4275"/>
      <c r="B4275"/>
      <c r="C4275"/>
      <c r="D4275"/>
    </row>
    <row r="4276" spans="1:4" x14ac:dyDescent="0.25">
      <c r="A4276"/>
      <c r="B4276"/>
      <c r="C4276"/>
      <c r="D4276"/>
    </row>
    <row r="4277" spans="1:4" x14ac:dyDescent="0.25">
      <c r="A4277"/>
      <c r="B4277"/>
      <c r="C4277"/>
      <c r="D4277"/>
    </row>
    <row r="4278" spans="1:4" x14ac:dyDescent="0.25">
      <c r="A4278"/>
      <c r="B4278"/>
      <c r="C4278"/>
      <c r="D4278"/>
    </row>
    <row r="4279" spans="1:4" x14ac:dyDescent="0.25">
      <c r="A4279"/>
      <c r="B4279"/>
      <c r="C4279"/>
      <c r="D4279"/>
    </row>
    <row r="4280" spans="1:4" x14ac:dyDescent="0.25">
      <c r="A4280"/>
      <c r="B4280"/>
      <c r="C4280"/>
      <c r="D4280"/>
    </row>
    <row r="4281" spans="1:4" x14ac:dyDescent="0.25">
      <c r="A4281"/>
      <c r="B4281"/>
      <c r="C4281"/>
      <c r="D4281"/>
    </row>
    <row r="4282" spans="1:4" x14ac:dyDescent="0.25">
      <c r="A4282"/>
      <c r="B4282"/>
      <c r="C4282"/>
      <c r="D4282"/>
    </row>
    <row r="4283" spans="1:4" x14ac:dyDescent="0.25">
      <c r="A4283"/>
      <c r="B4283"/>
      <c r="C4283"/>
      <c r="D4283"/>
    </row>
    <row r="4284" spans="1:4" x14ac:dyDescent="0.25">
      <c r="A4284"/>
      <c r="B4284"/>
      <c r="C4284"/>
      <c r="D4284"/>
    </row>
    <row r="4285" spans="1:4" x14ac:dyDescent="0.25">
      <c r="A4285"/>
      <c r="B4285"/>
      <c r="C4285"/>
      <c r="D4285"/>
    </row>
    <row r="4286" spans="1:4" x14ac:dyDescent="0.25">
      <c r="A4286"/>
      <c r="B4286"/>
      <c r="C4286"/>
      <c r="D4286"/>
    </row>
    <row r="4287" spans="1:4" x14ac:dyDescent="0.25">
      <c r="A4287"/>
      <c r="B4287"/>
      <c r="C4287"/>
      <c r="D4287"/>
    </row>
    <row r="4288" spans="1:4" x14ac:dyDescent="0.25">
      <c r="A4288"/>
      <c r="B4288"/>
      <c r="C4288"/>
      <c r="D4288"/>
    </row>
    <row r="4289" spans="1:4" x14ac:dyDescent="0.25">
      <c r="A4289"/>
      <c r="B4289"/>
      <c r="C4289"/>
      <c r="D4289"/>
    </row>
    <row r="4290" spans="1:4" x14ac:dyDescent="0.25">
      <c r="A4290"/>
      <c r="B4290"/>
      <c r="C4290"/>
      <c r="D4290"/>
    </row>
    <row r="4291" spans="1:4" x14ac:dyDescent="0.25">
      <c r="A4291"/>
      <c r="B4291"/>
      <c r="C4291"/>
      <c r="D4291"/>
    </row>
    <row r="4292" spans="1:4" x14ac:dyDescent="0.25">
      <c r="A4292"/>
      <c r="B4292"/>
      <c r="C4292"/>
      <c r="D4292"/>
    </row>
    <row r="4293" spans="1:4" x14ac:dyDescent="0.25">
      <c r="A4293"/>
      <c r="B4293"/>
      <c r="C4293"/>
      <c r="D4293"/>
    </row>
    <row r="4294" spans="1:4" x14ac:dyDescent="0.25">
      <c r="A4294"/>
      <c r="B4294"/>
      <c r="C4294"/>
      <c r="D4294"/>
    </row>
    <row r="4295" spans="1:4" x14ac:dyDescent="0.25">
      <c r="A4295"/>
      <c r="B4295"/>
      <c r="C4295"/>
      <c r="D4295"/>
    </row>
    <row r="4296" spans="1:4" x14ac:dyDescent="0.25">
      <c r="A4296"/>
      <c r="B4296"/>
      <c r="C4296"/>
      <c r="D4296"/>
    </row>
    <row r="4297" spans="1:4" x14ac:dyDescent="0.25">
      <c r="A4297"/>
      <c r="B4297"/>
      <c r="C4297"/>
      <c r="D4297"/>
    </row>
    <row r="4298" spans="1:4" x14ac:dyDescent="0.25">
      <c r="A4298"/>
      <c r="B4298"/>
      <c r="C4298"/>
      <c r="D4298"/>
    </row>
    <row r="4299" spans="1:4" x14ac:dyDescent="0.25">
      <c r="A4299"/>
      <c r="B4299"/>
      <c r="C4299"/>
      <c r="D4299"/>
    </row>
    <row r="4300" spans="1:4" x14ac:dyDescent="0.25">
      <c r="A4300"/>
      <c r="B4300"/>
      <c r="C4300"/>
      <c r="D4300"/>
    </row>
    <row r="4301" spans="1:4" x14ac:dyDescent="0.25">
      <c r="A4301"/>
      <c r="B4301"/>
      <c r="C4301"/>
      <c r="D4301"/>
    </row>
    <row r="4302" spans="1:4" x14ac:dyDescent="0.25">
      <c r="A4302"/>
      <c r="B4302"/>
      <c r="C4302"/>
      <c r="D4302"/>
    </row>
    <row r="4303" spans="1:4" x14ac:dyDescent="0.25">
      <c r="A4303"/>
      <c r="B4303"/>
      <c r="C4303"/>
      <c r="D4303"/>
    </row>
    <row r="4304" spans="1:4" x14ac:dyDescent="0.25">
      <c r="A4304"/>
      <c r="B4304"/>
      <c r="C4304"/>
      <c r="D4304"/>
    </row>
    <row r="4305" spans="1:4" x14ac:dyDescent="0.25">
      <c r="A4305"/>
      <c r="B4305"/>
      <c r="C4305"/>
      <c r="D4305"/>
    </row>
    <row r="4306" spans="1:4" x14ac:dyDescent="0.25">
      <c r="A4306"/>
      <c r="B4306"/>
      <c r="C4306"/>
      <c r="D4306"/>
    </row>
    <row r="4307" spans="1:4" x14ac:dyDescent="0.25">
      <c r="A4307"/>
      <c r="B4307"/>
      <c r="C4307"/>
      <c r="D4307"/>
    </row>
    <row r="4308" spans="1:4" x14ac:dyDescent="0.25">
      <c r="A4308"/>
      <c r="B4308"/>
      <c r="C4308"/>
      <c r="D4308"/>
    </row>
    <row r="4309" spans="1:4" x14ac:dyDescent="0.25">
      <c r="A4309"/>
      <c r="B4309"/>
      <c r="C4309"/>
      <c r="D4309"/>
    </row>
    <row r="4310" spans="1:4" x14ac:dyDescent="0.25">
      <c r="A4310"/>
      <c r="B4310"/>
      <c r="C4310"/>
      <c r="D4310"/>
    </row>
    <row r="4311" spans="1:4" x14ac:dyDescent="0.25">
      <c r="A4311"/>
      <c r="B4311"/>
      <c r="C4311"/>
      <c r="D4311"/>
    </row>
    <row r="4312" spans="1:4" x14ac:dyDescent="0.25">
      <c r="A4312"/>
      <c r="B4312"/>
      <c r="C4312"/>
      <c r="D4312"/>
    </row>
    <row r="4313" spans="1:4" x14ac:dyDescent="0.25">
      <c r="A4313"/>
      <c r="B4313"/>
      <c r="C4313"/>
      <c r="D4313"/>
    </row>
    <row r="4314" spans="1:4" x14ac:dyDescent="0.25">
      <c r="A4314"/>
      <c r="B4314"/>
      <c r="C4314"/>
      <c r="D4314"/>
    </row>
    <row r="4315" spans="1:4" x14ac:dyDescent="0.25">
      <c r="A4315"/>
      <c r="B4315"/>
      <c r="C4315"/>
      <c r="D4315"/>
    </row>
    <row r="4316" spans="1:4" x14ac:dyDescent="0.25">
      <c r="A4316"/>
      <c r="B4316"/>
      <c r="C4316"/>
      <c r="D4316"/>
    </row>
    <row r="4317" spans="1:4" x14ac:dyDescent="0.25">
      <c r="A4317"/>
      <c r="B4317"/>
      <c r="C4317"/>
      <c r="D4317"/>
    </row>
    <row r="4318" spans="1:4" x14ac:dyDescent="0.25">
      <c r="A4318"/>
      <c r="B4318"/>
      <c r="C4318"/>
      <c r="D4318"/>
    </row>
    <row r="4319" spans="1:4" x14ac:dyDescent="0.25">
      <c r="A4319"/>
      <c r="B4319"/>
      <c r="C4319"/>
      <c r="D4319"/>
    </row>
    <row r="4320" spans="1:4" x14ac:dyDescent="0.25">
      <c r="A4320"/>
      <c r="B4320"/>
      <c r="C4320"/>
      <c r="D4320"/>
    </row>
    <row r="4321" spans="1:4" x14ac:dyDescent="0.25">
      <c r="A4321"/>
      <c r="B4321"/>
      <c r="C4321"/>
      <c r="D4321"/>
    </row>
    <row r="4322" spans="1:4" x14ac:dyDescent="0.25">
      <c r="A4322"/>
      <c r="B4322"/>
      <c r="C4322"/>
      <c r="D4322"/>
    </row>
    <row r="4323" spans="1:4" x14ac:dyDescent="0.25">
      <c r="A4323"/>
      <c r="B4323"/>
      <c r="C4323"/>
      <c r="D4323"/>
    </row>
    <row r="4324" spans="1:4" x14ac:dyDescent="0.25">
      <c r="A4324"/>
      <c r="B4324"/>
      <c r="C4324"/>
      <c r="D4324"/>
    </row>
    <row r="4325" spans="1:4" x14ac:dyDescent="0.25">
      <c r="A4325"/>
      <c r="B4325"/>
      <c r="C4325"/>
      <c r="D4325"/>
    </row>
    <row r="4326" spans="1:4" x14ac:dyDescent="0.25">
      <c r="A4326"/>
      <c r="B4326"/>
      <c r="C4326"/>
      <c r="D4326"/>
    </row>
    <row r="4327" spans="1:4" x14ac:dyDescent="0.25">
      <c r="A4327"/>
      <c r="B4327"/>
      <c r="C4327"/>
      <c r="D4327"/>
    </row>
    <row r="4328" spans="1:4" x14ac:dyDescent="0.25">
      <c r="A4328"/>
      <c r="B4328"/>
      <c r="C4328"/>
      <c r="D4328"/>
    </row>
    <row r="4329" spans="1:4" x14ac:dyDescent="0.25">
      <c r="A4329"/>
      <c r="B4329"/>
      <c r="C4329"/>
      <c r="D4329"/>
    </row>
    <row r="4330" spans="1:4" x14ac:dyDescent="0.25">
      <c r="A4330"/>
      <c r="B4330"/>
      <c r="C4330"/>
      <c r="D4330"/>
    </row>
    <row r="4331" spans="1:4" x14ac:dyDescent="0.25">
      <c r="A4331"/>
      <c r="B4331"/>
      <c r="C4331"/>
      <c r="D4331"/>
    </row>
    <row r="4332" spans="1:4" x14ac:dyDescent="0.25">
      <c r="A4332"/>
      <c r="B4332"/>
      <c r="C4332"/>
      <c r="D4332"/>
    </row>
    <row r="4333" spans="1:4" x14ac:dyDescent="0.25">
      <c r="A4333"/>
      <c r="B4333"/>
      <c r="C4333"/>
      <c r="D4333"/>
    </row>
    <row r="4334" spans="1:4" x14ac:dyDescent="0.25">
      <c r="A4334"/>
      <c r="B4334"/>
      <c r="C4334"/>
      <c r="D4334"/>
    </row>
    <row r="4335" spans="1:4" x14ac:dyDescent="0.25">
      <c r="A4335"/>
      <c r="B4335"/>
      <c r="C4335"/>
      <c r="D4335"/>
    </row>
    <row r="4336" spans="1:4" x14ac:dyDescent="0.25">
      <c r="A4336"/>
      <c r="B4336"/>
      <c r="C4336"/>
      <c r="D4336"/>
    </row>
    <row r="4337" spans="1:4" x14ac:dyDescent="0.25">
      <c r="A4337"/>
      <c r="B4337"/>
      <c r="C4337"/>
      <c r="D4337"/>
    </row>
    <row r="4338" spans="1:4" x14ac:dyDescent="0.25">
      <c r="A4338"/>
      <c r="B4338"/>
      <c r="C4338"/>
      <c r="D4338"/>
    </row>
    <row r="4339" spans="1:4" x14ac:dyDescent="0.25">
      <c r="A4339"/>
      <c r="B4339"/>
      <c r="C4339"/>
      <c r="D4339"/>
    </row>
    <row r="4340" spans="1:4" x14ac:dyDescent="0.25">
      <c r="A4340"/>
      <c r="B4340"/>
      <c r="C4340"/>
      <c r="D4340"/>
    </row>
    <row r="4341" spans="1:4" x14ac:dyDescent="0.25">
      <c r="A4341"/>
      <c r="B4341"/>
      <c r="C4341"/>
      <c r="D4341"/>
    </row>
    <row r="4342" spans="1:4" x14ac:dyDescent="0.25">
      <c r="A4342"/>
      <c r="B4342"/>
      <c r="C4342"/>
      <c r="D4342"/>
    </row>
    <row r="4343" spans="1:4" x14ac:dyDescent="0.25">
      <c r="A4343"/>
      <c r="B4343"/>
      <c r="C4343"/>
      <c r="D4343"/>
    </row>
    <row r="4344" spans="1:4" x14ac:dyDescent="0.25">
      <c r="A4344"/>
      <c r="B4344"/>
      <c r="C4344"/>
      <c r="D4344"/>
    </row>
    <row r="4345" spans="1:4" x14ac:dyDescent="0.25">
      <c r="A4345"/>
      <c r="B4345"/>
      <c r="C4345"/>
      <c r="D4345"/>
    </row>
    <row r="4346" spans="1:4" x14ac:dyDescent="0.25">
      <c r="A4346"/>
      <c r="B4346"/>
      <c r="C4346"/>
      <c r="D4346"/>
    </row>
    <row r="4347" spans="1:4" x14ac:dyDescent="0.25">
      <c r="A4347"/>
      <c r="B4347"/>
      <c r="C4347"/>
      <c r="D4347"/>
    </row>
    <row r="4348" spans="1:4" x14ac:dyDescent="0.25">
      <c r="A4348"/>
      <c r="B4348"/>
      <c r="C4348"/>
      <c r="D4348"/>
    </row>
    <row r="4349" spans="1:4" x14ac:dyDescent="0.25">
      <c r="A4349"/>
      <c r="B4349"/>
      <c r="C4349"/>
      <c r="D4349"/>
    </row>
    <row r="4350" spans="1:4" x14ac:dyDescent="0.25">
      <c r="A4350"/>
      <c r="B4350"/>
      <c r="C4350"/>
      <c r="D4350"/>
    </row>
    <row r="4351" spans="1:4" x14ac:dyDescent="0.25">
      <c r="A4351"/>
      <c r="B4351"/>
      <c r="C4351"/>
      <c r="D4351"/>
    </row>
    <row r="4352" spans="1:4" x14ac:dyDescent="0.25">
      <c r="A4352"/>
      <c r="B4352"/>
      <c r="C4352"/>
      <c r="D4352"/>
    </row>
    <row r="4353" spans="1:4" x14ac:dyDescent="0.25">
      <c r="A4353"/>
      <c r="B4353"/>
      <c r="C4353"/>
      <c r="D4353"/>
    </row>
    <row r="4354" spans="1:4" x14ac:dyDescent="0.25">
      <c r="A4354"/>
      <c r="B4354"/>
      <c r="C4354"/>
      <c r="D4354"/>
    </row>
    <row r="4355" spans="1:4" x14ac:dyDescent="0.25">
      <c r="A4355"/>
      <c r="B4355"/>
      <c r="C4355"/>
      <c r="D4355"/>
    </row>
    <row r="4356" spans="1:4" x14ac:dyDescent="0.25">
      <c r="A4356"/>
      <c r="B4356"/>
      <c r="C4356"/>
      <c r="D4356"/>
    </row>
    <row r="4357" spans="1:4" x14ac:dyDescent="0.25">
      <c r="A4357"/>
      <c r="B4357"/>
      <c r="C4357"/>
      <c r="D4357"/>
    </row>
    <row r="4358" spans="1:4" x14ac:dyDescent="0.25">
      <c r="A4358"/>
      <c r="B4358"/>
      <c r="C4358"/>
      <c r="D4358"/>
    </row>
    <row r="4359" spans="1:4" x14ac:dyDescent="0.25">
      <c r="A4359"/>
      <c r="B4359"/>
      <c r="C4359"/>
      <c r="D4359"/>
    </row>
    <row r="4360" spans="1:4" x14ac:dyDescent="0.25">
      <c r="A4360"/>
      <c r="B4360"/>
      <c r="C4360"/>
      <c r="D4360"/>
    </row>
    <row r="4361" spans="1:4" x14ac:dyDescent="0.25">
      <c r="A4361"/>
      <c r="B4361"/>
      <c r="C4361"/>
      <c r="D4361"/>
    </row>
    <row r="4362" spans="1:4" x14ac:dyDescent="0.25">
      <c r="A4362"/>
      <c r="B4362"/>
      <c r="C4362"/>
      <c r="D4362"/>
    </row>
    <row r="4363" spans="1:4" x14ac:dyDescent="0.25">
      <c r="A4363"/>
      <c r="B4363"/>
      <c r="C4363"/>
      <c r="D4363"/>
    </row>
    <row r="4364" spans="1:4" x14ac:dyDescent="0.25">
      <c r="A4364"/>
      <c r="B4364"/>
      <c r="C4364"/>
      <c r="D4364"/>
    </row>
    <row r="4365" spans="1:4" x14ac:dyDescent="0.25">
      <c r="A4365"/>
      <c r="B4365"/>
      <c r="C4365"/>
      <c r="D4365"/>
    </row>
    <row r="4366" spans="1:4" x14ac:dyDescent="0.25">
      <c r="A4366"/>
      <c r="B4366"/>
      <c r="C4366"/>
      <c r="D4366"/>
    </row>
    <row r="4367" spans="1:4" x14ac:dyDescent="0.25">
      <c r="A4367"/>
      <c r="B4367"/>
      <c r="C4367"/>
      <c r="D4367"/>
    </row>
    <row r="4368" spans="1:4" x14ac:dyDescent="0.25">
      <c r="A4368"/>
      <c r="B4368"/>
      <c r="C4368"/>
      <c r="D4368"/>
    </row>
    <row r="4369" spans="1:4" x14ac:dyDescent="0.25">
      <c r="A4369"/>
      <c r="B4369"/>
      <c r="C4369"/>
      <c r="D4369"/>
    </row>
    <row r="4370" spans="1:4" x14ac:dyDescent="0.25">
      <c r="A4370"/>
      <c r="B4370"/>
      <c r="C4370"/>
      <c r="D4370"/>
    </row>
    <row r="4371" spans="1:4" x14ac:dyDescent="0.25">
      <c r="A4371"/>
      <c r="B4371"/>
      <c r="C4371"/>
      <c r="D4371"/>
    </row>
    <row r="4372" spans="1:4" x14ac:dyDescent="0.25">
      <c r="A4372"/>
      <c r="B4372"/>
      <c r="C4372"/>
      <c r="D4372"/>
    </row>
    <row r="4373" spans="1:4" x14ac:dyDescent="0.25">
      <c r="A4373"/>
      <c r="B4373"/>
      <c r="C4373"/>
      <c r="D4373"/>
    </row>
    <row r="4374" spans="1:4" x14ac:dyDescent="0.25">
      <c r="A4374"/>
      <c r="B4374"/>
      <c r="C4374"/>
      <c r="D4374"/>
    </row>
    <row r="4375" spans="1:4" x14ac:dyDescent="0.25">
      <c r="A4375"/>
      <c r="B4375"/>
      <c r="C4375"/>
      <c r="D4375"/>
    </row>
    <row r="4376" spans="1:4" x14ac:dyDescent="0.25">
      <c r="A4376"/>
      <c r="B4376"/>
      <c r="C4376"/>
      <c r="D4376"/>
    </row>
    <row r="4377" spans="1:4" x14ac:dyDescent="0.25">
      <c r="A4377"/>
      <c r="B4377"/>
      <c r="C4377"/>
      <c r="D4377"/>
    </row>
    <row r="4378" spans="1:4" x14ac:dyDescent="0.25">
      <c r="A4378"/>
      <c r="B4378"/>
      <c r="C4378"/>
      <c r="D4378"/>
    </row>
    <row r="4379" spans="1:4" x14ac:dyDescent="0.25">
      <c r="A4379"/>
      <c r="B4379"/>
      <c r="C4379"/>
      <c r="D4379"/>
    </row>
    <row r="4380" spans="1:4" x14ac:dyDescent="0.25">
      <c r="A4380"/>
      <c r="B4380"/>
      <c r="C4380"/>
      <c r="D4380"/>
    </row>
    <row r="4381" spans="1:4" x14ac:dyDescent="0.25">
      <c r="A4381"/>
      <c r="B4381"/>
      <c r="C4381"/>
      <c r="D4381"/>
    </row>
    <row r="4382" spans="1:4" x14ac:dyDescent="0.25">
      <c r="A4382"/>
      <c r="B4382"/>
      <c r="C4382"/>
      <c r="D4382"/>
    </row>
    <row r="4383" spans="1:4" x14ac:dyDescent="0.25">
      <c r="A4383"/>
      <c r="B4383"/>
      <c r="C4383"/>
      <c r="D4383"/>
    </row>
    <row r="4384" spans="1:4" x14ac:dyDescent="0.25">
      <c r="A4384"/>
      <c r="B4384"/>
      <c r="C4384"/>
      <c r="D4384"/>
    </row>
    <row r="4385" spans="1:4" x14ac:dyDescent="0.25">
      <c r="A4385"/>
      <c r="B4385"/>
      <c r="C4385"/>
      <c r="D4385"/>
    </row>
    <row r="4386" spans="1:4" x14ac:dyDescent="0.25">
      <c r="A4386"/>
      <c r="B4386"/>
      <c r="C4386"/>
      <c r="D4386"/>
    </row>
    <row r="4387" spans="1:4" x14ac:dyDescent="0.25">
      <c r="A4387"/>
      <c r="B4387"/>
      <c r="C4387"/>
      <c r="D4387"/>
    </row>
    <row r="4388" spans="1:4" x14ac:dyDescent="0.25">
      <c r="A4388"/>
      <c r="B4388"/>
      <c r="C4388"/>
      <c r="D4388"/>
    </row>
    <row r="4389" spans="1:4" x14ac:dyDescent="0.25">
      <c r="A4389"/>
      <c r="B4389"/>
      <c r="C4389"/>
      <c r="D4389"/>
    </row>
    <row r="4390" spans="1:4" x14ac:dyDescent="0.25">
      <c r="A4390"/>
      <c r="B4390"/>
      <c r="C4390"/>
      <c r="D4390"/>
    </row>
    <row r="4391" spans="1:4" x14ac:dyDescent="0.25">
      <c r="A4391"/>
      <c r="B4391"/>
      <c r="C4391"/>
      <c r="D4391"/>
    </row>
    <row r="4392" spans="1:4" x14ac:dyDescent="0.25">
      <c r="A4392"/>
      <c r="B4392"/>
      <c r="C4392"/>
      <c r="D4392"/>
    </row>
    <row r="4393" spans="1:4" x14ac:dyDescent="0.25">
      <c r="A4393"/>
      <c r="B4393"/>
      <c r="C4393"/>
      <c r="D4393"/>
    </row>
    <row r="4394" spans="1:4" x14ac:dyDescent="0.25">
      <c r="A4394"/>
      <c r="B4394"/>
      <c r="C4394"/>
      <c r="D4394"/>
    </row>
    <row r="4395" spans="1:4" x14ac:dyDescent="0.25">
      <c r="A4395"/>
      <c r="B4395"/>
      <c r="C4395"/>
      <c r="D4395"/>
    </row>
    <row r="4396" spans="1:4" x14ac:dyDescent="0.25">
      <c r="A4396"/>
      <c r="B4396"/>
      <c r="C4396"/>
      <c r="D4396"/>
    </row>
    <row r="4397" spans="1:4" x14ac:dyDescent="0.25">
      <c r="A4397"/>
      <c r="B4397"/>
      <c r="C4397"/>
      <c r="D4397"/>
    </row>
    <row r="4398" spans="1:4" x14ac:dyDescent="0.25">
      <c r="A4398"/>
      <c r="B4398"/>
      <c r="C4398"/>
      <c r="D4398"/>
    </row>
    <row r="4399" spans="1:4" x14ac:dyDescent="0.25">
      <c r="A4399"/>
      <c r="B4399"/>
      <c r="C4399"/>
      <c r="D4399"/>
    </row>
    <row r="4400" spans="1:4" x14ac:dyDescent="0.25">
      <c r="A4400"/>
      <c r="B4400"/>
      <c r="C4400"/>
      <c r="D4400"/>
    </row>
    <row r="4401" spans="1:4" x14ac:dyDescent="0.25">
      <c r="A4401"/>
      <c r="B4401"/>
      <c r="C4401"/>
      <c r="D4401"/>
    </row>
    <row r="4402" spans="1:4" x14ac:dyDescent="0.25">
      <c r="A4402"/>
      <c r="B4402"/>
      <c r="C4402"/>
      <c r="D4402"/>
    </row>
    <row r="4403" spans="1:4" x14ac:dyDescent="0.25">
      <c r="A4403"/>
      <c r="B4403"/>
      <c r="C4403"/>
      <c r="D4403"/>
    </row>
    <row r="4404" spans="1:4" x14ac:dyDescent="0.25">
      <c r="A4404"/>
      <c r="B4404"/>
      <c r="C4404"/>
      <c r="D4404"/>
    </row>
    <row r="4405" spans="1:4" x14ac:dyDescent="0.25">
      <c r="A4405"/>
      <c r="B4405"/>
      <c r="C4405"/>
      <c r="D4405"/>
    </row>
    <row r="4406" spans="1:4" x14ac:dyDescent="0.25">
      <c r="A4406"/>
      <c r="B4406"/>
      <c r="C4406"/>
      <c r="D4406"/>
    </row>
    <row r="4407" spans="1:4" x14ac:dyDescent="0.25">
      <c r="A4407"/>
      <c r="B4407"/>
      <c r="C4407"/>
      <c r="D4407"/>
    </row>
    <row r="4408" spans="1:4" x14ac:dyDescent="0.25">
      <c r="A4408"/>
      <c r="B4408"/>
      <c r="C4408"/>
      <c r="D4408"/>
    </row>
    <row r="4409" spans="1:4" x14ac:dyDescent="0.25">
      <c r="A4409"/>
      <c r="B4409"/>
      <c r="C4409"/>
      <c r="D4409"/>
    </row>
    <row r="4410" spans="1:4" x14ac:dyDescent="0.25">
      <c r="A4410"/>
      <c r="B4410"/>
      <c r="C4410"/>
      <c r="D4410"/>
    </row>
    <row r="4411" spans="1:4" x14ac:dyDescent="0.25">
      <c r="A4411"/>
      <c r="B4411"/>
      <c r="C4411"/>
      <c r="D4411"/>
    </row>
    <row r="4412" spans="1:4" x14ac:dyDescent="0.25">
      <c r="A4412"/>
      <c r="B4412"/>
      <c r="C4412"/>
      <c r="D4412"/>
    </row>
    <row r="4413" spans="1:4" x14ac:dyDescent="0.25">
      <c r="A4413"/>
      <c r="B4413"/>
      <c r="C4413"/>
      <c r="D4413"/>
    </row>
    <row r="4414" spans="1:4" x14ac:dyDescent="0.25">
      <c r="A4414"/>
      <c r="B4414"/>
      <c r="C4414"/>
      <c r="D4414"/>
    </row>
    <row r="4415" spans="1:4" x14ac:dyDescent="0.25">
      <c r="A4415"/>
      <c r="B4415"/>
      <c r="C4415"/>
      <c r="D4415"/>
    </row>
    <row r="4416" spans="1:4" x14ac:dyDescent="0.25">
      <c r="A4416"/>
      <c r="B4416"/>
      <c r="C4416"/>
      <c r="D4416"/>
    </row>
    <row r="4417" spans="1:4" x14ac:dyDescent="0.25">
      <c r="A4417"/>
      <c r="B4417"/>
      <c r="C4417"/>
      <c r="D4417"/>
    </row>
    <row r="4418" spans="1:4" x14ac:dyDescent="0.25">
      <c r="A4418"/>
      <c r="B4418"/>
      <c r="C4418"/>
      <c r="D4418"/>
    </row>
    <row r="4419" spans="1:4" x14ac:dyDescent="0.25">
      <c r="A4419"/>
      <c r="B4419"/>
      <c r="C4419"/>
      <c r="D4419"/>
    </row>
    <row r="4420" spans="1:4" x14ac:dyDescent="0.25">
      <c r="A4420"/>
      <c r="B4420"/>
      <c r="C4420"/>
      <c r="D4420"/>
    </row>
    <row r="4421" spans="1:4" x14ac:dyDescent="0.25">
      <c r="A4421"/>
      <c r="B4421"/>
      <c r="C4421"/>
      <c r="D4421"/>
    </row>
    <row r="4422" spans="1:4" x14ac:dyDescent="0.25">
      <c r="A4422"/>
      <c r="B4422"/>
      <c r="C4422"/>
      <c r="D4422"/>
    </row>
    <row r="4423" spans="1:4" x14ac:dyDescent="0.25">
      <c r="A4423"/>
      <c r="B4423"/>
      <c r="C4423"/>
      <c r="D4423"/>
    </row>
    <row r="4424" spans="1:4" x14ac:dyDescent="0.25">
      <c r="A4424"/>
      <c r="B4424"/>
      <c r="C4424"/>
      <c r="D4424"/>
    </row>
    <row r="4425" spans="1:4" x14ac:dyDescent="0.25">
      <c r="A4425"/>
      <c r="B4425"/>
      <c r="C4425"/>
      <c r="D4425"/>
    </row>
    <row r="4426" spans="1:4" x14ac:dyDescent="0.25">
      <c r="A4426"/>
      <c r="B4426"/>
      <c r="C4426"/>
      <c r="D4426"/>
    </row>
    <row r="4427" spans="1:4" x14ac:dyDescent="0.25">
      <c r="A4427"/>
      <c r="B4427"/>
      <c r="C4427"/>
      <c r="D4427"/>
    </row>
    <row r="4428" spans="1:4" x14ac:dyDescent="0.25">
      <c r="A4428"/>
      <c r="B4428"/>
      <c r="C4428"/>
      <c r="D4428"/>
    </row>
    <row r="4429" spans="1:4" x14ac:dyDescent="0.25">
      <c r="A4429"/>
      <c r="B4429"/>
      <c r="C4429"/>
      <c r="D4429"/>
    </row>
    <row r="4430" spans="1:4" x14ac:dyDescent="0.25">
      <c r="A4430"/>
      <c r="B4430"/>
      <c r="C4430"/>
      <c r="D4430"/>
    </row>
    <row r="4431" spans="1:4" x14ac:dyDescent="0.25">
      <c r="A4431"/>
      <c r="B4431"/>
      <c r="C4431"/>
      <c r="D4431"/>
    </row>
    <row r="4432" spans="1:4" x14ac:dyDescent="0.25">
      <c r="A4432"/>
      <c r="B4432"/>
      <c r="C4432"/>
      <c r="D4432"/>
    </row>
    <row r="4433" spans="1:4" x14ac:dyDescent="0.25">
      <c r="A4433"/>
      <c r="B4433"/>
      <c r="C4433"/>
      <c r="D4433"/>
    </row>
    <row r="4434" spans="1:4" x14ac:dyDescent="0.25">
      <c r="A4434"/>
      <c r="B4434"/>
      <c r="C4434"/>
      <c r="D4434"/>
    </row>
    <row r="4435" spans="1:4" x14ac:dyDescent="0.25">
      <c r="A4435"/>
      <c r="B4435"/>
      <c r="C4435"/>
      <c r="D4435"/>
    </row>
    <row r="4436" spans="1:4" x14ac:dyDescent="0.25">
      <c r="A4436"/>
      <c r="B4436"/>
      <c r="C4436"/>
      <c r="D4436"/>
    </row>
    <row r="4437" spans="1:4" x14ac:dyDescent="0.25">
      <c r="A4437"/>
      <c r="B4437"/>
      <c r="C4437"/>
      <c r="D4437"/>
    </row>
    <row r="4438" spans="1:4" x14ac:dyDescent="0.25">
      <c r="A4438"/>
      <c r="B4438"/>
      <c r="C4438"/>
      <c r="D4438"/>
    </row>
    <row r="4439" spans="1:4" x14ac:dyDescent="0.25">
      <c r="A4439"/>
      <c r="B4439"/>
      <c r="C4439"/>
      <c r="D4439"/>
    </row>
    <row r="4440" spans="1:4" x14ac:dyDescent="0.25">
      <c r="A4440"/>
      <c r="B4440"/>
      <c r="C4440"/>
      <c r="D4440"/>
    </row>
    <row r="4441" spans="1:4" x14ac:dyDescent="0.25">
      <c r="A4441"/>
      <c r="B4441"/>
      <c r="C4441"/>
      <c r="D4441"/>
    </row>
    <row r="4442" spans="1:4" x14ac:dyDescent="0.25">
      <c r="A4442"/>
      <c r="B4442"/>
      <c r="C4442"/>
      <c r="D4442"/>
    </row>
    <row r="4443" spans="1:4" x14ac:dyDescent="0.25">
      <c r="A4443"/>
      <c r="B4443"/>
      <c r="C4443"/>
      <c r="D4443"/>
    </row>
    <row r="4444" spans="1:4" x14ac:dyDescent="0.25">
      <c r="A4444"/>
      <c r="B4444"/>
      <c r="C4444"/>
      <c r="D4444"/>
    </row>
    <row r="4445" spans="1:4" x14ac:dyDescent="0.25">
      <c r="A4445"/>
      <c r="B4445"/>
      <c r="C4445"/>
      <c r="D4445"/>
    </row>
    <row r="4446" spans="1:4" x14ac:dyDescent="0.25">
      <c r="A4446"/>
      <c r="B4446"/>
      <c r="C4446"/>
      <c r="D4446"/>
    </row>
    <row r="4447" spans="1:4" x14ac:dyDescent="0.25">
      <c r="A4447"/>
      <c r="B4447"/>
      <c r="C4447"/>
      <c r="D4447"/>
    </row>
    <row r="4448" spans="1:4" x14ac:dyDescent="0.25">
      <c r="A4448"/>
      <c r="B4448"/>
      <c r="C4448"/>
      <c r="D4448"/>
    </row>
    <row r="4449" spans="1:4" x14ac:dyDescent="0.25">
      <c r="A4449"/>
      <c r="B4449"/>
      <c r="C4449"/>
      <c r="D4449"/>
    </row>
    <row r="4450" spans="1:4" x14ac:dyDescent="0.25">
      <c r="A4450"/>
      <c r="B4450"/>
      <c r="C4450"/>
      <c r="D4450"/>
    </row>
    <row r="4451" spans="1:4" x14ac:dyDescent="0.25">
      <c r="A4451"/>
      <c r="B4451"/>
      <c r="C4451"/>
      <c r="D4451"/>
    </row>
    <row r="4452" spans="1:4" x14ac:dyDescent="0.25">
      <c r="A4452"/>
      <c r="B4452"/>
      <c r="C4452"/>
      <c r="D4452"/>
    </row>
    <row r="4453" spans="1:4" x14ac:dyDescent="0.25">
      <c r="A4453"/>
      <c r="B4453"/>
      <c r="C4453"/>
      <c r="D4453"/>
    </row>
    <row r="4454" spans="1:4" x14ac:dyDescent="0.25">
      <c r="A4454"/>
      <c r="B4454"/>
      <c r="C4454"/>
      <c r="D4454"/>
    </row>
    <row r="4455" spans="1:4" x14ac:dyDescent="0.25">
      <c r="A4455"/>
      <c r="B4455"/>
      <c r="C4455"/>
      <c r="D4455"/>
    </row>
    <row r="4456" spans="1:4" x14ac:dyDescent="0.25">
      <c r="A4456"/>
      <c r="B4456"/>
      <c r="C4456"/>
      <c r="D4456"/>
    </row>
    <row r="4457" spans="1:4" x14ac:dyDescent="0.25">
      <c r="A4457"/>
      <c r="B4457"/>
      <c r="C4457"/>
      <c r="D4457"/>
    </row>
    <row r="4458" spans="1:4" x14ac:dyDescent="0.25">
      <c r="A4458"/>
      <c r="B4458"/>
      <c r="C4458"/>
      <c r="D4458"/>
    </row>
    <row r="4459" spans="1:4" x14ac:dyDescent="0.25">
      <c r="A4459"/>
      <c r="B4459"/>
      <c r="C4459"/>
      <c r="D4459"/>
    </row>
    <row r="4460" spans="1:4" x14ac:dyDescent="0.25">
      <c r="A4460"/>
      <c r="B4460"/>
      <c r="C4460"/>
      <c r="D4460"/>
    </row>
    <row r="4461" spans="1:4" x14ac:dyDescent="0.25">
      <c r="A4461"/>
      <c r="B4461"/>
      <c r="C4461"/>
      <c r="D4461"/>
    </row>
    <row r="4462" spans="1:4" x14ac:dyDescent="0.25">
      <c r="A4462"/>
      <c r="B4462"/>
      <c r="C4462"/>
      <c r="D4462"/>
    </row>
    <row r="4463" spans="1:4" x14ac:dyDescent="0.25">
      <c r="A4463"/>
      <c r="B4463"/>
      <c r="C4463"/>
      <c r="D4463"/>
    </row>
    <row r="4464" spans="1:4" x14ac:dyDescent="0.25">
      <c r="A4464"/>
      <c r="B4464"/>
      <c r="C4464"/>
      <c r="D4464"/>
    </row>
    <row r="4465" spans="1:4" x14ac:dyDescent="0.25">
      <c r="A4465"/>
      <c r="B4465"/>
      <c r="C4465"/>
      <c r="D4465"/>
    </row>
    <row r="4466" spans="1:4" x14ac:dyDescent="0.25">
      <c r="A4466"/>
      <c r="B4466"/>
      <c r="C4466"/>
      <c r="D4466"/>
    </row>
    <row r="4467" spans="1:4" x14ac:dyDescent="0.25">
      <c r="A4467"/>
      <c r="B4467"/>
      <c r="C4467"/>
      <c r="D4467"/>
    </row>
    <row r="4468" spans="1:4" x14ac:dyDescent="0.25">
      <c r="A4468"/>
      <c r="B4468"/>
      <c r="C4468"/>
      <c r="D4468"/>
    </row>
    <row r="4469" spans="1:4" x14ac:dyDescent="0.25">
      <c r="A4469"/>
      <c r="B4469"/>
      <c r="C4469"/>
      <c r="D4469"/>
    </row>
    <row r="4470" spans="1:4" x14ac:dyDescent="0.25">
      <c r="A4470"/>
      <c r="B4470"/>
      <c r="C4470"/>
      <c r="D4470"/>
    </row>
    <row r="4471" spans="1:4" x14ac:dyDescent="0.25">
      <c r="A4471"/>
      <c r="B4471"/>
      <c r="C4471"/>
      <c r="D4471"/>
    </row>
    <row r="4472" spans="1:4" x14ac:dyDescent="0.25">
      <c r="A4472"/>
      <c r="B4472"/>
      <c r="C4472"/>
      <c r="D4472"/>
    </row>
    <row r="4473" spans="1:4" x14ac:dyDescent="0.25">
      <c r="A4473"/>
      <c r="B4473"/>
      <c r="C4473"/>
      <c r="D4473"/>
    </row>
    <row r="4474" spans="1:4" x14ac:dyDescent="0.25">
      <c r="A4474"/>
      <c r="B4474"/>
      <c r="C4474"/>
      <c r="D4474"/>
    </row>
    <row r="4475" spans="1:4" x14ac:dyDescent="0.25">
      <c r="A4475"/>
      <c r="B4475"/>
      <c r="C4475"/>
      <c r="D4475"/>
    </row>
    <row r="4476" spans="1:4" x14ac:dyDescent="0.25">
      <c r="A4476"/>
      <c r="B4476"/>
      <c r="C4476"/>
      <c r="D4476"/>
    </row>
    <row r="4477" spans="1:4" x14ac:dyDescent="0.25">
      <c r="A4477"/>
      <c r="B4477"/>
      <c r="C4477"/>
      <c r="D4477"/>
    </row>
    <row r="4478" spans="1:4" x14ac:dyDescent="0.25">
      <c r="A4478"/>
      <c r="B4478"/>
      <c r="C4478"/>
      <c r="D4478"/>
    </row>
    <row r="4479" spans="1:4" x14ac:dyDescent="0.25">
      <c r="A4479"/>
      <c r="B4479"/>
      <c r="C4479"/>
      <c r="D4479"/>
    </row>
    <row r="4480" spans="1:4" x14ac:dyDescent="0.25">
      <c r="A4480"/>
      <c r="B4480"/>
      <c r="C4480"/>
      <c r="D4480"/>
    </row>
    <row r="4481" spans="1:4" x14ac:dyDescent="0.25">
      <c r="A4481"/>
      <c r="B4481"/>
      <c r="C4481"/>
      <c r="D4481"/>
    </row>
    <row r="4482" spans="1:4" x14ac:dyDescent="0.25">
      <c r="A4482"/>
      <c r="B4482"/>
      <c r="C4482"/>
      <c r="D4482"/>
    </row>
    <row r="4483" spans="1:4" x14ac:dyDescent="0.25">
      <c r="A4483"/>
      <c r="B4483"/>
      <c r="C4483"/>
      <c r="D4483"/>
    </row>
    <row r="4484" spans="1:4" x14ac:dyDescent="0.25">
      <c r="A4484"/>
      <c r="B4484"/>
      <c r="C4484"/>
      <c r="D4484"/>
    </row>
    <row r="4485" spans="1:4" x14ac:dyDescent="0.25">
      <c r="A4485"/>
      <c r="B4485"/>
      <c r="C4485"/>
      <c r="D4485"/>
    </row>
    <row r="4486" spans="1:4" x14ac:dyDescent="0.25">
      <c r="A4486"/>
      <c r="B4486"/>
      <c r="C4486"/>
      <c r="D4486"/>
    </row>
    <row r="4487" spans="1:4" x14ac:dyDescent="0.25">
      <c r="A4487"/>
      <c r="B4487"/>
      <c r="C4487"/>
      <c r="D4487"/>
    </row>
    <row r="4488" spans="1:4" x14ac:dyDescent="0.25">
      <c r="A4488"/>
      <c r="B4488"/>
      <c r="C4488"/>
      <c r="D4488"/>
    </row>
    <row r="4489" spans="1:4" x14ac:dyDescent="0.25">
      <c r="A4489"/>
      <c r="B4489"/>
      <c r="C4489"/>
      <c r="D4489"/>
    </row>
    <row r="4490" spans="1:4" x14ac:dyDescent="0.25">
      <c r="A4490"/>
      <c r="B4490"/>
      <c r="C4490"/>
      <c r="D4490"/>
    </row>
    <row r="4491" spans="1:4" x14ac:dyDescent="0.25">
      <c r="A4491"/>
      <c r="B4491"/>
      <c r="C4491"/>
      <c r="D4491"/>
    </row>
    <row r="4492" spans="1:4" x14ac:dyDescent="0.25">
      <c r="A4492"/>
      <c r="B4492"/>
      <c r="C4492"/>
      <c r="D4492"/>
    </row>
    <row r="4493" spans="1:4" x14ac:dyDescent="0.25">
      <c r="A4493"/>
      <c r="B4493"/>
      <c r="C4493"/>
      <c r="D4493"/>
    </row>
    <row r="4494" spans="1:4" x14ac:dyDescent="0.25">
      <c r="A4494"/>
      <c r="B4494"/>
      <c r="C4494"/>
      <c r="D4494"/>
    </row>
    <row r="4495" spans="1:4" x14ac:dyDescent="0.25">
      <c r="A4495"/>
      <c r="B4495"/>
      <c r="C4495"/>
      <c r="D4495"/>
    </row>
    <row r="4496" spans="1:4" x14ac:dyDescent="0.25">
      <c r="A4496"/>
      <c r="B4496"/>
      <c r="C4496"/>
      <c r="D4496"/>
    </row>
    <row r="4497" spans="1:4" x14ac:dyDescent="0.25">
      <c r="A4497"/>
      <c r="B4497"/>
      <c r="C4497"/>
      <c r="D4497"/>
    </row>
    <row r="4498" spans="1:4" x14ac:dyDescent="0.25">
      <c r="A4498"/>
      <c r="B4498"/>
      <c r="C4498"/>
      <c r="D4498"/>
    </row>
    <row r="4499" spans="1:4" x14ac:dyDescent="0.25">
      <c r="A4499"/>
      <c r="B4499"/>
      <c r="C4499"/>
      <c r="D4499"/>
    </row>
    <row r="4500" spans="1:4" x14ac:dyDescent="0.25">
      <c r="A4500"/>
      <c r="B4500"/>
      <c r="C4500"/>
      <c r="D4500"/>
    </row>
    <row r="4501" spans="1:4" x14ac:dyDescent="0.25">
      <c r="A4501"/>
      <c r="B4501"/>
      <c r="C4501"/>
      <c r="D4501"/>
    </row>
    <row r="4502" spans="1:4" x14ac:dyDescent="0.25">
      <c r="A4502"/>
      <c r="B4502"/>
      <c r="C4502"/>
      <c r="D4502"/>
    </row>
    <row r="4503" spans="1:4" x14ac:dyDescent="0.25">
      <c r="A4503"/>
      <c r="B4503"/>
      <c r="C4503"/>
      <c r="D4503"/>
    </row>
    <row r="4504" spans="1:4" x14ac:dyDescent="0.25">
      <c r="A4504"/>
      <c r="B4504"/>
      <c r="C4504"/>
      <c r="D4504"/>
    </row>
    <row r="4505" spans="1:4" x14ac:dyDescent="0.25">
      <c r="A4505"/>
      <c r="B4505"/>
      <c r="C4505"/>
      <c r="D4505"/>
    </row>
    <row r="4506" spans="1:4" x14ac:dyDescent="0.25">
      <c r="A4506"/>
      <c r="B4506"/>
      <c r="C4506"/>
      <c r="D4506"/>
    </row>
    <row r="4507" spans="1:4" x14ac:dyDescent="0.25">
      <c r="A4507"/>
      <c r="B4507"/>
      <c r="C4507"/>
      <c r="D4507"/>
    </row>
    <row r="4508" spans="1:4" x14ac:dyDescent="0.25">
      <c r="A4508"/>
      <c r="B4508"/>
      <c r="C4508"/>
      <c r="D4508"/>
    </row>
    <row r="4509" spans="1:4" x14ac:dyDescent="0.25">
      <c r="A4509"/>
      <c r="B4509"/>
      <c r="C4509"/>
      <c r="D4509"/>
    </row>
    <row r="4510" spans="1:4" x14ac:dyDescent="0.25">
      <c r="A4510"/>
      <c r="B4510"/>
      <c r="C4510"/>
      <c r="D4510"/>
    </row>
    <row r="4511" spans="1:4" x14ac:dyDescent="0.25">
      <c r="A4511"/>
      <c r="B4511"/>
      <c r="C4511"/>
      <c r="D4511"/>
    </row>
    <row r="4512" spans="1:4" x14ac:dyDescent="0.25">
      <c r="A4512"/>
      <c r="B4512"/>
      <c r="C4512"/>
      <c r="D4512"/>
    </row>
    <row r="4513" spans="1:4" x14ac:dyDescent="0.25">
      <c r="A4513"/>
      <c r="B4513"/>
      <c r="C4513"/>
      <c r="D4513"/>
    </row>
    <row r="4514" spans="1:4" x14ac:dyDescent="0.25">
      <c r="A4514"/>
      <c r="B4514"/>
      <c r="C4514"/>
      <c r="D4514"/>
    </row>
    <row r="4515" spans="1:4" x14ac:dyDescent="0.25">
      <c r="A4515"/>
      <c r="B4515"/>
      <c r="C4515"/>
      <c r="D4515"/>
    </row>
    <row r="4516" spans="1:4" x14ac:dyDescent="0.25">
      <c r="A4516"/>
      <c r="B4516"/>
      <c r="C4516"/>
      <c r="D4516"/>
    </row>
    <row r="4517" spans="1:4" x14ac:dyDescent="0.25">
      <c r="A4517"/>
      <c r="B4517"/>
      <c r="C4517"/>
      <c r="D4517"/>
    </row>
    <row r="4518" spans="1:4" x14ac:dyDescent="0.25">
      <c r="A4518"/>
      <c r="B4518"/>
      <c r="C4518"/>
      <c r="D4518"/>
    </row>
    <row r="4519" spans="1:4" x14ac:dyDescent="0.25">
      <c r="A4519"/>
      <c r="B4519"/>
      <c r="C4519"/>
      <c r="D4519"/>
    </row>
    <row r="4520" spans="1:4" x14ac:dyDescent="0.25">
      <c r="A4520"/>
      <c r="B4520"/>
      <c r="C4520"/>
      <c r="D4520"/>
    </row>
    <row r="4521" spans="1:4" x14ac:dyDescent="0.25">
      <c r="A4521"/>
      <c r="B4521"/>
      <c r="C4521"/>
      <c r="D4521"/>
    </row>
    <row r="4522" spans="1:4" x14ac:dyDescent="0.25">
      <c r="A4522"/>
      <c r="B4522"/>
      <c r="C4522"/>
      <c r="D4522"/>
    </row>
    <row r="4523" spans="1:4" x14ac:dyDescent="0.25">
      <c r="A4523"/>
      <c r="B4523"/>
      <c r="C4523"/>
      <c r="D4523"/>
    </row>
    <row r="4524" spans="1:4" x14ac:dyDescent="0.25">
      <c r="A4524"/>
      <c r="B4524"/>
      <c r="C4524"/>
      <c r="D4524"/>
    </row>
    <row r="4525" spans="1:4" x14ac:dyDescent="0.25">
      <c r="A4525"/>
      <c r="B4525"/>
      <c r="C4525"/>
      <c r="D4525"/>
    </row>
    <row r="4526" spans="1:4" x14ac:dyDescent="0.25">
      <c r="A4526"/>
      <c r="B4526"/>
      <c r="C4526"/>
      <c r="D4526"/>
    </row>
    <row r="4527" spans="1:4" x14ac:dyDescent="0.25">
      <c r="A4527"/>
      <c r="B4527"/>
      <c r="C4527"/>
      <c r="D4527"/>
    </row>
    <row r="4528" spans="1:4" x14ac:dyDescent="0.25">
      <c r="A4528"/>
      <c r="B4528"/>
      <c r="C4528"/>
      <c r="D4528"/>
    </row>
    <row r="4529" spans="1:4" x14ac:dyDescent="0.25">
      <c r="A4529"/>
      <c r="B4529"/>
      <c r="C4529"/>
      <c r="D4529"/>
    </row>
    <row r="4530" spans="1:4" x14ac:dyDescent="0.25">
      <c r="A4530"/>
      <c r="B4530"/>
      <c r="C4530"/>
      <c r="D4530"/>
    </row>
    <row r="4531" spans="1:4" x14ac:dyDescent="0.25">
      <c r="A4531"/>
      <c r="B4531"/>
      <c r="C4531"/>
      <c r="D4531"/>
    </row>
    <row r="4532" spans="1:4" x14ac:dyDescent="0.25">
      <c r="A4532"/>
      <c r="B4532"/>
      <c r="C4532"/>
      <c r="D4532"/>
    </row>
    <row r="4533" spans="1:4" x14ac:dyDescent="0.25">
      <c r="A4533"/>
      <c r="B4533"/>
      <c r="C4533"/>
      <c r="D4533"/>
    </row>
    <row r="4534" spans="1:4" x14ac:dyDescent="0.25">
      <c r="A4534"/>
      <c r="B4534"/>
      <c r="C4534"/>
      <c r="D4534"/>
    </row>
    <row r="4535" spans="1:4" x14ac:dyDescent="0.25">
      <c r="A4535"/>
      <c r="B4535"/>
      <c r="C4535"/>
      <c r="D4535"/>
    </row>
    <row r="4536" spans="1:4" x14ac:dyDescent="0.25">
      <c r="A4536"/>
      <c r="B4536"/>
      <c r="C4536"/>
      <c r="D4536"/>
    </row>
    <row r="4537" spans="1:4" x14ac:dyDescent="0.25">
      <c r="A4537"/>
      <c r="B4537"/>
      <c r="C4537"/>
      <c r="D4537"/>
    </row>
    <row r="4538" spans="1:4" x14ac:dyDescent="0.25">
      <c r="A4538"/>
      <c r="B4538"/>
      <c r="C4538"/>
      <c r="D4538"/>
    </row>
    <row r="4539" spans="1:4" x14ac:dyDescent="0.25">
      <c r="A4539"/>
      <c r="B4539"/>
      <c r="C4539"/>
      <c r="D4539"/>
    </row>
    <row r="4540" spans="1:4" x14ac:dyDescent="0.25">
      <c r="A4540"/>
      <c r="B4540"/>
      <c r="C4540"/>
      <c r="D4540"/>
    </row>
    <row r="4541" spans="1:4" x14ac:dyDescent="0.25">
      <c r="A4541"/>
      <c r="B4541"/>
      <c r="C4541"/>
      <c r="D4541"/>
    </row>
    <row r="4542" spans="1:4" x14ac:dyDescent="0.25">
      <c r="A4542"/>
      <c r="B4542"/>
      <c r="C4542"/>
      <c r="D4542"/>
    </row>
    <row r="4543" spans="1:4" x14ac:dyDescent="0.25">
      <c r="A4543"/>
      <c r="B4543"/>
      <c r="C4543"/>
      <c r="D4543"/>
    </row>
    <row r="4544" spans="1:4" x14ac:dyDescent="0.25">
      <c r="A4544"/>
      <c r="B4544"/>
      <c r="C4544"/>
      <c r="D4544"/>
    </row>
    <row r="4545" spans="1:4" x14ac:dyDescent="0.25">
      <c r="A4545"/>
      <c r="B4545"/>
      <c r="C4545"/>
      <c r="D4545"/>
    </row>
    <row r="4546" spans="1:4" x14ac:dyDescent="0.25">
      <c r="A4546"/>
      <c r="B4546"/>
      <c r="C4546"/>
      <c r="D4546"/>
    </row>
    <row r="4547" spans="1:4" x14ac:dyDescent="0.25">
      <c r="A4547"/>
      <c r="B4547"/>
      <c r="C4547"/>
      <c r="D4547"/>
    </row>
    <row r="4548" spans="1:4" x14ac:dyDescent="0.25">
      <c r="A4548"/>
      <c r="B4548"/>
      <c r="C4548"/>
      <c r="D4548"/>
    </row>
    <row r="4549" spans="1:4" x14ac:dyDescent="0.25">
      <c r="A4549"/>
      <c r="B4549"/>
      <c r="C4549"/>
      <c r="D4549"/>
    </row>
    <row r="4550" spans="1:4" x14ac:dyDescent="0.25">
      <c r="A4550"/>
      <c r="B4550"/>
      <c r="C4550"/>
      <c r="D4550"/>
    </row>
    <row r="4551" spans="1:4" x14ac:dyDescent="0.25">
      <c r="A4551"/>
      <c r="B4551"/>
      <c r="C4551"/>
      <c r="D4551"/>
    </row>
    <row r="4552" spans="1:4" x14ac:dyDescent="0.25">
      <c r="A4552"/>
      <c r="B4552"/>
      <c r="C4552"/>
      <c r="D4552"/>
    </row>
    <row r="4553" spans="1:4" x14ac:dyDescent="0.25">
      <c r="A4553"/>
      <c r="B4553"/>
      <c r="C4553"/>
      <c r="D4553"/>
    </row>
    <row r="4554" spans="1:4" x14ac:dyDescent="0.25">
      <c r="A4554"/>
      <c r="B4554"/>
      <c r="C4554"/>
      <c r="D4554"/>
    </row>
    <row r="4555" spans="1:4" x14ac:dyDescent="0.25">
      <c r="A4555"/>
      <c r="B4555"/>
      <c r="C4555"/>
      <c r="D4555"/>
    </row>
    <row r="4556" spans="1:4" x14ac:dyDescent="0.25">
      <c r="A4556"/>
      <c r="B4556"/>
      <c r="C4556"/>
      <c r="D4556"/>
    </row>
    <row r="4557" spans="1:4" x14ac:dyDescent="0.25">
      <c r="A4557"/>
      <c r="B4557"/>
      <c r="C4557"/>
      <c r="D4557"/>
    </row>
    <row r="4558" spans="1:4" x14ac:dyDescent="0.25">
      <c r="A4558"/>
      <c r="B4558"/>
      <c r="C4558"/>
      <c r="D4558"/>
    </row>
    <row r="4559" spans="1:4" x14ac:dyDescent="0.25">
      <c r="A4559"/>
      <c r="B4559"/>
      <c r="C4559"/>
      <c r="D4559"/>
    </row>
    <row r="4560" spans="1:4" x14ac:dyDescent="0.25">
      <c r="A4560"/>
      <c r="B4560"/>
      <c r="C4560"/>
      <c r="D4560"/>
    </row>
    <row r="4561" spans="1:4" x14ac:dyDescent="0.25">
      <c r="A4561"/>
      <c r="B4561"/>
      <c r="C4561"/>
      <c r="D4561"/>
    </row>
    <row r="4562" spans="1:4" x14ac:dyDescent="0.25">
      <c r="A4562"/>
      <c r="B4562"/>
      <c r="C4562"/>
      <c r="D4562"/>
    </row>
    <row r="4563" spans="1:4" x14ac:dyDescent="0.25">
      <c r="A4563"/>
      <c r="B4563"/>
      <c r="C4563"/>
      <c r="D4563"/>
    </row>
    <row r="4564" spans="1:4" x14ac:dyDescent="0.25">
      <c r="A4564"/>
      <c r="B4564"/>
      <c r="C4564"/>
      <c r="D4564"/>
    </row>
    <row r="4565" spans="1:4" x14ac:dyDescent="0.25">
      <c r="A4565"/>
      <c r="B4565"/>
      <c r="C4565"/>
      <c r="D4565"/>
    </row>
    <row r="4566" spans="1:4" x14ac:dyDescent="0.25">
      <c r="A4566"/>
      <c r="B4566"/>
      <c r="C4566"/>
      <c r="D4566"/>
    </row>
    <row r="4567" spans="1:4" x14ac:dyDescent="0.25">
      <c r="A4567"/>
      <c r="B4567"/>
      <c r="C4567"/>
      <c r="D4567"/>
    </row>
    <row r="4568" spans="1:4" x14ac:dyDescent="0.25">
      <c r="A4568"/>
      <c r="B4568"/>
      <c r="C4568"/>
      <c r="D4568"/>
    </row>
    <row r="4569" spans="1:4" x14ac:dyDescent="0.25">
      <c r="A4569"/>
      <c r="B4569"/>
      <c r="C4569"/>
      <c r="D4569"/>
    </row>
    <row r="4570" spans="1:4" x14ac:dyDescent="0.25">
      <c r="A4570"/>
      <c r="B4570"/>
      <c r="C4570"/>
      <c r="D4570"/>
    </row>
    <row r="4571" spans="1:4" x14ac:dyDescent="0.25">
      <c r="A4571"/>
      <c r="B4571"/>
      <c r="C4571"/>
      <c r="D4571"/>
    </row>
    <row r="4572" spans="1:4" x14ac:dyDescent="0.25">
      <c r="A4572"/>
      <c r="B4572"/>
      <c r="C4572"/>
      <c r="D4572"/>
    </row>
    <row r="4573" spans="1:4" x14ac:dyDescent="0.25">
      <c r="A4573"/>
      <c r="B4573"/>
      <c r="C4573"/>
      <c r="D4573"/>
    </row>
    <row r="4574" spans="1:4" x14ac:dyDescent="0.25">
      <c r="A4574"/>
      <c r="B4574"/>
      <c r="C4574"/>
      <c r="D4574"/>
    </row>
    <row r="4575" spans="1:4" x14ac:dyDescent="0.25">
      <c r="A4575"/>
      <c r="B4575"/>
      <c r="C4575"/>
      <c r="D4575"/>
    </row>
    <row r="4576" spans="1:4" x14ac:dyDescent="0.25">
      <c r="A4576"/>
      <c r="B4576"/>
      <c r="C4576"/>
      <c r="D4576"/>
    </row>
    <row r="4577" spans="1:4" x14ac:dyDescent="0.25">
      <c r="A4577"/>
      <c r="B4577"/>
      <c r="C4577"/>
      <c r="D4577"/>
    </row>
    <row r="4578" spans="1:4" x14ac:dyDescent="0.25">
      <c r="A4578"/>
      <c r="B4578"/>
      <c r="C4578"/>
      <c r="D4578"/>
    </row>
    <row r="4579" spans="1:4" x14ac:dyDescent="0.25">
      <c r="A4579"/>
      <c r="B4579"/>
      <c r="C4579"/>
      <c r="D4579"/>
    </row>
    <row r="4580" spans="1:4" x14ac:dyDescent="0.25">
      <c r="A4580"/>
      <c r="B4580"/>
      <c r="C4580"/>
      <c r="D4580"/>
    </row>
    <row r="4581" spans="1:4" x14ac:dyDescent="0.25">
      <c r="A4581"/>
      <c r="B4581"/>
      <c r="C4581"/>
      <c r="D4581"/>
    </row>
    <row r="4582" spans="1:4" x14ac:dyDescent="0.25">
      <c r="A4582"/>
      <c r="B4582"/>
      <c r="C4582"/>
      <c r="D4582"/>
    </row>
    <row r="4583" spans="1:4" x14ac:dyDescent="0.25">
      <c r="A4583"/>
      <c r="B4583"/>
      <c r="C4583"/>
      <c r="D4583"/>
    </row>
    <row r="4584" spans="1:4" x14ac:dyDescent="0.25">
      <c r="A4584"/>
      <c r="B4584"/>
      <c r="C4584"/>
      <c r="D4584"/>
    </row>
    <row r="4585" spans="1:4" x14ac:dyDescent="0.25">
      <c r="A4585"/>
      <c r="B4585"/>
      <c r="C4585"/>
      <c r="D4585"/>
    </row>
    <row r="4586" spans="1:4" x14ac:dyDescent="0.25">
      <c r="A4586"/>
      <c r="B4586"/>
      <c r="C4586"/>
      <c r="D4586"/>
    </row>
    <row r="4587" spans="1:4" x14ac:dyDescent="0.25">
      <c r="A4587"/>
      <c r="B4587"/>
      <c r="C4587"/>
      <c r="D4587"/>
    </row>
    <row r="4588" spans="1:4" x14ac:dyDescent="0.25">
      <c r="A4588"/>
      <c r="B4588"/>
      <c r="C4588"/>
      <c r="D4588"/>
    </row>
    <row r="4589" spans="1:4" x14ac:dyDescent="0.25">
      <c r="A4589"/>
      <c r="B4589"/>
      <c r="C4589"/>
      <c r="D4589"/>
    </row>
    <row r="4590" spans="1:4" x14ac:dyDescent="0.25">
      <c r="A4590"/>
      <c r="B4590"/>
      <c r="C4590"/>
      <c r="D4590"/>
    </row>
    <row r="4591" spans="1:4" x14ac:dyDescent="0.25">
      <c r="A4591"/>
      <c r="B4591"/>
      <c r="C4591"/>
      <c r="D4591"/>
    </row>
    <row r="4592" spans="1:4" x14ac:dyDescent="0.25">
      <c r="A4592"/>
      <c r="B4592"/>
      <c r="C4592"/>
      <c r="D4592"/>
    </row>
    <row r="4593" spans="1:4" x14ac:dyDescent="0.25">
      <c r="A4593"/>
      <c r="B4593"/>
      <c r="C4593"/>
      <c r="D4593"/>
    </row>
    <row r="4594" spans="1:4" x14ac:dyDescent="0.25">
      <c r="A4594"/>
      <c r="B4594"/>
      <c r="C4594"/>
      <c r="D4594"/>
    </row>
    <row r="4595" spans="1:4" x14ac:dyDescent="0.25">
      <c r="A4595"/>
      <c r="B4595"/>
      <c r="C4595"/>
      <c r="D4595"/>
    </row>
    <row r="4596" spans="1:4" x14ac:dyDescent="0.25">
      <c r="A4596"/>
      <c r="B4596"/>
      <c r="C4596"/>
      <c r="D4596"/>
    </row>
    <row r="4597" spans="1:4" x14ac:dyDescent="0.25">
      <c r="A4597"/>
      <c r="B4597"/>
      <c r="C4597"/>
      <c r="D4597"/>
    </row>
    <row r="4598" spans="1:4" x14ac:dyDescent="0.25">
      <c r="A4598"/>
      <c r="B4598"/>
      <c r="C4598"/>
      <c r="D4598"/>
    </row>
    <row r="4599" spans="1:4" x14ac:dyDescent="0.25">
      <c r="A4599"/>
      <c r="B4599"/>
      <c r="C4599"/>
      <c r="D4599"/>
    </row>
    <row r="4600" spans="1:4" x14ac:dyDescent="0.25">
      <c r="A4600"/>
      <c r="B4600"/>
      <c r="C4600"/>
      <c r="D4600"/>
    </row>
    <row r="4601" spans="1:4" x14ac:dyDescent="0.25">
      <c r="A4601"/>
      <c r="B4601"/>
      <c r="C4601"/>
      <c r="D4601"/>
    </row>
    <row r="4602" spans="1:4" x14ac:dyDescent="0.25">
      <c r="A4602"/>
      <c r="B4602"/>
      <c r="C4602"/>
      <c r="D4602"/>
    </row>
    <row r="4603" spans="1:4" x14ac:dyDescent="0.25">
      <c r="A4603"/>
      <c r="B4603"/>
      <c r="C4603"/>
      <c r="D4603"/>
    </row>
    <row r="4604" spans="1:4" x14ac:dyDescent="0.25">
      <c r="A4604"/>
      <c r="B4604"/>
      <c r="C4604"/>
      <c r="D4604"/>
    </row>
    <row r="4605" spans="1:4" x14ac:dyDescent="0.25">
      <c r="A4605"/>
      <c r="B4605"/>
      <c r="C4605"/>
      <c r="D4605"/>
    </row>
    <row r="4606" spans="1:4" x14ac:dyDescent="0.25">
      <c r="A4606"/>
      <c r="B4606"/>
      <c r="C4606"/>
      <c r="D4606"/>
    </row>
    <row r="4607" spans="1:4" x14ac:dyDescent="0.25">
      <c r="A4607"/>
      <c r="B4607"/>
      <c r="C4607"/>
      <c r="D4607"/>
    </row>
    <row r="4608" spans="1:4" x14ac:dyDescent="0.25">
      <c r="A4608"/>
      <c r="B4608"/>
      <c r="C4608"/>
      <c r="D4608"/>
    </row>
    <row r="4609" spans="1:4" x14ac:dyDescent="0.25">
      <c r="A4609"/>
      <c r="B4609"/>
      <c r="C4609"/>
      <c r="D4609"/>
    </row>
    <row r="4610" spans="1:4" x14ac:dyDescent="0.25">
      <c r="A4610"/>
      <c r="B4610"/>
      <c r="C4610"/>
      <c r="D4610"/>
    </row>
    <row r="4611" spans="1:4" x14ac:dyDescent="0.25">
      <c r="A4611"/>
      <c r="B4611"/>
      <c r="C4611"/>
      <c r="D4611"/>
    </row>
    <row r="4612" spans="1:4" x14ac:dyDescent="0.25">
      <c r="A4612"/>
      <c r="B4612"/>
      <c r="C4612"/>
      <c r="D4612"/>
    </row>
    <row r="4613" spans="1:4" x14ac:dyDescent="0.25">
      <c r="A4613"/>
      <c r="B4613"/>
      <c r="C4613"/>
      <c r="D4613"/>
    </row>
    <row r="4614" spans="1:4" x14ac:dyDescent="0.25">
      <c r="A4614"/>
      <c r="B4614"/>
      <c r="C4614"/>
      <c r="D4614"/>
    </row>
    <row r="4615" spans="1:4" x14ac:dyDescent="0.25">
      <c r="A4615"/>
      <c r="B4615"/>
      <c r="C4615"/>
      <c r="D4615"/>
    </row>
    <row r="4616" spans="1:4" x14ac:dyDescent="0.25">
      <c r="A4616"/>
      <c r="B4616"/>
      <c r="C4616"/>
      <c r="D4616"/>
    </row>
    <row r="4617" spans="1:4" x14ac:dyDescent="0.25">
      <c r="A4617"/>
      <c r="B4617"/>
      <c r="C4617"/>
      <c r="D4617"/>
    </row>
    <row r="4618" spans="1:4" x14ac:dyDescent="0.25">
      <c r="A4618"/>
      <c r="B4618"/>
      <c r="C4618"/>
      <c r="D4618"/>
    </row>
    <row r="4619" spans="1:4" x14ac:dyDescent="0.25">
      <c r="A4619"/>
      <c r="B4619"/>
      <c r="C4619"/>
      <c r="D4619"/>
    </row>
    <row r="4620" spans="1:4" x14ac:dyDescent="0.25">
      <c r="A4620"/>
      <c r="B4620"/>
      <c r="C4620"/>
      <c r="D4620"/>
    </row>
    <row r="4621" spans="1:4" x14ac:dyDescent="0.25">
      <c r="A4621"/>
      <c r="B4621"/>
      <c r="C4621"/>
      <c r="D4621"/>
    </row>
    <row r="4622" spans="1:4" x14ac:dyDescent="0.25">
      <c r="A4622"/>
      <c r="B4622"/>
      <c r="C4622"/>
      <c r="D4622"/>
    </row>
    <row r="4623" spans="1:4" x14ac:dyDescent="0.25">
      <c r="A4623"/>
      <c r="B4623"/>
      <c r="C4623"/>
      <c r="D4623"/>
    </row>
    <row r="4624" spans="1:4" x14ac:dyDescent="0.25">
      <c r="A4624"/>
      <c r="B4624"/>
      <c r="C4624"/>
      <c r="D4624"/>
    </row>
    <row r="4625" spans="1:4" x14ac:dyDescent="0.25">
      <c r="A4625"/>
      <c r="B4625"/>
      <c r="C4625"/>
      <c r="D4625"/>
    </row>
    <row r="4626" spans="1:4" x14ac:dyDescent="0.25">
      <c r="A4626"/>
      <c r="B4626"/>
      <c r="C4626"/>
      <c r="D4626"/>
    </row>
    <row r="4627" spans="1:4" x14ac:dyDescent="0.25">
      <c r="A4627"/>
      <c r="B4627"/>
      <c r="C4627"/>
      <c r="D4627"/>
    </row>
    <row r="4628" spans="1:4" x14ac:dyDescent="0.25">
      <c r="A4628"/>
      <c r="B4628"/>
      <c r="C4628"/>
      <c r="D4628"/>
    </row>
    <row r="4629" spans="1:4" x14ac:dyDescent="0.25">
      <c r="A4629"/>
      <c r="B4629"/>
      <c r="C4629"/>
      <c r="D4629"/>
    </row>
    <row r="4630" spans="1:4" x14ac:dyDescent="0.25">
      <c r="A4630"/>
      <c r="B4630"/>
      <c r="C4630"/>
      <c r="D4630"/>
    </row>
    <row r="4631" spans="1:4" x14ac:dyDescent="0.25">
      <c r="A4631"/>
      <c r="B4631"/>
      <c r="C4631"/>
      <c r="D4631"/>
    </row>
    <row r="4632" spans="1:4" x14ac:dyDescent="0.25">
      <c r="A4632"/>
      <c r="B4632"/>
      <c r="C4632"/>
      <c r="D4632"/>
    </row>
    <row r="4633" spans="1:4" x14ac:dyDescent="0.25">
      <c r="A4633"/>
      <c r="B4633"/>
      <c r="C4633"/>
      <c r="D4633"/>
    </row>
    <row r="4634" spans="1:4" x14ac:dyDescent="0.25">
      <c r="A4634"/>
      <c r="B4634"/>
      <c r="C4634"/>
      <c r="D4634"/>
    </row>
    <row r="4635" spans="1:4" x14ac:dyDescent="0.25">
      <c r="A4635"/>
      <c r="B4635"/>
      <c r="C4635"/>
      <c r="D4635"/>
    </row>
    <row r="4636" spans="1:4" x14ac:dyDescent="0.25">
      <c r="A4636"/>
      <c r="B4636"/>
      <c r="C4636"/>
      <c r="D4636"/>
    </row>
    <row r="4637" spans="1:4" x14ac:dyDescent="0.25">
      <c r="A4637"/>
      <c r="B4637"/>
      <c r="C4637"/>
      <c r="D4637"/>
    </row>
    <row r="4638" spans="1:4" x14ac:dyDescent="0.25">
      <c r="A4638"/>
      <c r="B4638"/>
      <c r="C4638"/>
      <c r="D4638"/>
    </row>
    <row r="4639" spans="1:4" x14ac:dyDescent="0.25">
      <c r="A4639"/>
      <c r="B4639"/>
      <c r="C4639"/>
      <c r="D4639"/>
    </row>
    <row r="4640" spans="1:4" x14ac:dyDescent="0.25">
      <c r="A4640"/>
      <c r="B4640"/>
      <c r="C4640"/>
      <c r="D4640"/>
    </row>
    <row r="4641" spans="1:4" x14ac:dyDescent="0.25">
      <c r="A4641"/>
      <c r="B4641"/>
      <c r="C4641"/>
      <c r="D4641"/>
    </row>
    <row r="4642" spans="1:4" x14ac:dyDescent="0.25">
      <c r="A4642"/>
      <c r="B4642"/>
      <c r="C4642"/>
      <c r="D4642"/>
    </row>
    <row r="4643" spans="1:4" x14ac:dyDescent="0.25">
      <c r="A4643"/>
      <c r="B4643"/>
      <c r="C4643"/>
      <c r="D4643"/>
    </row>
    <row r="4644" spans="1:4" x14ac:dyDescent="0.25">
      <c r="A4644"/>
      <c r="B4644"/>
      <c r="C4644"/>
      <c r="D4644"/>
    </row>
    <row r="4645" spans="1:4" x14ac:dyDescent="0.25">
      <c r="A4645"/>
      <c r="B4645"/>
      <c r="C4645"/>
      <c r="D4645"/>
    </row>
    <row r="4646" spans="1:4" x14ac:dyDescent="0.25">
      <c r="A4646"/>
      <c r="B4646"/>
      <c r="C4646"/>
      <c r="D4646"/>
    </row>
    <row r="4647" spans="1:4" x14ac:dyDescent="0.25">
      <c r="A4647"/>
      <c r="B4647"/>
      <c r="C4647"/>
      <c r="D4647"/>
    </row>
    <row r="4648" spans="1:4" x14ac:dyDescent="0.25">
      <c r="A4648"/>
      <c r="B4648"/>
      <c r="C4648"/>
      <c r="D4648"/>
    </row>
    <row r="4649" spans="1:4" x14ac:dyDescent="0.25">
      <c r="A4649"/>
      <c r="B4649"/>
      <c r="C4649"/>
      <c r="D4649"/>
    </row>
    <row r="4650" spans="1:4" x14ac:dyDescent="0.25">
      <c r="A4650"/>
      <c r="B4650"/>
      <c r="C4650"/>
      <c r="D4650"/>
    </row>
    <row r="4651" spans="1:4" x14ac:dyDescent="0.25">
      <c r="A4651"/>
      <c r="B4651"/>
      <c r="C4651"/>
      <c r="D4651"/>
    </row>
    <row r="4652" spans="1:4" x14ac:dyDescent="0.25">
      <c r="A4652"/>
      <c r="B4652"/>
      <c r="C4652"/>
      <c r="D4652"/>
    </row>
    <row r="4653" spans="1:4" x14ac:dyDescent="0.25">
      <c r="A4653"/>
      <c r="B4653"/>
      <c r="C4653"/>
      <c r="D4653"/>
    </row>
    <row r="4654" spans="1:4" x14ac:dyDescent="0.25">
      <c r="A4654"/>
      <c r="B4654"/>
      <c r="C4654"/>
      <c r="D4654"/>
    </row>
    <row r="4655" spans="1:4" x14ac:dyDescent="0.25">
      <c r="A4655"/>
      <c r="B4655"/>
      <c r="C4655"/>
      <c r="D4655"/>
    </row>
    <row r="4656" spans="1:4" x14ac:dyDescent="0.25">
      <c r="A4656"/>
      <c r="B4656"/>
      <c r="C4656"/>
      <c r="D4656"/>
    </row>
    <row r="4657" spans="1:4" x14ac:dyDescent="0.25">
      <c r="A4657"/>
      <c r="B4657"/>
      <c r="C4657"/>
      <c r="D4657"/>
    </row>
    <row r="4658" spans="1:4" x14ac:dyDescent="0.25">
      <c r="A4658"/>
      <c r="B4658"/>
      <c r="C4658"/>
      <c r="D4658"/>
    </row>
    <row r="4659" spans="1:4" x14ac:dyDescent="0.25">
      <c r="A4659"/>
      <c r="B4659"/>
      <c r="C4659"/>
      <c r="D4659"/>
    </row>
    <row r="4660" spans="1:4" x14ac:dyDescent="0.25">
      <c r="A4660"/>
      <c r="B4660"/>
      <c r="C4660"/>
      <c r="D4660"/>
    </row>
    <row r="4661" spans="1:4" x14ac:dyDescent="0.25">
      <c r="A4661"/>
      <c r="B4661"/>
      <c r="C4661"/>
      <c r="D4661"/>
    </row>
    <row r="4662" spans="1:4" x14ac:dyDescent="0.25">
      <c r="A4662"/>
      <c r="B4662"/>
      <c r="C4662"/>
      <c r="D4662"/>
    </row>
    <row r="4663" spans="1:4" x14ac:dyDescent="0.25">
      <c r="A4663"/>
      <c r="B4663"/>
      <c r="C4663"/>
      <c r="D4663"/>
    </row>
    <row r="4664" spans="1:4" x14ac:dyDescent="0.25">
      <c r="A4664"/>
      <c r="B4664"/>
      <c r="C4664"/>
      <c r="D4664"/>
    </row>
    <row r="4665" spans="1:4" x14ac:dyDescent="0.25">
      <c r="A4665"/>
      <c r="B4665"/>
      <c r="C4665"/>
      <c r="D4665"/>
    </row>
    <row r="4666" spans="1:4" x14ac:dyDescent="0.25">
      <c r="A4666"/>
      <c r="B4666"/>
      <c r="C4666"/>
      <c r="D4666"/>
    </row>
    <row r="4667" spans="1:4" x14ac:dyDescent="0.25">
      <c r="A4667"/>
      <c r="B4667"/>
      <c r="C4667"/>
      <c r="D4667"/>
    </row>
    <row r="4668" spans="1:4" x14ac:dyDescent="0.25">
      <c r="A4668"/>
      <c r="B4668"/>
      <c r="C4668"/>
      <c r="D4668"/>
    </row>
    <row r="4669" spans="1:4" x14ac:dyDescent="0.25">
      <c r="A4669"/>
      <c r="B4669"/>
      <c r="C4669"/>
      <c r="D4669"/>
    </row>
    <row r="4670" spans="1:4" x14ac:dyDescent="0.25">
      <c r="A4670"/>
      <c r="B4670"/>
      <c r="C4670"/>
      <c r="D4670"/>
    </row>
    <row r="4671" spans="1:4" x14ac:dyDescent="0.25">
      <c r="A4671"/>
      <c r="B4671"/>
      <c r="C4671"/>
      <c r="D4671"/>
    </row>
    <row r="4672" spans="1:4" x14ac:dyDescent="0.25">
      <c r="A4672"/>
      <c r="B4672"/>
      <c r="C4672"/>
      <c r="D4672"/>
    </row>
    <row r="4673" spans="1:4" x14ac:dyDescent="0.25">
      <c r="A4673"/>
      <c r="B4673"/>
      <c r="C4673"/>
      <c r="D4673"/>
    </row>
    <row r="4674" spans="1:4" x14ac:dyDescent="0.25">
      <c r="A4674"/>
      <c r="B4674"/>
      <c r="C4674"/>
      <c r="D4674"/>
    </row>
    <row r="4675" spans="1:4" x14ac:dyDescent="0.25">
      <c r="A4675"/>
      <c r="B4675"/>
      <c r="C4675"/>
      <c r="D4675"/>
    </row>
    <row r="4676" spans="1:4" x14ac:dyDescent="0.25">
      <c r="A4676"/>
      <c r="B4676"/>
      <c r="C4676"/>
      <c r="D4676"/>
    </row>
    <row r="4677" spans="1:4" x14ac:dyDescent="0.25">
      <c r="A4677"/>
      <c r="B4677"/>
      <c r="C4677"/>
      <c r="D4677"/>
    </row>
    <row r="4678" spans="1:4" x14ac:dyDescent="0.25">
      <c r="A4678"/>
      <c r="B4678"/>
      <c r="C4678"/>
      <c r="D4678"/>
    </row>
    <row r="4679" spans="1:4" x14ac:dyDescent="0.25">
      <c r="A4679"/>
      <c r="B4679"/>
      <c r="C4679"/>
      <c r="D4679"/>
    </row>
    <row r="4680" spans="1:4" x14ac:dyDescent="0.25">
      <c r="A4680"/>
      <c r="B4680"/>
      <c r="C4680"/>
      <c r="D4680"/>
    </row>
    <row r="4681" spans="1:4" x14ac:dyDescent="0.25">
      <c r="A4681"/>
      <c r="B4681"/>
      <c r="C4681"/>
      <c r="D4681"/>
    </row>
    <row r="4682" spans="1:4" x14ac:dyDescent="0.25">
      <c r="A4682"/>
      <c r="B4682"/>
      <c r="C4682"/>
      <c r="D4682"/>
    </row>
    <row r="4683" spans="1:4" x14ac:dyDescent="0.25">
      <c r="A4683"/>
      <c r="B4683"/>
      <c r="C4683"/>
      <c r="D4683"/>
    </row>
    <row r="4684" spans="1:4" x14ac:dyDescent="0.25">
      <c r="A4684"/>
      <c r="B4684"/>
      <c r="C4684"/>
      <c r="D4684"/>
    </row>
    <row r="4685" spans="1:4" x14ac:dyDescent="0.25">
      <c r="A4685"/>
      <c r="B4685"/>
      <c r="C4685"/>
      <c r="D4685"/>
    </row>
    <row r="4686" spans="1:4" x14ac:dyDescent="0.25">
      <c r="A4686"/>
      <c r="B4686"/>
      <c r="C4686"/>
      <c r="D4686"/>
    </row>
    <row r="4687" spans="1:4" x14ac:dyDescent="0.25">
      <c r="A4687"/>
      <c r="B4687"/>
      <c r="C4687"/>
      <c r="D4687"/>
    </row>
    <row r="4688" spans="1:4" x14ac:dyDescent="0.25">
      <c r="A4688"/>
      <c r="B4688"/>
      <c r="C4688"/>
      <c r="D4688"/>
    </row>
    <row r="4689" spans="1:4" x14ac:dyDescent="0.25">
      <c r="A4689"/>
      <c r="B4689"/>
      <c r="C4689"/>
      <c r="D4689"/>
    </row>
    <row r="4690" spans="1:4" x14ac:dyDescent="0.25">
      <c r="A4690"/>
      <c r="B4690"/>
      <c r="C4690"/>
      <c r="D4690"/>
    </row>
    <row r="4691" spans="1:4" x14ac:dyDescent="0.25">
      <c r="A4691"/>
      <c r="B4691"/>
      <c r="C4691"/>
      <c r="D4691"/>
    </row>
    <row r="4692" spans="1:4" x14ac:dyDescent="0.25">
      <c r="A4692"/>
      <c r="B4692"/>
      <c r="C4692"/>
      <c r="D4692"/>
    </row>
    <row r="4693" spans="1:4" x14ac:dyDescent="0.25">
      <c r="A4693"/>
      <c r="B4693"/>
      <c r="C4693"/>
      <c r="D4693"/>
    </row>
    <row r="4694" spans="1:4" x14ac:dyDescent="0.25">
      <c r="A4694"/>
      <c r="B4694"/>
      <c r="C4694"/>
      <c r="D4694"/>
    </row>
    <row r="4695" spans="1:4" x14ac:dyDescent="0.25">
      <c r="A4695"/>
      <c r="B4695"/>
      <c r="C4695"/>
      <c r="D4695"/>
    </row>
    <row r="4696" spans="1:4" x14ac:dyDescent="0.25">
      <c r="A4696"/>
      <c r="B4696"/>
      <c r="C4696"/>
      <c r="D4696"/>
    </row>
    <row r="4697" spans="1:4" x14ac:dyDescent="0.25">
      <c r="A4697"/>
      <c r="B4697"/>
      <c r="C4697"/>
      <c r="D4697"/>
    </row>
    <row r="4698" spans="1:4" x14ac:dyDescent="0.25">
      <c r="A4698"/>
      <c r="B4698"/>
      <c r="C4698"/>
      <c r="D4698"/>
    </row>
    <row r="4699" spans="1:4" x14ac:dyDescent="0.25">
      <c r="A4699"/>
      <c r="B4699"/>
      <c r="C4699"/>
      <c r="D4699"/>
    </row>
    <row r="4700" spans="1:4" x14ac:dyDescent="0.25">
      <c r="A4700"/>
      <c r="B4700"/>
      <c r="C4700"/>
      <c r="D4700"/>
    </row>
    <row r="4701" spans="1:4" x14ac:dyDescent="0.25">
      <c r="A4701"/>
      <c r="B4701"/>
      <c r="C4701"/>
      <c r="D4701"/>
    </row>
    <row r="4702" spans="1:4" x14ac:dyDescent="0.25">
      <c r="A4702"/>
      <c r="B4702"/>
      <c r="C4702"/>
      <c r="D4702"/>
    </row>
    <row r="4703" spans="1:4" x14ac:dyDescent="0.25">
      <c r="A4703"/>
      <c r="B4703"/>
      <c r="C4703"/>
      <c r="D4703"/>
    </row>
    <row r="4704" spans="1:4" x14ac:dyDescent="0.25">
      <c r="A4704"/>
      <c r="B4704"/>
      <c r="C4704"/>
      <c r="D4704"/>
    </row>
    <row r="4705" spans="1:4" x14ac:dyDescent="0.25">
      <c r="A4705"/>
      <c r="B4705"/>
      <c r="C4705"/>
      <c r="D4705"/>
    </row>
    <row r="4706" spans="1:4" x14ac:dyDescent="0.25">
      <c r="A4706"/>
      <c r="B4706"/>
      <c r="C4706"/>
      <c r="D4706"/>
    </row>
    <row r="4707" spans="1:4" x14ac:dyDescent="0.25">
      <c r="A4707"/>
      <c r="B4707"/>
      <c r="C4707"/>
      <c r="D4707"/>
    </row>
    <row r="4708" spans="1:4" x14ac:dyDescent="0.25">
      <c r="A4708"/>
      <c r="B4708"/>
      <c r="C4708"/>
      <c r="D4708"/>
    </row>
    <row r="4709" spans="1:4" x14ac:dyDescent="0.25">
      <c r="A4709"/>
      <c r="B4709"/>
      <c r="C4709"/>
      <c r="D4709"/>
    </row>
    <row r="4710" spans="1:4" x14ac:dyDescent="0.25">
      <c r="A4710"/>
      <c r="B4710"/>
      <c r="C4710"/>
      <c r="D4710"/>
    </row>
    <row r="4711" spans="1:4" x14ac:dyDescent="0.25">
      <c r="A4711"/>
      <c r="B4711"/>
      <c r="C4711"/>
      <c r="D4711"/>
    </row>
    <row r="4712" spans="1:4" x14ac:dyDescent="0.25">
      <c r="A4712"/>
      <c r="B4712"/>
      <c r="C4712"/>
      <c r="D4712"/>
    </row>
    <row r="4713" spans="1:4" x14ac:dyDescent="0.25">
      <c r="A4713"/>
      <c r="B4713"/>
      <c r="C4713"/>
      <c r="D4713"/>
    </row>
    <row r="4714" spans="1:4" x14ac:dyDescent="0.25">
      <c r="A4714"/>
      <c r="B4714"/>
      <c r="C4714"/>
      <c r="D4714"/>
    </row>
    <row r="4715" spans="1:4" x14ac:dyDescent="0.25">
      <c r="A4715"/>
      <c r="B4715"/>
      <c r="C4715"/>
      <c r="D4715"/>
    </row>
    <row r="4716" spans="1:4" x14ac:dyDescent="0.25">
      <c r="A4716"/>
      <c r="B4716"/>
      <c r="C4716"/>
      <c r="D4716"/>
    </row>
    <row r="4717" spans="1:4" x14ac:dyDescent="0.25">
      <c r="A4717"/>
      <c r="B4717"/>
      <c r="C4717"/>
      <c r="D4717"/>
    </row>
    <row r="4718" spans="1:4" x14ac:dyDescent="0.25">
      <c r="A4718"/>
      <c r="B4718"/>
      <c r="C4718"/>
      <c r="D4718"/>
    </row>
    <row r="4719" spans="1:4" x14ac:dyDescent="0.25">
      <c r="A4719"/>
      <c r="B4719"/>
      <c r="C4719"/>
      <c r="D4719"/>
    </row>
    <row r="4720" spans="1:4" x14ac:dyDescent="0.25">
      <c r="A4720"/>
      <c r="B4720"/>
      <c r="C4720"/>
      <c r="D4720"/>
    </row>
    <row r="4721" spans="1:4" x14ac:dyDescent="0.25">
      <c r="A4721"/>
      <c r="B4721"/>
      <c r="C4721"/>
      <c r="D4721"/>
    </row>
    <row r="4722" spans="1:4" x14ac:dyDescent="0.25">
      <c r="A4722"/>
      <c r="B4722"/>
      <c r="C4722"/>
      <c r="D4722"/>
    </row>
    <row r="4723" spans="1:4" x14ac:dyDescent="0.25">
      <c r="A4723"/>
      <c r="B4723"/>
      <c r="C4723"/>
      <c r="D4723"/>
    </row>
    <row r="4724" spans="1:4" x14ac:dyDescent="0.25">
      <c r="A4724"/>
      <c r="B4724"/>
      <c r="C4724"/>
      <c r="D4724"/>
    </row>
    <row r="4725" spans="1:4" x14ac:dyDescent="0.25">
      <c r="A4725"/>
      <c r="B4725"/>
      <c r="C4725"/>
      <c r="D4725"/>
    </row>
    <row r="4726" spans="1:4" x14ac:dyDescent="0.25">
      <c r="A4726"/>
      <c r="B4726"/>
      <c r="C4726"/>
      <c r="D4726"/>
    </row>
    <row r="4727" spans="1:4" x14ac:dyDescent="0.25">
      <c r="A4727"/>
      <c r="B4727"/>
      <c r="C4727"/>
      <c r="D4727"/>
    </row>
    <row r="4728" spans="1:4" x14ac:dyDescent="0.25">
      <c r="A4728"/>
      <c r="B4728"/>
      <c r="C4728"/>
      <c r="D4728"/>
    </row>
    <row r="4729" spans="1:4" x14ac:dyDescent="0.25">
      <c r="A4729"/>
      <c r="B4729"/>
      <c r="C4729"/>
      <c r="D4729"/>
    </row>
    <row r="4730" spans="1:4" x14ac:dyDescent="0.25">
      <c r="A4730"/>
      <c r="B4730"/>
      <c r="C4730"/>
      <c r="D4730"/>
    </row>
    <row r="4731" spans="1:4" x14ac:dyDescent="0.25">
      <c r="A4731"/>
      <c r="B4731"/>
      <c r="C4731"/>
      <c r="D4731"/>
    </row>
    <row r="4732" spans="1:4" x14ac:dyDescent="0.25">
      <c r="A4732"/>
      <c r="B4732"/>
      <c r="C4732"/>
      <c r="D4732"/>
    </row>
    <row r="4733" spans="1:4" x14ac:dyDescent="0.25">
      <c r="A4733"/>
      <c r="B4733"/>
      <c r="C4733"/>
      <c r="D4733"/>
    </row>
    <row r="4734" spans="1:4" x14ac:dyDescent="0.25">
      <c r="A4734"/>
      <c r="B4734"/>
      <c r="C4734"/>
      <c r="D4734"/>
    </row>
    <row r="4735" spans="1:4" x14ac:dyDescent="0.25">
      <c r="A4735"/>
      <c r="B4735"/>
      <c r="C4735"/>
      <c r="D4735"/>
    </row>
    <row r="4736" spans="1:4" x14ac:dyDescent="0.25">
      <c r="A4736"/>
      <c r="B4736"/>
      <c r="C4736"/>
      <c r="D4736"/>
    </row>
    <row r="4737" spans="1:4" x14ac:dyDescent="0.25">
      <c r="A4737"/>
      <c r="B4737"/>
      <c r="C4737"/>
      <c r="D4737"/>
    </row>
    <row r="4738" spans="1:4" x14ac:dyDescent="0.25">
      <c r="A4738"/>
      <c r="B4738"/>
      <c r="C4738"/>
      <c r="D4738"/>
    </row>
    <row r="4739" spans="1:4" x14ac:dyDescent="0.25">
      <c r="A4739"/>
      <c r="B4739"/>
      <c r="C4739"/>
      <c r="D4739"/>
    </row>
    <row r="4740" spans="1:4" x14ac:dyDescent="0.25">
      <c r="A4740"/>
      <c r="B4740"/>
      <c r="C4740"/>
      <c r="D4740"/>
    </row>
    <row r="4741" spans="1:4" x14ac:dyDescent="0.25">
      <c r="A4741"/>
      <c r="B4741"/>
      <c r="C4741"/>
      <c r="D4741"/>
    </row>
    <row r="4742" spans="1:4" x14ac:dyDescent="0.25">
      <c r="A4742"/>
      <c r="B4742"/>
      <c r="C4742"/>
      <c r="D4742"/>
    </row>
    <row r="4743" spans="1:4" x14ac:dyDescent="0.25">
      <c r="A4743"/>
      <c r="B4743"/>
      <c r="C4743"/>
      <c r="D4743"/>
    </row>
    <row r="4744" spans="1:4" x14ac:dyDescent="0.25">
      <c r="A4744"/>
      <c r="B4744"/>
      <c r="C4744"/>
      <c r="D4744"/>
    </row>
    <row r="4745" spans="1:4" x14ac:dyDescent="0.25">
      <c r="A4745"/>
      <c r="B4745"/>
      <c r="C4745"/>
      <c r="D4745"/>
    </row>
    <row r="4746" spans="1:4" x14ac:dyDescent="0.25">
      <c r="A4746"/>
      <c r="B4746"/>
      <c r="C4746"/>
      <c r="D4746"/>
    </row>
    <row r="4747" spans="1:4" x14ac:dyDescent="0.25">
      <c r="A4747"/>
      <c r="B4747"/>
      <c r="C4747"/>
      <c r="D4747"/>
    </row>
    <row r="4748" spans="1:4" x14ac:dyDescent="0.25">
      <c r="A4748"/>
      <c r="B4748"/>
      <c r="C4748"/>
      <c r="D4748"/>
    </row>
    <row r="4749" spans="1:4" x14ac:dyDescent="0.25">
      <c r="A4749"/>
      <c r="B4749"/>
      <c r="C4749"/>
      <c r="D4749"/>
    </row>
    <row r="4750" spans="1:4" x14ac:dyDescent="0.25">
      <c r="A4750"/>
      <c r="B4750"/>
      <c r="C4750"/>
      <c r="D4750"/>
    </row>
    <row r="4751" spans="1:4" x14ac:dyDescent="0.25">
      <c r="A4751"/>
      <c r="B4751"/>
      <c r="C4751"/>
      <c r="D4751"/>
    </row>
    <row r="4752" spans="1:4" x14ac:dyDescent="0.25">
      <c r="A4752"/>
      <c r="B4752"/>
      <c r="C4752"/>
      <c r="D4752"/>
    </row>
    <row r="4753" spans="1:4" x14ac:dyDescent="0.25">
      <c r="A4753"/>
      <c r="B4753"/>
      <c r="C4753"/>
      <c r="D4753"/>
    </row>
    <row r="4754" spans="1:4" x14ac:dyDescent="0.25">
      <c r="A4754"/>
      <c r="B4754"/>
      <c r="C4754"/>
      <c r="D4754"/>
    </row>
    <row r="4755" spans="1:4" x14ac:dyDescent="0.25">
      <c r="A4755"/>
      <c r="B4755"/>
      <c r="C4755"/>
      <c r="D4755"/>
    </row>
    <row r="4756" spans="1:4" x14ac:dyDescent="0.25">
      <c r="A4756"/>
      <c r="B4756"/>
      <c r="C4756"/>
      <c r="D4756"/>
    </row>
    <row r="4757" spans="1:4" x14ac:dyDescent="0.25">
      <c r="A4757"/>
      <c r="B4757"/>
      <c r="C4757"/>
      <c r="D4757"/>
    </row>
    <row r="4758" spans="1:4" x14ac:dyDescent="0.25">
      <c r="A4758"/>
      <c r="B4758"/>
      <c r="C4758"/>
      <c r="D4758"/>
    </row>
    <row r="4759" spans="1:4" x14ac:dyDescent="0.25">
      <c r="A4759"/>
      <c r="B4759"/>
      <c r="C4759"/>
      <c r="D4759"/>
    </row>
    <row r="4760" spans="1:4" x14ac:dyDescent="0.25">
      <c r="A4760"/>
      <c r="B4760"/>
      <c r="C4760"/>
      <c r="D4760"/>
    </row>
    <row r="4761" spans="1:4" x14ac:dyDescent="0.25">
      <c r="A4761"/>
      <c r="B4761"/>
      <c r="C4761"/>
      <c r="D4761"/>
    </row>
    <row r="4762" spans="1:4" x14ac:dyDescent="0.25">
      <c r="A4762"/>
      <c r="B4762"/>
      <c r="C4762"/>
      <c r="D4762"/>
    </row>
    <row r="4763" spans="1:4" x14ac:dyDescent="0.25">
      <c r="A4763"/>
      <c r="B4763"/>
      <c r="C4763"/>
      <c r="D4763"/>
    </row>
    <row r="4764" spans="1:4" x14ac:dyDescent="0.25">
      <c r="A4764"/>
      <c r="B4764"/>
      <c r="C4764"/>
      <c r="D4764"/>
    </row>
    <row r="4765" spans="1:4" x14ac:dyDescent="0.25">
      <c r="A4765"/>
      <c r="B4765"/>
      <c r="C4765"/>
      <c r="D4765"/>
    </row>
    <row r="4766" spans="1:4" x14ac:dyDescent="0.25">
      <c r="A4766"/>
      <c r="B4766"/>
      <c r="C4766"/>
      <c r="D4766"/>
    </row>
    <row r="4767" spans="1:4" x14ac:dyDescent="0.25">
      <c r="A4767"/>
      <c r="B4767"/>
      <c r="C4767"/>
      <c r="D4767"/>
    </row>
    <row r="4768" spans="1:4" x14ac:dyDescent="0.25">
      <c r="A4768"/>
      <c r="B4768"/>
      <c r="C4768"/>
      <c r="D4768"/>
    </row>
    <row r="4769" spans="1:4" x14ac:dyDescent="0.25">
      <c r="A4769"/>
      <c r="B4769"/>
      <c r="C4769"/>
      <c r="D4769"/>
    </row>
    <row r="4770" spans="1:4" x14ac:dyDescent="0.25">
      <c r="A4770"/>
      <c r="B4770"/>
      <c r="C4770"/>
      <c r="D4770"/>
    </row>
    <row r="4771" spans="1:4" x14ac:dyDescent="0.25">
      <c r="A4771"/>
      <c r="B4771"/>
      <c r="C4771"/>
      <c r="D4771"/>
    </row>
    <row r="4772" spans="1:4" x14ac:dyDescent="0.25">
      <c r="A4772"/>
      <c r="B4772"/>
      <c r="C4772"/>
      <c r="D4772"/>
    </row>
    <row r="4773" spans="1:4" x14ac:dyDescent="0.25">
      <c r="A4773"/>
      <c r="B4773"/>
      <c r="C4773"/>
      <c r="D4773"/>
    </row>
    <row r="4774" spans="1:4" x14ac:dyDescent="0.25">
      <c r="A4774"/>
      <c r="B4774"/>
      <c r="C4774"/>
      <c r="D4774"/>
    </row>
    <row r="4775" spans="1:4" x14ac:dyDescent="0.25">
      <c r="A4775"/>
      <c r="B4775"/>
      <c r="C4775"/>
      <c r="D4775"/>
    </row>
    <row r="4776" spans="1:4" x14ac:dyDescent="0.25">
      <c r="A4776"/>
      <c r="B4776"/>
      <c r="C4776"/>
      <c r="D4776"/>
    </row>
    <row r="4777" spans="1:4" x14ac:dyDescent="0.25">
      <c r="A4777"/>
      <c r="B4777"/>
      <c r="C4777"/>
      <c r="D4777"/>
    </row>
    <row r="4778" spans="1:4" x14ac:dyDescent="0.25">
      <c r="A4778"/>
      <c r="B4778"/>
      <c r="C4778"/>
      <c r="D4778"/>
    </row>
    <row r="4779" spans="1:4" x14ac:dyDescent="0.25">
      <c r="A4779"/>
      <c r="B4779"/>
      <c r="C4779"/>
      <c r="D4779"/>
    </row>
    <row r="4780" spans="1:4" x14ac:dyDescent="0.25">
      <c r="A4780"/>
      <c r="B4780"/>
      <c r="C4780"/>
      <c r="D4780"/>
    </row>
    <row r="4781" spans="1:4" x14ac:dyDescent="0.25">
      <c r="A4781"/>
      <c r="B4781"/>
      <c r="C4781"/>
      <c r="D4781"/>
    </row>
    <row r="4782" spans="1:4" x14ac:dyDescent="0.25">
      <c r="A4782"/>
      <c r="B4782"/>
      <c r="C4782"/>
      <c r="D4782"/>
    </row>
    <row r="4783" spans="1:4" x14ac:dyDescent="0.25">
      <c r="A4783"/>
      <c r="B4783"/>
      <c r="C4783"/>
      <c r="D4783"/>
    </row>
    <row r="4784" spans="1:4" x14ac:dyDescent="0.25">
      <c r="A4784"/>
      <c r="B4784"/>
      <c r="C4784"/>
      <c r="D4784"/>
    </row>
    <row r="4785" spans="1:4" x14ac:dyDescent="0.25">
      <c r="A4785"/>
      <c r="B4785"/>
      <c r="C4785"/>
      <c r="D4785"/>
    </row>
    <row r="4786" spans="1:4" x14ac:dyDescent="0.25">
      <c r="A4786"/>
      <c r="B4786"/>
      <c r="C4786"/>
      <c r="D4786"/>
    </row>
    <row r="4787" spans="1:4" x14ac:dyDescent="0.25">
      <c r="A4787"/>
      <c r="B4787"/>
      <c r="C4787"/>
      <c r="D4787"/>
    </row>
    <row r="4788" spans="1:4" x14ac:dyDescent="0.25">
      <c r="A4788"/>
      <c r="B4788"/>
      <c r="C4788"/>
      <c r="D4788"/>
    </row>
    <row r="4789" spans="1:4" x14ac:dyDescent="0.25">
      <c r="A4789"/>
      <c r="B4789"/>
      <c r="C4789"/>
      <c r="D4789"/>
    </row>
    <row r="4790" spans="1:4" x14ac:dyDescent="0.25">
      <c r="A4790"/>
      <c r="B4790"/>
      <c r="C4790"/>
      <c r="D4790"/>
    </row>
    <row r="4791" spans="1:4" x14ac:dyDescent="0.25">
      <c r="A4791"/>
      <c r="B4791"/>
      <c r="C4791"/>
      <c r="D4791"/>
    </row>
    <row r="4792" spans="1:4" x14ac:dyDescent="0.25">
      <c r="A4792"/>
      <c r="B4792"/>
      <c r="C4792"/>
      <c r="D4792"/>
    </row>
    <row r="4793" spans="1:4" x14ac:dyDescent="0.25">
      <c r="A4793"/>
      <c r="B4793"/>
      <c r="C4793"/>
      <c r="D4793"/>
    </row>
    <row r="4794" spans="1:4" x14ac:dyDescent="0.25">
      <c r="A4794"/>
      <c r="B4794"/>
      <c r="C4794"/>
      <c r="D4794"/>
    </row>
    <row r="4795" spans="1:4" x14ac:dyDescent="0.25">
      <c r="A4795"/>
      <c r="B4795"/>
      <c r="C4795"/>
      <c r="D4795"/>
    </row>
    <row r="4796" spans="1:4" x14ac:dyDescent="0.25">
      <c r="A4796"/>
      <c r="B4796"/>
      <c r="C4796"/>
      <c r="D4796"/>
    </row>
    <row r="4797" spans="1:4" x14ac:dyDescent="0.25">
      <c r="A4797"/>
      <c r="B4797"/>
      <c r="C4797"/>
      <c r="D4797"/>
    </row>
    <row r="4798" spans="1:4" x14ac:dyDescent="0.25">
      <c r="A4798"/>
      <c r="B4798"/>
      <c r="C4798"/>
      <c r="D4798"/>
    </row>
    <row r="4799" spans="1:4" x14ac:dyDescent="0.25">
      <c r="A4799"/>
      <c r="B4799"/>
      <c r="C4799"/>
      <c r="D4799"/>
    </row>
    <row r="4800" spans="1:4" x14ac:dyDescent="0.25">
      <c r="A4800"/>
      <c r="B4800"/>
      <c r="C4800"/>
      <c r="D4800"/>
    </row>
    <row r="4801" spans="1:4" x14ac:dyDescent="0.25">
      <c r="A4801"/>
      <c r="B4801"/>
      <c r="C4801"/>
      <c r="D4801"/>
    </row>
    <row r="4802" spans="1:4" x14ac:dyDescent="0.25">
      <c r="A4802"/>
      <c r="B4802"/>
      <c r="C4802"/>
      <c r="D4802"/>
    </row>
    <row r="4803" spans="1:4" x14ac:dyDescent="0.25">
      <c r="A4803"/>
      <c r="B4803"/>
      <c r="C4803"/>
      <c r="D4803"/>
    </row>
    <row r="4804" spans="1:4" x14ac:dyDescent="0.25">
      <c r="A4804"/>
      <c r="B4804"/>
      <c r="C4804"/>
      <c r="D4804"/>
    </row>
    <row r="4805" spans="1:4" x14ac:dyDescent="0.25">
      <c r="A4805"/>
      <c r="B4805"/>
      <c r="C4805"/>
      <c r="D4805"/>
    </row>
    <row r="4806" spans="1:4" x14ac:dyDescent="0.25">
      <c r="A4806"/>
      <c r="B4806"/>
      <c r="C4806"/>
      <c r="D4806"/>
    </row>
    <row r="4807" spans="1:4" x14ac:dyDescent="0.25">
      <c r="A4807"/>
      <c r="B4807"/>
      <c r="C4807"/>
      <c r="D4807"/>
    </row>
    <row r="4808" spans="1:4" x14ac:dyDescent="0.25">
      <c r="A4808"/>
      <c r="B4808"/>
      <c r="C4808"/>
      <c r="D4808"/>
    </row>
    <row r="4809" spans="1:4" x14ac:dyDescent="0.25">
      <c r="A4809"/>
      <c r="B4809"/>
      <c r="C4809"/>
      <c r="D4809"/>
    </row>
    <row r="4810" spans="1:4" x14ac:dyDescent="0.25">
      <c r="A4810"/>
      <c r="B4810"/>
      <c r="C4810"/>
      <c r="D4810"/>
    </row>
    <row r="4811" spans="1:4" x14ac:dyDescent="0.25">
      <c r="A4811"/>
      <c r="B4811"/>
      <c r="C4811"/>
      <c r="D4811"/>
    </row>
    <row r="4812" spans="1:4" x14ac:dyDescent="0.25">
      <c r="A4812"/>
      <c r="B4812"/>
      <c r="C4812"/>
      <c r="D4812"/>
    </row>
    <row r="4813" spans="1:4" x14ac:dyDescent="0.25">
      <c r="A4813"/>
      <c r="B4813"/>
      <c r="C4813"/>
      <c r="D4813"/>
    </row>
    <row r="4814" spans="1:4" x14ac:dyDescent="0.25">
      <c r="A4814"/>
      <c r="B4814"/>
      <c r="C4814"/>
      <c r="D4814"/>
    </row>
    <row r="4815" spans="1:4" x14ac:dyDescent="0.25">
      <c r="A4815"/>
      <c r="B4815"/>
      <c r="C4815"/>
      <c r="D4815"/>
    </row>
    <row r="4816" spans="1:4" x14ac:dyDescent="0.25">
      <c r="A4816"/>
      <c r="B4816"/>
      <c r="C4816"/>
      <c r="D4816"/>
    </row>
    <row r="4817" spans="1:4" x14ac:dyDescent="0.25">
      <c r="A4817"/>
      <c r="B4817"/>
      <c r="C4817"/>
      <c r="D4817"/>
    </row>
    <row r="4818" spans="1:4" x14ac:dyDescent="0.25">
      <c r="A4818"/>
      <c r="B4818"/>
      <c r="C4818"/>
      <c r="D4818"/>
    </row>
    <row r="4819" spans="1:4" x14ac:dyDescent="0.25">
      <c r="A4819"/>
      <c r="B4819"/>
      <c r="C4819"/>
      <c r="D4819"/>
    </row>
    <row r="4820" spans="1:4" x14ac:dyDescent="0.25">
      <c r="A4820"/>
      <c r="B4820"/>
      <c r="C4820"/>
      <c r="D4820"/>
    </row>
    <row r="4821" spans="1:4" x14ac:dyDescent="0.25">
      <c r="A4821"/>
      <c r="B4821"/>
      <c r="C4821"/>
      <c r="D4821"/>
    </row>
    <row r="4822" spans="1:4" x14ac:dyDescent="0.25">
      <c r="A4822"/>
      <c r="B4822"/>
      <c r="C4822"/>
      <c r="D4822"/>
    </row>
    <row r="4823" spans="1:4" x14ac:dyDescent="0.25">
      <c r="A4823"/>
      <c r="B4823"/>
      <c r="C4823"/>
      <c r="D4823"/>
    </row>
    <row r="4824" spans="1:4" x14ac:dyDescent="0.25">
      <c r="A4824"/>
      <c r="B4824"/>
      <c r="C4824"/>
      <c r="D4824"/>
    </row>
    <row r="4825" spans="1:4" x14ac:dyDescent="0.25">
      <c r="A4825"/>
      <c r="B4825"/>
      <c r="C4825"/>
      <c r="D4825"/>
    </row>
    <row r="4826" spans="1:4" x14ac:dyDescent="0.25">
      <c r="A4826"/>
      <c r="B4826"/>
      <c r="C4826"/>
      <c r="D4826"/>
    </row>
    <row r="4827" spans="1:4" x14ac:dyDescent="0.25">
      <c r="A4827"/>
      <c r="B4827"/>
      <c r="C4827"/>
      <c r="D4827"/>
    </row>
    <row r="4828" spans="1:4" x14ac:dyDescent="0.25">
      <c r="A4828"/>
      <c r="B4828"/>
      <c r="C4828"/>
      <c r="D4828"/>
    </row>
    <row r="4829" spans="1:4" x14ac:dyDescent="0.25">
      <c r="A4829"/>
      <c r="B4829"/>
      <c r="C4829"/>
      <c r="D4829"/>
    </row>
    <row r="4830" spans="1:4" x14ac:dyDescent="0.25">
      <c r="A4830"/>
      <c r="B4830"/>
      <c r="C4830"/>
      <c r="D4830"/>
    </row>
    <row r="4831" spans="1:4" x14ac:dyDescent="0.25">
      <c r="A4831"/>
      <c r="B4831"/>
      <c r="C4831"/>
      <c r="D4831"/>
    </row>
    <row r="4832" spans="1:4" x14ac:dyDescent="0.25">
      <c r="A4832"/>
      <c r="B4832"/>
      <c r="C4832"/>
      <c r="D4832"/>
    </row>
    <row r="4833" spans="1:4" x14ac:dyDescent="0.25">
      <c r="A4833"/>
      <c r="B4833"/>
      <c r="C4833"/>
      <c r="D4833"/>
    </row>
    <row r="4834" spans="1:4" x14ac:dyDescent="0.25">
      <c r="A4834"/>
      <c r="B4834"/>
      <c r="C4834"/>
      <c r="D4834"/>
    </row>
    <row r="4835" spans="1:4" x14ac:dyDescent="0.25">
      <c r="A4835"/>
      <c r="B4835"/>
      <c r="C4835"/>
      <c r="D4835"/>
    </row>
    <row r="4836" spans="1:4" x14ac:dyDescent="0.25">
      <c r="A4836"/>
      <c r="B4836"/>
      <c r="C4836"/>
      <c r="D4836"/>
    </row>
    <row r="4837" spans="1:4" x14ac:dyDescent="0.25">
      <c r="A4837"/>
      <c r="B4837"/>
      <c r="C4837"/>
      <c r="D4837"/>
    </row>
    <row r="4838" spans="1:4" x14ac:dyDescent="0.25">
      <c r="A4838"/>
      <c r="B4838"/>
      <c r="C4838"/>
      <c r="D4838"/>
    </row>
    <row r="4839" spans="1:4" x14ac:dyDescent="0.25">
      <c r="A4839"/>
      <c r="B4839"/>
      <c r="C4839"/>
      <c r="D4839"/>
    </row>
    <row r="4840" spans="1:4" x14ac:dyDescent="0.25">
      <c r="A4840"/>
      <c r="B4840"/>
      <c r="C4840"/>
      <c r="D4840"/>
    </row>
    <row r="4841" spans="1:4" x14ac:dyDescent="0.25">
      <c r="A4841"/>
      <c r="B4841"/>
      <c r="C4841"/>
      <c r="D4841"/>
    </row>
    <row r="4842" spans="1:4" x14ac:dyDescent="0.25">
      <c r="A4842"/>
      <c r="B4842"/>
      <c r="C4842"/>
      <c r="D4842"/>
    </row>
    <row r="4843" spans="1:4" x14ac:dyDescent="0.25">
      <c r="A4843"/>
      <c r="B4843"/>
      <c r="C4843"/>
      <c r="D4843"/>
    </row>
    <row r="4844" spans="1:4" x14ac:dyDescent="0.25">
      <c r="A4844"/>
      <c r="B4844"/>
      <c r="C4844"/>
      <c r="D4844"/>
    </row>
    <row r="4845" spans="1:4" x14ac:dyDescent="0.25">
      <c r="A4845"/>
      <c r="B4845"/>
      <c r="C4845"/>
      <c r="D4845"/>
    </row>
    <row r="4846" spans="1:4" x14ac:dyDescent="0.25">
      <c r="A4846"/>
      <c r="B4846"/>
      <c r="C4846"/>
      <c r="D4846"/>
    </row>
    <row r="4847" spans="1:4" x14ac:dyDescent="0.25">
      <c r="A4847"/>
      <c r="B4847"/>
      <c r="C4847"/>
      <c r="D4847"/>
    </row>
    <row r="4848" spans="1:4" x14ac:dyDescent="0.25">
      <c r="A4848"/>
      <c r="B4848"/>
      <c r="C4848"/>
      <c r="D4848"/>
    </row>
    <row r="4849" spans="1:4" x14ac:dyDescent="0.25">
      <c r="A4849"/>
      <c r="B4849"/>
      <c r="C4849"/>
      <c r="D4849"/>
    </row>
    <row r="4850" spans="1:4" x14ac:dyDescent="0.25">
      <c r="A4850"/>
      <c r="B4850"/>
      <c r="C4850"/>
      <c r="D4850"/>
    </row>
    <row r="4851" spans="1:4" x14ac:dyDescent="0.25">
      <c r="A4851"/>
      <c r="B4851"/>
      <c r="C4851"/>
      <c r="D4851"/>
    </row>
    <row r="4852" spans="1:4" x14ac:dyDescent="0.25">
      <c r="A4852"/>
      <c r="B4852"/>
      <c r="C4852"/>
      <c r="D4852"/>
    </row>
    <row r="4853" spans="1:4" x14ac:dyDescent="0.25">
      <c r="A4853"/>
      <c r="B4853"/>
      <c r="C4853"/>
      <c r="D4853"/>
    </row>
    <row r="4854" spans="1:4" x14ac:dyDescent="0.25">
      <c r="A4854"/>
      <c r="B4854"/>
      <c r="C4854"/>
      <c r="D4854"/>
    </row>
    <row r="4855" spans="1:4" x14ac:dyDescent="0.25">
      <c r="A4855"/>
      <c r="B4855"/>
      <c r="C4855"/>
      <c r="D4855"/>
    </row>
    <row r="4856" spans="1:4" x14ac:dyDescent="0.25">
      <c r="A4856"/>
      <c r="B4856"/>
      <c r="C4856"/>
      <c r="D4856"/>
    </row>
    <row r="4857" spans="1:4" x14ac:dyDescent="0.25">
      <c r="A4857"/>
      <c r="B4857"/>
      <c r="C4857"/>
      <c r="D4857"/>
    </row>
    <row r="4858" spans="1:4" x14ac:dyDescent="0.25">
      <c r="A4858"/>
      <c r="B4858"/>
      <c r="C4858"/>
      <c r="D4858"/>
    </row>
    <row r="4859" spans="1:4" x14ac:dyDescent="0.25">
      <c r="A4859"/>
      <c r="B4859"/>
      <c r="C4859"/>
      <c r="D4859"/>
    </row>
    <row r="4860" spans="1:4" x14ac:dyDescent="0.25">
      <c r="A4860"/>
      <c r="B4860"/>
      <c r="C4860"/>
      <c r="D4860"/>
    </row>
    <row r="4861" spans="1:4" x14ac:dyDescent="0.25">
      <c r="A4861"/>
      <c r="B4861"/>
      <c r="C4861"/>
      <c r="D4861"/>
    </row>
    <row r="4862" spans="1:4" x14ac:dyDescent="0.25">
      <c r="A4862"/>
      <c r="B4862"/>
      <c r="C4862"/>
      <c r="D4862"/>
    </row>
    <row r="4863" spans="1:4" x14ac:dyDescent="0.25">
      <c r="A4863"/>
      <c r="B4863"/>
      <c r="C4863"/>
      <c r="D4863"/>
    </row>
    <row r="4864" spans="1:4" x14ac:dyDescent="0.25">
      <c r="A4864"/>
      <c r="B4864"/>
      <c r="C4864"/>
      <c r="D4864"/>
    </row>
    <row r="4865" spans="1:4" x14ac:dyDescent="0.25">
      <c r="A4865"/>
      <c r="B4865"/>
      <c r="C4865"/>
      <c r="D4865"/>
    </row>
    <row r="4866" spans="1:4" x14ac:dyDescent="0.25">
      <c r="A4866"/>
      <c r="B4866"/>
      <c r="C4866"/>
      <c r="D4866"/>
    </row>
    <row r="4867" spans="1:4" x14ac:dyDescent="0.25">
      <c r="A4867"/>
      <c r="B4867"/>
      <c r="C4867"/>
      <c r="D4867"/>
    </row>
    <row r="4868" spans="1:4" x14ac:dyDescent="0.25">
      <c r="A4868"/>
      <c r="B4868"/>
      <c r="C4868"/>
      <c r="D4868"/>
    </row>
    <row r="4869" spans="1:4" x14ac:dyDescent="0.25">
      <c r="A4869"/>
      <c r="B4869"/>
      <c r="C4869"/>
      <c r="D4869"/>
    </row>
    <row r="4870" spans="1:4" x14ac:dyDescent="0.25">
      <c r="A4870"/>
      <c r="B4870"/>
      <c r="C4870"/>
      <c r="D4870"/>
    </row>
    <row r="4871" spans="1:4" x14ac:dyDescent="0.25">
      <c r="A4871"/>
      <c r="B4871"/>
      <c r="C4871"/>
      <c r="D4871"/>
    </row>
    <row r="4872" spans="1:4" x14ac:dyDescent="0.25">
      <c r="A4872"/>
      <c r="B4872"/>
      <c r="C4872"/>
      <c r="D4872"/>
    </row>
    <row r="4873" spans="1:4" x14ac:dyDescent="0.25">
      <c r="A4873"/>
      <c r="B4873"/>
      <c r="C4873"/>
      <c r="D4873"/>
    </row>
    <row r="4874" spans="1:4" x14ac:dyDescent="0.25">
      <c r="A4874"/>
      <c r="B4874"/>
      <c r="C4874"/>
      <c r="D4874"/>
    </row>
    <row r="4875" spans="1:4" x14ac:dyDescent="0.25">
      <c r="A4875"/>
      <c r="B4875"/>
      <c r="C4875"/>
      <c r="D4875"/>
    </row>
    <row r="4876" spans="1:4" x14ac:dyDescent="0.25">
      <c r="A4876"/>
      <c r="B4876"/>
      <c r="C4876"/>
      <c r="D4876"/>
    </row>
    <row r="4877" spans="1:4" x14ac:dyDescent="0.25">
      <c r="A4877"/>
      <c r="B4877"/>
      <c r="C4877"/>
      <c r="D4877"/>
    </row>
    <row r="4878" spans="1:4" x14ac:dyDescent="0.25">
      <c r="A4878"/>
      <c r="B4878"/>
      <c r="C4878"/>
      <c r="D4878"/>
    </row>
    <row r="4879" spans="1:4" x14ac:dyDescent="0.25">
      <c r="A4879"/>
      <c r="B4879"/>
      <c r="C4879"/>
      <c r="D4879"/>
    </row>
    <row r="4880" spans="1:4" x14ac:dyDescent="0.25">
      <c r="A4880"/>
      <c r="B4880"/>
      <c r="C4880"/>
      <c r="D4880"/>
    </row>
    <row r="4881" spans="1:4" x14ac:dyDescent="0.25">
      <c r="A4881"/>
      <c r="B4881"/>
      <c r="C4881"/>
      <c r="D4881"/>
    </row>
    <row r="4882" spans="1:4" x14ac:dyDescent="0.25">
      <c r="A4882"/>
      <c r="B4882"/>
      <c r="C4882"/>
      <c r="D4882"/>
    </row>
    <row r="4883" spans="1:4" x14ac:dyDescent="0.25">
      <c r="A4883"/>
      <c r="B4883"/>
      <c r="C4883"/>
      <c r="D4883"/>
    </row>
    <row r="4884" spans="1:4" x14ac:dyDescent="0.25">
      <c r="A4884"/>
      <c r="B4884"/>
      <c r="C4884"/>
      <c r="D4884"/>
    </row>
    <row r="4885" spans="1:4" x14ac:dyDescent="0.25">
      <c r="A4885"/>
      <c r="B4885"/>
      <c r="C4885"/>
      <c r="D4885"/>
    </row>
    <row r="4886" spans="1:4" x14ac:dyDescent="0.25">
      <c r="A4886"/>
      <c r="B4886"/>
      <c r="C4886"/>
      <c r="D4886"/>
    </row>
    <row r="4887" spans="1:4" x14ac:dyDescent="0.25">
      <c r="A4887"/>
      <c r="B4887"/>
      <c r="C4887"/>
      <c r="D4887"/>
    </row>
    <row r="4888" spans="1:4" x14ac:dyDescent="0.25">
      <c r="A4888"/>
      <c r="B4888"/>
      <c r="C4888"/>
      <c r="D4888"/>
    </row>
    <row r="4889" spans="1:4" x14ac:dyDescent="0.25">
      <c r="A4889"/>
      <c r="B4889"/>
      <c r="C4889"/>
      <c r="D4889"/>
    </row>
    <row r="4890" spans="1:4" x14ac:dyDescent="0.25">
      <c r="A4890"/>
      <c r="B4890"/>
      <c r="C4890"/>
      <c r="D4890"/>
    </row>
    <row r="4891" spans="1:4" x14ac:dyDescent="0.25">
      <c r="A4891"/>
      <c r="B4891"/>
      <c r="C4891"/>
      <c r="D4891"/>
    </row>
    <row r="4892" spans="1:4" x14ac:dyDescent="0.25">
      <c r="A4892"/>
      <c r="B4892"/>
      <c r="C4892"/>
      <c r="D4892"/>
    </row>
    <row r="4893" spans="1:4" x14ac:dyDescent="0.25">
      <c r="A4893"/>
      <c r="B4893"/>
      <c r="C4893"/>
      <c r="D4893"/>
    </row>
    <row r="4894" spans="1:4" x14ac:dyDescent="0.25">
      <c r="A4894"/>
      <c r="B4894"/>
      <c r="C4894"/>
      <c r="D4894"/>
    </row>
    <row r="4895" spans="1:4" x14ac:dyDescent="0.25">
      <c r="A4895"/>
      <c r="B4895"/>
      <c r="C4895"/>
      <c r="D4895"/>
    </row>
    <row r="4896" spans="1:4" x14ac:dyDescent="0.25">
      <c r="A4896"/>
      <c r="B4896"/>
      <c r="C4896"/>
      <c r="D4896"/>
    </row>
    <row r="4897" spans="1:4" x14ac:dyDescent="0.25">
      <c r="A4897"/>
      <c r="B4897"/>
      <c r="C4897"/>
      <c r="D4897"/>
    </row>
    <row r="4898" spans="1:4" x14ac:dyDescent="0.25">
      <c r="A4898"/>
      <c r="B4898"/>
      <c r="C4898"/>
      <c r="D4898"/>
    </row>
    <row r="4899" spans="1:4" x14ac:dyDescent="0.25">
      <c r="A4899"/>
      <c r="B4899"/>
      <c r="C4899"/>
      <c r="D4899"/>
    </row>
    <row r="4900" spans="1:4" x14ac:dyDescent="0.25">
      <c r="A4900"/>
      <c r="B4900"/>
      <c r="C4900"/>
      <c r="D4900"/>
    </row>
    <row r="4901" spans="1:4" x14ac:dyDescent="0.25">
      <c r="A4901"/>
      <c r="B4901"/>
      <c r="C4901"/>
      <c r="D4901"/>
    </row>
    <row r="4902" spans="1:4" x14ac:dyDescent="0.25">
      <c r="A4902"/>
      <c r="B4902"/>
      <c r="C4902"/>
      <c r="D4902"/>
    </row>
    <row r="4903" spans="1:4" x14ac:dyDescent="0.25">
      <c r="A4903"/>
      <c r="B4903"/>
      <c r="C4903"/>
      <c r="D4903"/>
    </row>
    <row r="4904" spans="1:4" x14ac:dyDescent="0.25">
      <c r="A4904"/>
      <c r="B4904"/>
      <c r="C4904"/>
      <c r="D4904"/>
    </row>
    <row r="4905" spans="1:4" x14ac:dyDescent="0.25">
      <c r="A4905"/>
      <c r="B4905"/>
      <c r="C4905"/>
      <c r="D4905"/>
    </row>
    <row r="4906" spans="1:4" x14ac:dyDescent="0.25">
      <c r="A4906"/>
      <c r="B4906"/>
      <c r="C4906"/>
      <c r="D4906"/>
    </row>
    <row r="4907" spans="1:4" x14ac:dyDescent="0.25">
      <c r="A4907"/>
      <c r="B4907"/>
      <c r="C4907"/>
      <c r="D4907"/>
    </row>
    <row r="4908" spans="1:4" x14ac:dyDescent="0.25">
      <c r="A4908"/>
      <c r="B4908"/>
      <c r="C4908"/>
      <c r="D4908"/>
    </row>
    <row r="4909" spans="1:4" x14ac:dyDescent="0.25">
      <c r="A4909"/>
      <c r="B4909"/>
      <c r="C4909"/>
      <c r="D4909"/>
    </row>
    <row r="4910" spans="1:4" x14ac:dyDescent="0.25">
      <c r="A4910"/>
      <c r="B4910"/>
      <c r="C4910"/>
      <c r="D4910"/>
    </row>
    <row r="4911" spans="1:4" x14ac:dyDescent="0.25">
      <c r="A4911"/>
      <c r="B4911"/>
      <c r="C4911"/>
      <c r="D4911"/>
    </row>
    <row r="4912" spans="1:4" x14ac:dyDescent="0.25">
      <c r="A4912"/>
      <c r="B4912"/>
      <c r="C4912"/>
      <c r="D4912"/>
    </row>
    <row r="4913" spans="1:4" x14ac:dyDescent="0.25">
      <c r="A4913"/>
      <c r="B4913"/>
      <c r="C4913"/>
      <c r="D4913"/>
    </row>
  </sheetData>
  <sheetProtection selectLockedCells="1"/>
  <sortState xmlns:xlrd2="http://schemas.microsoft.com/office/spreadsheetml/2017/richdata2" ref="A3:E4952">
    <sortCondition ref="D1:D4952"/>
  </sortState>
  <dataConsolidate/>
  <phoneticPr fontId="6" type="noConversion"/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4061E-F9D3-4D33-BE29-E69534923C75}">
  <sheetPr codeName="Sheet6"/>
  <dimension ref="A1:H2"/>
  <sheetViews>
    <sheetView zoomScaleNormal="100" workbookViewId="0">
      <selection activeCell="E2" sqref="E2"/>
    </sheetView>
  </sheetViews>
  <sheetFormatPr defaultRowHeight="15.75" x14ac:dyDescent="0.25"/>
  <cols>
    <col min="1" max="1" width="9.28515625" style="97" bestFit="1" customWidth="1"/>
    <col min="2" max="2" width="15.140625" style="98" bestFit="1" customWidth="1"/>
    <col min="3" max="3" width="8.28515625" style="97" customWidth="1"/>
    <col min="4" max="4" width="42.5703125" style="97" customWidth="1"/>
    <col min="5" max="6" width="35.28515625" style="97" customWidth="1"/>
    <col min="7" max="7" width="21.28515625" style="97" bestFit="1" customWidth="1"/>
    <col min="8" max="8" width="26.42578125" style="99" customWidth="1"/>
  </cols>
  <sheetData>
    <row r="1" spans="1:8" s="76" customFormat="1" ht="59.25" customHeight="1" thickTop="1" thickBot="1" x14ac:dyDescent="0.3">
      <c r="A1" s="77" t="s">
        <v>71</v>
      </c>
      <c r="B1" s="96" t="s">
        <v>65</v>
      </c>
      <c r="C1" s="77" t="s">
        <v>51</v>
      </c>
      <c r="D1" s="77" t="s">
        <v>66</v>
      </c>
      <c r="E1" s="77" t="s">
        <v>69</v>
      </c>
      <c r="F1" s="78" t="s">
        <v>67</v>
      </c>
      <c r="G1" s="84" t="s">
        <v>68</v>
      </c>
      <c r="H1" s="87" t="s">
        <v>70</v>
      </c>
    </row>
    <row r="2" spans="1:8" ht="16.5" thickTop="1" x14ac:dyDescent="0.25">
      <c r="A2" s="97">
        <v>2</v>
      </c>
      <c r="B2" s="98">
        <v>10006</v>
      </c>
      <c r="C2" s="97">
        <v>11.3</v>
      </c>
      <c r="D2" s="97" t="s">
        <v>88</v>
      </c>
      <c r="E2" s="97">
        <v>123456789</v>
      </c>
      <c r="F2" s="97" t="s">
        <v>83</v>
      </c>
      <c r="H2" s="99">
        <v>44381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4752D-6D28-4332-88C7-FBF7B017C999}">
  <sheetPr codeName="Sheet4"/>
  <dimension ref="A1:S44"/>
  <sheetViews>
    <sheetView showGridLines="0" showRowColHeaders="0" zoomScale="115" zoomScaleNormal="115" workbookViewId="0">
      <selection activeCell="D8" sqref="D8:G10"/>
    </sheetView>
  </sheetViews>
  <sheetFormatPr defaultRowHeight="15" x14ac:dyDescent="0.25"/>
  <cols>
    <col min="1" max="1" width="7" style="2" customWidth="1"/>
    <col min="2" max="2" width="7" style="2" hidden="1" customWidth="1"/>
    <col min="3" max="3" width="42.140625" style="2" customWidth="1"/>
    <col min="4" max="4" width="10.28515625" style="2" customWidth="1"/>
    <col min="5" max="5" width="9.28515625" style="2" customWidth="1"/>
    <col min="6" max="7" width="14" style="2" customWidth="1"/>
    <col min="8" max="14" width="9.140625" style="2"/>
    <col min="15" max="15" width="13.85546875" style="2" hidden="1" customWidth="1"/>
    <col min="16" max="16" width="11.85546875" style="2" hidden="1" customWidth="1"/>
    <col min="17" max="19" width="9.140625" style="2"/>
  </cols>
  <sheetData>
    <row r="1" spans="1:16" ht="18" customHeight="1" x14ac:dyDescent="0.25">
      <c r="A1" s="1"/>
      <c r="B1" s="1"/>
      <c r="C1" s="3"/>
      <c r="D1" s="1"/>
      <c r="E1" s="68"/>
      <c r="F1" s="68"/>
      <c r="G1" s="68"/>
    </row>
    <row r="2" spans="1:16" ht="18" customHeight="1" x14ac:dyDescent="0.25">
      <c r="A2" s="1"/>
      <c r="B2" s="1"/>
      <c r="C2" s="1"/>
      <c r="D2" s="1"/>
      <c r="E2" s="68"/>
      <c r="F2" s="142">
        <v>10007</v>
      </c>
      <c r="G2" s="142"/>
    </row>
    <row r="3" spans="1:16" ht="18" customHeight="1" x14ac:dyDescent="0.25">
      <c r="A3" s="1"/>
      <c r="B3" s="1"/>
      <c r="C3" s="1"/>
      <c r="D3" s="1"/>
      <c r="E3" s="1"/>
      <c r="F3" s="142"/>
      <c r="G3" s="142"/>
    </row>
    <row r="4" spans="1:16" ht="12" customHeight="1" x14ac:dyDescent="0.25">
      <c r="A4" s="1"/>
      <c r="B4" s="1"/>
      <c r="C4" s="69"/>
      <c r="D4" s="69"/>
      <c r="E4" s="69"/>
      <c r="F4" s="69"/>
      <c r="G4" s="70"/>
    </row>
    <row r="5" spans="1:16" ht="21" customHeight="1" x14ac:dyDescent="0.25">
      <c r="A5" s="137" t="s">
        <v>2</v>
      </c>
      <c r="B5" s="137"/>
      <c r="C5" s="137"/>
      <c r="D5" s="138"/>
      <c r="E5" s="138"/>
      <c r="F5" s="138"/>
      <c r="G5" s="138"/>
    </row>
    <row r="6" spans="1:16" ht="21" customHeight="1" x14ac:dyDescent="0.25">
      <c r="A6" s="137" t="s">
        <v>55</v>
      </c>
      <c r="B6" s="137"/>
      <c r="C6" s="137"/>
      <c r="D6" s="138"/>
      <c r="E6" s="138"/>
      <c r="F6" s="138"/>
      <c r="G6" s="138"/>
      <c r="O6" s="71" t="s">
        <v>60</v>
      </c>
      <c r="P6" s="71">
        <f>D5</f>
        <v>0</v>
      </c>
    </row>
    <row r="7" spans="1:16" ht="21" customHeight="1" x14ac:dyDescent="0.25">
      <c r="A7" s="120" t="s">
        <v>3</v>
      </c>
      <c r="B7" s="120"/>
      <c r="C7" s="120"/>
      <c r="D7" s="120"/>
      <c r="E7" s="120"/>
      <c r="F7" s="120"/>
      <c r="G7" s="120"/>
      <c r="O7" s="71" t="s">
        <v>61</v>
      </c>
      <c r="P7" s="85">
        <f>D6</f>
        <v>0</v>
      </c>
    </row>
    <row r="8" spans="1:16" ht="21" customHeight="1" x14ac:dyDescent="0.25">
      <c r="A8" s="137" t="s">
        <v>4</v>
      </c>
      <c r="B8" s="137"/>
      <c r="C8" s="137"/>
      <c r="D8" s="138"/>
      <c r="E8" s="138"/>
      <c r="F8" s="138"/>
      <c r="G8" s="138"/>
      <c r="O8" s="71"/>
      <c r="P8" s="71"/>
    </row>
    <row r="9" spans="1:16" ht="21" customHeight="1" x14ac:dyDescent="0.25">
      <c r="A9" s="137" t="s">
        <v>5</v>
      </c>
      <c r="B9" s="137"/>
      <c r="C9" s="137"/>
      <c r="D9" s="138"/>
      <c r="E9" s="138"/>
      <c r="F9" s="138"/>
      <c r="G9" s="138"/>
      <c r="O9" s="71" t="s">
        <v>62</v>
      </c>
      <c r="P9" s="85">
        <f>D8</f>
        <v>0</v>
      </c>
    </row>
    <row r="10" spans="1:16" ht="21" customHeight="1" x14ac:dyDescent="0.25">
      <c r="A10" s="143" t="s">
        <v>7</v>
      </c>
      <c r="B10" s="144"/>
      <c r="C10" s="145"/>
      <c r="D10" s="138"/>
      <c r="E10" s="138"/>
      <c r="F10" s="138"/>
      <c r="G10" s="138"/>
      <c r="O10" s="71" t="s">
        <v>63</v>
      </c>
      <c r="P10" s="71">
        <f>D10</f>
        <v>0</v>
      </c>
    </row>
    <row r="11" spans="1:16" ht="21" customHeight="1" x14ac:dyDescent="0.25">
      <c r="A11" s="137" t="s">
        <v>56</v>
      </c>
      <c r="B11" s="137"/>
      <c r="C11" s="137"/>
      <c r="D11" s="138"/>
      <c r="E11" s="138"/>
      <c r="F11" s="138"/>
      <c r="G11" s="138"/>
      <c r="O11" s="71" t="s">
        <v>64</v>
      </c>
      <c r="P11" s="71">
        <f>D11</f>
        <v>0</v>
      </c>
    </row>
    <row r="12" spans="1:16" ht="21" customHeight="1" x14ac:dyDescent="0.25">
      <c r="A12" s="137" t="s">
        <v>57</v>
      </c>
      <c r="B12" s="137"/>
      <c r="C12" s="137"/>
      <c r="D12" s="138"/>
      <c r="E12" s="138"/>
      <c r="F12" s="138"/>
      <c r="G12" s="138"/>
      <c r="O12" s="71"/>
      <c r="P12" s="71"/>
    </row>
    <row r="13" spans="1:16" ht="12.75" customHeight="1" x14ac:dyDescent="0.25">
      <c r="A13" s="133" t="s">
        <v>1</v>
      </c>
      <c r="B13" s="133"/>
      <c r="C13" s="133"/>
      <c r="D13" s="133"/>
      <c r="E13" s="133"/>
      <c r="F13" s="133"/>
      <c r="G13" s="133"/>
      <c r="O13" s="71" t="s">
        <v>50</v>
      </c>
      <c r="P13" s="86">
        <f>D40</f>
        <v>11.3</v>
      </c>
    </row>
    <row r="14" spans="1:16" ht="15.75" x14ac:dyDescent="0.25">
      <c r="A14" s="67" t="s">
        <v>0</v>
      </c>
      <c r="B14" s="79"/>
      <c r="C14" s="67" t="s">
        <v>9</v>
      </c>
      <c r="D14" s="72" t="s">
        <v>8</v>
      </c>
      <c r="E14" s="72" t="s">
        <v>58</v>
      </c>
      <c r="F14" s="72" t="s">
        <v>10</v>
      </c>
      <c r="G14" s="72" t="s">
        <v>11</v>
      </c>
      <c r="O14" s="82" t="s">
        <v>65</v>
      </c>
      <c r="P14" s="85">
        <f>F2</f>
        <v>10007</v>
      </c>
    </row>
    <row r="15" spans="1:16" ht="12.75" customHeight="1" x14ac:dyDescent="0.25">
      <c r="A15" s="7">
        <v>1</v>
      </c>
      <c r="B15" s="7"/>
      <c r="C15" s="14"/>
      <c r="D15" s="80"/>
      <c r="E15" s="18"/>
      <c r="F15" s="18"/>
      <c r="G15" s="18">
        <f>D15*F15</f>
        <v>0</v>
      </c>
      <c r="O15" s="81" t="s">
        <v>54</v>
      </c>
      <c r="P15" s="83">
        <f ca="1">TODAY()</f>
        <v>44381</v>
      </c>
    </row>
    <row r="16" spans="1:16" ht="12.75" customHeight="1" x14ac:dyDescent="0.25">
      <c r="A16" s="7">
        <v>2</v>
      </c>
      <c r="B16" s="7"/>
      <c r="C16" s="80"/>
      <c r="D16" s="80"/>
      <c r="E16" s="18"/>
      <c r="F16" s="18"/>
      <c r="G16" s="18">
        <f t="shared" ref="G16:G39" si="0">D16*F16</f>
        <v>0</v>
      </c>
    </row>
    <row r="17" spans="1:7" ht="12.75" customHeight="1" x14ac:dyDescent="0.25">
      <c r="A17" s="7">
        <v>3</v>
      </c>
      <c r="B17" s="7"/>
      <c r="C17" s="80"/>
      <c r="D17" s="80"/>
      <c r="E17" s="18"/>
      <c r="F17" s="18"/>
      <c r="G17" s="18">
        <f t="shared" si="0"/>
        <v>0</v>
      </c>
    </row>
    <row r="18" spans="1:7" ht="12.75" customHeight="1" x14ac:dyDescent="0.25">
      <c r="A18" s="7">
        <v>4</v>
      </c>
      <c r="B18" s="5"/>
      <c r="C18" s="80"/>
      <c r="D18" s="80"/>
      <c r="E18" s="18"/>
      <c r="F18" s="18"/>
      <c r="G18" s="18">
        <f t="shared" si="0"/>
        <v>0</v>
      </c>
    </row>
    <row r="19" spans="1:7" ht="12.75" customHeight="1" x14ac:dyDescent="0.25">
      <c r="A19" s="7">
        <v>5</v>
      </c>
      <c r="B19" s="7"/>
      <c r="C19" s="80"/>
      <c r="D19" s="80"/>
      <c r="E19" s="18"/>
      <c r="F19" s="18"/>
      <c r="G19" s="18">
        <f t="shared" si="0"/>
        <v>0</v>
      </c>
    </row>
    <row r="20" spans="1:7" ht="12.75" customHeight="1" x14ac:dyDescent="0.25">
      <c r="A20" s="7">
        <v>6</v>
      </c>
      <c r="B20" s="7"/>
      <c r="C20" s="80"/>
      <c r="D20" s="80"/>
      <c r="E20" s="18"/>
      <c r="F20" s="18"/>
      <c r="G20" s="18">
        <f t="shared" si="0"/>
        <v>0</v>
      </c>
    </row>
    <row r="21" spans="1:7" ht="12.75" customHeight="1" x14ac:dyDescent="0.25">
      <c r="A21" s="7">
        <v>7</v>
      </c>
      <c r="B21" s="7"/>
      <c r="C21" s="80"/>
      <c r="D21" s="80"/>
      <c r="E21" s="18"/>
      <c r="F21" s="18"/>
      <c r="G21" s="18">
        <f t="shared" si="0"/>
        <v>0</v>
      </c>
    </row>
    <row r="22" spans="1:7" ht="12.75" customHeight="1" x14ac:dyDescent="0.25">
      <c r="A22" s="7">
        <v>8</v>
      </c>
      <c r="B22" s="7"/>
      <c r="C22" s="80"/>
      <c r="D22" s="80"/>
      <c r="E22" s="18"/>
      <c r="F22" s="18"/>
      <c r="G22" s="18">
        <f t="shared" si="0"/>
        <v>0</v>
      </c>
    </row>
    <row r="23" spans="1:7" ht="12.75" customHeight="1" x14ac:dyDescent="0.25">
      <c r="A23" s="7">
        <v>9</v>
      </c>
      <c r="B23" s="7"/>
      <c r="C23" s="80"/>
      <c r="D23" s="80"/>
      <c r="E23" s="18"/>
      <c r="F23" s="18"/>
      <c r="G23" s="18">
        <f t="shared" si="0"/>
        <v>0</v>
      </c>
    </row>
    <row r="24" spans="1:7" ht="12.75" customHeight="1" x14ac:dyDescent="0.25">
      <c r="A24" s="7">
        <v>10</v>
      </c>
      <c r="B24" s="7"/>
      <c r="C24" s="80"/>
      <c r="D24" s="80"/>
      <c r="E24" s="18"/>
      <c r="F24" s="18"/>
      <c r="G24" s="18">
        <f t="shared" si="0"/>
        <v>0</v>
      </c>
    </row>
    <row r="25" spans="1:7" ht="12.75" customHeight="1" x14ac:dyDescent="0.25">
      <c r="A25" s="7">
        <v>11</v>
      </c>
      <c r="B25" s="7"/>
      <c r="C25" s="80"/>
      <c r="D25" s="80"/>
      <c r="E25" s="18"/>
      <c r="F25" s="18"/>
      <c r="G25" s="18">
        <f t="shared" si="0"/>
        <v>0</v>
      </c>
    </row>
    <row r="26" spans="1:7" ht="12.75" customHeight="1" x14ac:dyDescent="0.25">
      <c r="A26" s="7">
        <v>12</v>
      </c>
      <c r="B26" s="7"/>
      <c r="C26" s="80"/>
      <c r="D26" s="80"/>
      <c r="E26" s="18"/>
      <c r="F26" s="18"/>
      <c r="G26" s="18">
        <f t="shared" si="0"/>
        <v>0</v>
      </c>
    </row>
    <row r="27" spans="1:7" ht="12.75" customHeight="1" x14ac:dyDescent="0.25">
      <c r="A27" s="7">
        <v>13</v>
      </c>
      <c r="B27" s="7"/>
      <c r="C27" s="80"/>
      <c r="D27" s="80"/>
      <c r="E27" s="18"/>
      <c r="F27" s="18"/>
      <c r="G27" s="18">
        <f t="shared" si="0"/>
        <v>0</v>
      </c>
    </row>
    <row r="28" spans="1:7" ht="12.75" customHeight="1" x14ac:dyDescent="0.25">
      <c r="A28" s="7">
        <v>14</v>
      </c>
      <c r="B28" s="7"/>
      <c r="C28" s="80"/>
      <c r="D28" s="80"/>
      <c r="E28" s="18"/>
      <c r="F28" s="18"/>
      <c r="G28" s="18">
        <f t="shared" si="0"/>
        <v>0</v>
      </c>
    </row>
    <row r="29" spans="1:7" ht="12.75" customHeight="1" x14ac:dyDescent="0.25">
      <c r="A29" s="7">
        <v>15</v>
      </c>
      <c r="B29" s="7"/>
      <c r="C29" s="80"/>
      <c r="D29" s="80"/>
      <c r="E29" s="18"/>
      <c r="F29" s="18"/>
      <c r="G29" s="18">
        <f t="shared" si="0"/>
        <v>0</v>
      </c>
    </row>
    <row r="30" spans="1:7" ht="12.75" customHeight="1" x14ac:dyDescent="0.25">
      <c r="A30" s="7">
        <v>16</v>
      </c>
      <c r="B30" s="7"/>
      <c r="C30" s="80"/>
      <c r="D30" s="80"/>
      <c r="E30" s="18"/>
      <c r="F30" s="18"/>
      <c r="G30" s="18">
        <f t="shared" si="0"/>
        <v>0</v>
      </c>
    </row>
    <row r="31" spans="1:7" ht="12.75" customHeight="1" x14ac:dyDescent="0.25">
      <c r="A31" s="7">
        <v>17</v>
      </c>
      <c r="B31" s="7"/>
      <c r="C31" s="80"/>
      <c r="D31" s="80"/>
      <c r="E31" s="18"/>
      <c r="F31" s="18"/>
      <c r="G31" s="18">
        <f t="shared" si="0"/>
        <v>0</v>
      </c>
    </row>
    <row r="32" spans="1:7" ht="12.75" customHeight="1" x14ac:dyDescent="0.25">
      <c r="A32" s="7">
        <v>18</v>
      </c>
      <c r="B32" s="7"/>
      <c r="C32" s="80"/>
      <c r="D32" s="80"/>
      <c r="E32" s="18"/>
      <c r="F32" s="18"/>
      <c r="G32" s="18">
        <f t="shared" si="0"/>
        <v>0</v>
      </c>
    </row>
    <row r="33" spans="1:7" ht="12.75" customHeight="1" x14ac:dyDescent="0.25">
      <c r="A33" s="7">
        <v>19</v>
      </c>
      <c r="B33" s="7"/>
      <c r="C33" s="80"/>
      <c r="D33" s="80"/>
      <c r="E33" s="18"/>
      <c r="F33" s="18"/>
      <c r="G33" s="18">
        <f t="shared" si="0"/>
        <v>0</v>
      </c>
    </row>
    <row r="34" spans="1:7" ht="12.75" customHeight="1" x14ac:dyDescent="0.25">
      <c r="A34" s="7">
        <v>20</v>
      </c>
      <c r="B34" s="7"/>
      <c r="C34" s="80"/>
      <c r="D34" s="80"/>
      <c r="E34" s="18"/>
      <c r="F34" s="18"/>
      <c r="G34" s="18">
        <f t="shared" si="0"/>
        <v>0</v>
      </c>
    </row>
    <row r="35" spans="1:7" ht="12.75" customHeight="1" x14ac:dyDescent="0.25">
      <c r="A35" s="7">
        <v>21</v>
      </c>
      <c r="B35" s="7"/>
      <c r="C35" s="80"/>
      <c r="D35" s="80"/>
      <c r="E35" s="18"/>
      <c r="F35" s="18"/>
      <c r="G35" s="18">
        <f t="shared" si="0"/>
        <v>0</v>
      </c>
    </row>
    <row r="36" spans="1:7" ht="12.75" customHeight="1" x14ac:dyDescent="0.25">
      <c r="A36" s="7">
        <v>22</v>
      </c>
      <c r="B36" s="7"/>
      <c r="C36" s="80"/>
      <c r="D36" s="80"/>
      <c r="E36" s="18"/>
      <c r="F36" s="18"/>
      <c r="G36" s="18">
        <f t="shared" si="0"/>
        <v>0</v>
      </c>
    </row>
    <row r="37" spans="1:7" ht="12.75" customHeight="1" x14ac:dyDescent="0.25">
      <c r="A37" s="7">
        <v>23</v>
      </c>
      <c r="B37" s="7"/>
      <c r="C37" s="80"/>
      <c r="D37" s="80"/>
      <c r="E37" s="18"/>
      <c r="F37" s="18"/>
      <c r="G37" s="18">
        <f t="shared" si="0"/>
        <v>0</v>
      </c>
    </row>
    <row r="38" spans="1:7" ht="12.75" customHeight="1" x14ac:dyDescent="0.25">
      <c r="A38" s="7">
        <v>24</v>
      </c>
      <c r="B38" s="7"/>
      <c r="C38" s="80"/>
      <c r="D38" s="80"/>
      <c r="E38" s="18"/>
      <c r="F38" s="18"/>
      <c r="G38" s="18">
        <f t="shared" si="0"/>
        <v>0</v>
      </c>
    </row>
    <row r="39" spans="1:7" ht="12.75" customHeight="1" x14ac:dyDescent="0.25">
      <c r="A39" s="7">
        <v>25</v>
      </c>
      <c r="B39" s="7"/>
      <c r="C39" s="80"/>
      <c r="D39" s="80"/>
      <c r="E39" s="18"/>
      <c r="F39" s="18"/>
      <c r="G39" s="18">
        <f t="shared" si="0"/>
        <v>0</v>
      </c>
    </row>
    <row r="40" spans="1:7" ht="28.5" customHeight="1" x14ac:dyDescent="0.25">
      <c r="A40" s="73"/>
      <c r="B40" s="73"/>
      <c r="C40" s="74" t="s">
        <v>59</v>
      </c>
      <c r="D40" s="134">
        <v>11.3</v>
      </c>
      <c r="E40" s="135"/>
      <c r="F40" s="136"/>
      <c r="G40" s="75">
        <f>SUM(G15:G39)</f>
        <v>0</v>
      </c>
    </row>
    <row r="41" spans="1:7" x14ac:dyDescent="0.25">
      <c r="A41" s="139" t="s">
        <v>72</v>
      </c>
      <c r="B41" s="140"/>
      <c r="C41" s="140"/>
      <c r="D41" s="140"/>
      <c r="E41" s="140"/>
      <c r="F41" s="140"/>
      <c r="G41" s="140"/>
    </row>
    <row r="42" spans="1:7" x14ac:dyDescent="0.25">
      <c r="A42" s="141"/>
      <c r="B42" s="141"/>
      <c r="C42" s="141"/>
      <c r="D42" s="141"/>
      <c r="E42" s="141"/>
      <c r="F42" s="141"/>
      <c r="G42" s="141"/>
    </row>
    <row r="43" spans="1:7" x14ac:dyDescent="0.25">
      <c r="A43" s="141"/>
      <c r="B43" s="141"/>
      <c r="C43" s="141"/>
      <c r="D43" s="141"/>
      <c r="E43" s="141"/>
      <c r="F43" s="141"/>
      <c r="G43" s="141"/>
    </row>
    <row r="44" spans="1:7" x14ac:dyDescent="0.25">
      <c r="A44" s="141"/>
      <c r="B44" s="141"/>
      <c r="C44" s="141"/>
      <c r="D44" s="141"/>
      <c r="E44" s="141"/>
      <c r="F44" s="141"/>
      <c r="G44" s="141"/>
    </row>
  </sheetData>
  <sheetProtection algorithmName="SHA-512" hashValue="tcU+16KMlqJA8ce4exgVBLppxauzxbegydEjF6YBMLdJcPRbA1ufTM0UG2LkcDY9aV9BX/F/ZVpyegjcHJvzfg==" saltValue="WBeflywc6ujeL625ylXRPw==" spinCount="100000" sheet="1" objects="1" scenarios="1" selectLockedCells="1"/>
  <mergeCells count="19">
    <mergeCell ref="A41:G44"/>
    <mergeCell ref="F2:G3"/>
    <mergeCell ref="A5:C5"/>
    <mergeCell ref="A6:C6"/>
    <mergeCell ref="D5:G5"/>
    <mergeCell ref="A7:G7"/>
    <mergeCell ref="D6:G6"/>
    <mergeCell ref="A8:C8"/>
    <mergeCell ref="D8:G8"/>
    <mergeCell ref="A9:C9"/>
    <mergeCell ref="D9:G9"/>
    <mergeCell ref="A10:C10"/>
    <mergeCell ref="D10:G10"/>
    <mergeCell ref="A13:G13"/>
    <mergeCell ref="D40:F40"/>
    <mergeCell ref="A11:C11"/>
    <mergeCell ref="D11:G11"/>
    <mergeCell ref="A12:C12"/>
    <mergeCell ref="D12:G12"/>
  </mergeCells>
  <pageMargins left="0.25" right="0.25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raspakovka invoice</vt:lpstr>
      <vt:lpstr>price</vt:lpstr>
      <vt:lpstr>print</vt:lpstr>
      <vt:lpstr>passports</vt:lpstr>
      <vt:lpstr>toza price</vt:lpstr>
      <vt:lpstr>toza_invocie</vt:lpstr>
      <vt:lpstr>print!Print_Area</vt:lpstr>
      <vt:lpstr>'raspakovka invoice'!Print_Area</vt:lpstr>
      <vt:lpstr>toza_invocie!Print_Area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bekzod qodirov</dc:creator>
  <cp:lastModifiedBy>bekzod</cp:lastModifiedBy>
  <cp:lastPrinted>2021-07-04T13:24:25Z</cp:lastPrinted>
  <dcterms:created xsi:type="dcterms:W3CDTF">2015-06-05T18:17:20Z</dcterms:created>
  <dcterms:modified xsi:type="dcterms:W3CDTF">2021-07-04T13:25:02Z</dcterms:modified>
</cp:coreProperties>
</file>