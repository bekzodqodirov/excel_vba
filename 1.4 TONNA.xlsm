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kzod\Desktop\"/>
    </mc:Choice>
  </mc:AlternateContent>
  <xr:revisionPtr revIDLastSave="0" documentId="13_ncr:1_{2AA5F938-1F81-4DB8-B805-0B70C368E511}" xr6:coauthVersionLast="45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invoice" sheetId="1" r:id="rId1"/>
    <sheet name="asosiy" sheetId="6" r:id="rId2"/>
    <sheet name="tovar" sheetId="7" r:id="rId3"/>
    <sheet name="MANIFEST" sheetId="8" r:id="rId4"/>
    <sheet name="passport" sheetId="9" r:id="rId5"/>
    <sheet name="Sheet1" sheetId="10" r:id="rId6"/>
  </sheets>
  <definedNames>
    <definedName name="_xlnm.Print_Area" localSheetId="0">invoice!$B$1:$F$45</definedName>
    <definedName name="region">#REF!</definedName>
    <definedName name="UserName">#REF!</definedName>
    <definedName name="UserTabl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3" i="6" l="1"/>
  <c r="AB3" i="6"/>
  <c r="AC3" i="6"/>
  <c r="AD3" i="6"/>
  <c r="AE3" i="6"/>
  <c r="AA4" i="6"/>
  <c r="AB4" i="6"/>
  <c r="AC4" i="6"/>
  <c r="AD4" i="6"/>
  <c r="AE4" i="6"/>
  <c r="AA5" i="6"/>
  <c r="AB5" i="6"/>
  <c r="AC5" i="6"/>
  <c r="AD5" i="6"/>
  <c r="AE5" i="6"/>
  <c r="AA6" i="6"/>
  <c r="AB6" i="6"/>
  <c r="AC6" i="6"/>
  <c r="AD6" i="6"/>
  <c r="AE6" i="6"/>
  <c r="AA7" i="6"/>
  <c r="AB7" i="6"/>
  <c r="AC7" i="6"/>
  <c r="AD7" i="6"/>
  <c r="AE7" i="6"/>
  <c r="AA8" i="6"/>
  <c r="AB8" i="6"/>
  <c r="AC8" i="6"/>
  <c r="AD8" i="6"/>
  <c r="AE8" i="6"/>
  <c r="AA9" i="6"/>
  <c r="AB9" i="6"/>
  <c r="AC9" i="6"/>
  <c r="AD9" i="6"/>
  <c r="AE9" i="6"/>
  <c r="AA10" i="6"/>
  <c r="AB10" i="6"/>
  <c r="AC10" i="6"/>
  <c r="AD10" i="6"/>
  <c r="AE10" i="6"/>
  <c r="AA11" i="6"/>
  <c r="AB11" i="6"/>
  <c r="AC11" i="6"/>
  <c r="AD11" i="6"/>
  <c r="AE11" i="6"/>
  <c r="AA12" i="6"/>
  <c r="AB12" i="6"/>
  <c r="AC12" i="6"/>
  <c r="AD12" i="6"/>
  <c r="AE12" i="6"/>
  <c r="AA13" i="6"/>
  <c r="AB13" i="6"/>
  <c r="AC13" i="6"/>
  <c r="AD13" i="6"/>
  <c r="AE13" i="6"/>
  <c r="AA14" i="6"/>
  <c r="AB14" i="6"/>
  <c r="AC14" i="6"/>
  <c r="AD14" i="6"/>
  <c r="AE14" i="6"/>
  <c r="AA15" i="6"/>
  <c r="AB15" i="6"/>
  <c r="AC15" i="6"/>
  <c r="AD15" i="6"/>
  <c r="AE15" i="6"/>
  <c r="AA16" i="6"/>
  <c r="AB16" i="6"/>
  <c r="AC16" i="6"/>
  <c r="AD16" i="6"/>
  <c r="AE16" i="6"/>
  <c r="AA17" i="6"/>
  <c r="AB17" i="6"/>
  <c r="AC17" i="6"/>
  <c r="AD17" i="6"/>
  <c r="AE17" i="6"/>
  <c r="AA18" i="6"/>
  <c r="AB18" i="6"/>
  <c r="AC18" i="6"/>
  <c r="AD18" i="6"/>
  <c r="AE18" i="6"/>
  <c r="AA19" i="6"/>
  <c r="AB19" i="6"/>
  <c r="AC19" i="6"/>
  <c r="AD19" i="6"/>
  <c r="AE19" i="6"/>
  <c r="AA20" i="6"/>
  <c r="AB20" i="6"/>
  <c r="AC20" i="6"/>
  <c r="AD20" i="6"/>
  <c r="AE20" i="6"/>
  <c r="AA21" i="6"/>
  <c r="AB21" i="6"/>
  <c r="AC21" i="6"/>
  <c r="AD21" i="6"/>
  <c r="AE21" i="6"/>
  <c r="AA22" i="6"/>
  <c r="AB22" i="6"/>
  <c r="AC22" i="6"/>
  <c r="AD22" i="6"/>
  <c r="AE22" i="6"/>
  <c r="AA23" i="6"/>
  <c r="AB23" i="6"/>
  <c r="AC23" i="6"/>
  <c r="AD23" i="6"/>
  <c r="AE23" i="6"/>
  <c r="AA24" i="6"/>
  <c r="AB24" i="6"/>
  <c r="AC24" i="6"/>
  <c r="AD24" i="6"/>
  <c r="AE24" i="6"/>
  <c r="AA25" i="6"/>
  <c r="AB25" i="6"/>
  <c r="AC25" i="6"/>
  <c r="AD25" i="6"/>
  <c r="AE25" i="6"/>
  <c r="AA26" i="6"/>
  <c r="AB26" i="6"/>
  <c r="AC26" i="6"/>
  <c r="AD26" i="6"/>
  <c r="AE26" i="6"/>
  <c r="AA27" i="6"/>
  <c r="AB27" i="6"/>
  <c r="AC27" i="6"/>
  <c r="AD27" i="6"/>
  <c r="AE27" i="6"/>
  <c r="AA28" i="6"/>
  <c r="AB28" i="6"/>
  <c r="AC28" i="6"/>
  <c r="AD28" i="6"/>
  <c r="AE28" i="6"/>
  <c r="AA29" i="6"/>
  <c r="AB29" i="6"/>
  <c r="AC29" i="6"/>
  <c r="AD29" i="6"/>
  <c r="AE29" i="6"/>
  <c r="AA30" i="6"/>
  <c r="AB30" i="6"/>
  <c r="AC30" i="6"/>
  <c r="AD30" i="6"/>
  <c r="AE30" i="6"/>
  <c r="AA31" i="6"/>
  <c r="AB31" i="6"/>
  <c r="AC31" i="6"/>
  <c r="AD31" i="6"/>
  <c r="AE31" i="6"/>
  <c r="AA32" i="6"/>
  <c r="AB32" i="6"/>
  <c r="AC32" i="6"/>
  <c r="AD32" i="6"/>
  <c r="AE32" i="6"/>
  <c r="AA33" i="6"/>
  <c r="AB33" i="6"/>
  <c r="AC33" i="6"/>
  <c r="AD33" i="6"/>
  <c r="AE33" i="6"/>
  <c r="AA34" i="6"/>
  <c r="AB34" i="6"/>
  <c r="AC34" i="6"/>
  <c r="AD34" i="6"/>
  <c r="AE34" i="6"/>
  <c r="AA35" i="6"/>
  <c r="AB35" i="6"/>
  <c r="AC35" i="6"/>
  <c r="AD35" i="6"/>
  <c r="AE35" i="6"/>
  <c r="AA36" i="6"/>
  <c r="AB36" i="6"/>
  <c r="AC36" i="6"/>
  <c r="AD36" i="6"/>
  <c r="AE36" i="6"/>
  <c r="AA37" i="6"/>
  <c r="AB37" i="6"/>
  <c r="AC37" i="6"/>
  <c r="AD37" i="6"/>
  <c r="AE37" i="6"/>
  <c r="AA38" i="6"/>
  <c r="AB38" i="6"/>
  <c r="AC38" i="6"/>
  <c r="AD38" i="6"/>
  <c r="AE38" i="6"/>
  <c r="AA39" i="6"/>
  <c r="AB39" i="6"/>
  <c r="AC39" i="6"/>
  <c r="AD39" i="6"/>
  <c r="AE39" i="6"/>
  <c r="AA40" i="6"/>
  <c r="AB40" i="6"/>
  <c r="AC40" i="6"/>
  <c r="AD40" i="6"/>
  <c r="AE40" i="6"/>
  <c r="AA41" i="6"/>
  <c r="AB41" i="6"/>
  <c r="AC41" i="6"/>
  <c r="AD41" i="6"/>
  <c r="AE41" i="6"/>
  <c r="AA42" i="6"/>
  <c r="AB42" i="6"/>
  <c r="AC42" i="6"/>
  <c r="AD42" i="6"/>
  <c r="AE42" i="6"/>
  <c r="AA43" i="6"/>
  <c r="AB43" i="6"/>
  <c r="AC43" i="6"/>
  <c r="AD43" i="6"/>
  <c r="AE43" i="6"/>
  <c r="AA44" i="6"/>
  <c r="AB44" i="6"/>
  <c r="AC44" i="6"/>
  <c r="AD44" i="6"/>
  <c r="AE44" i="6"/>
  <c r="AA45" i="6"/>
  <c r="AB45" i="6"/>
  <c r="AC45" i="6"/>
  <c r="AD45" i="6"/>
  <c r="AE45" i="6"/>
  <c r="AA46" i="6"/>
  <c r="AB46" i="6"/>
  <c r="AC46" i="6"/>
  <c r="AD46" i="6"/>
  <c r="AE46" i="6"/>
  <c r="AA47" i="6"/>
  <c r="AB47" i="6"/>
  <c r="AC47" i="6"/>
  <c r="AD47" i="6"/>
  <c r="AE47" i="6"/>
  <c r="AA48" i="6"/>
  <c r="AB48" i="6"/>
  <c r="AC48" i="6"/>
  <c r="AD48" i="6"/>
  <c r="AE48" i="6"/>
  <c r="AA49" i="6"/>
  <c r="AB49" i="6"/>
  <c r="AC49" i="6"/>
  <c r="AD49" i="6"/>
  <c r="AE49" i="6"/>
  <c r="AA50" i="6"/>
  <c r="AB50" i="6"/>
  <c r="AC50" i="6"/>
  <c r="AD50" i="6"/>
  <c r="AE50" i="6"/>
  <c r="AA51" i="6"/>
  <c r="AB51" i="6"/>
  <c r="AC51" i="6"/>
  <c r="AD51" i="6"/>
  <c r="AE51" i="6"/>
  <c r="AA52" i="6"/>
  <c r="AB52" i="6"/>
  <c r="AC52" i="6"/>
  <c r="AD52" i="6"/>
  <c r="AE52" i="6"/>
  <c r="AA53" i="6"/>
  <c r="AB53" i="6"/>
  <c r="AC53" i="6"/>
  <c r="AD53" i="6"/>
  <c r="AE53" i="6"/>
  <c r="AA54" i="6"/>
  <c r="AB54" i="6"/>
  <c r="AC54" i="6"/>
  <c r="AD54" i="6"/>
  <c r="AE54" i="6"/>
  <c r="AA55" i="6"/>
  <c r="AB55" i="6"/>
  <c r="AC55" i="6"/>
  <c r="AD55" i="6"/>
  <c r="AE55" i="6"/>
  <c r="AA56" i="6"/>
  <c r="AB56" i="6"/>
  <c r="AC56" i="6"/>
  <c r="AD56" i="6"/>
  <c r="AE56" i="6"/>
  <c r="AA57" i="6"/>
  <c r="AB57" i="6"/>
  <c r="AC57" i="6"/>
  <c r="AD57" i="6"/>
  <c r="AE57" i="6"/>
  <c r="AA58" i="6"/>
  <c r="AB58" i="6"/>
  <c r="AC58" i="6"/>
  <c r="AD58" i="6"/>
  <c r="AE58" i="6"/>
  <c r="AA59" i="6"/>
  <c r="AB59" i="6"/>
  <c r="AC59" i="6"/>
  <c r="AD59" i="6"/>
  <c r="AE59" i="6"/>
  <c r="AA60" i="6"/>
  <c r="AB60" i="6"/>
  <c r="AC60" i="6"/>
  <c r="AD60" i="6"/>
  <c r="AE60" i="6"/>
  <c r="AA61" i="6"/>
  <c r="AB61" i="6"/>
  <c r="AC61" i="6"/>
  <c r="AD61" i="6"/>
  <c r="AE61" i="6"/>
  <c r="AA62" i="6"/>
  <c r="AB62" i="6"/>
  <c r="AC62" i="6"/>
  <c r="AD62" i="6"/>
  <c r="AE62" i="6"/>
  <c r="AA63" i="6"/>
  <c r="AB63" i="6"/>
  <c r="AC63" i="6"/>
  <c r="AD63" i="6"/>
  <c r="AE63" i="6"/>
  <c r="AA64" i="6"/>
  <c r="AB64" i="6"/>
  <c r="AC64" i="6"/>
  <c r="AD64" i="6"/>
  <c r="AE64" i="6"/>
  <c r="AA65" i="6"/>
  <c r="AB65" i="6"/>
  <c r="AC65" i="6"/>
  <c r="AD65" i="6"/>
  <c r="AE65" i="6"/>
  <c r="AA66" i="6"/>
  <c r="AB66" i="6"/>
  <c r="AC66" i="6"/>
  <c r="AD66" i="6"/>
  <c r="AE66" i="6"/>
  <c r="AA67" i="6"/>
  <c r="AB67" i="6"/>
  <c r="AC67" i="6"/>
  <c r="AD67" i="6"/>
  <c r="AE67" i="6"/>
  <c r="AA68" i="6"/>
  <c r="AB68" i="6"/>
  <c r="AC68" i="6"/>
  <c r="AD68" i="6"/>
  <c r="AE68" i="6"/>
  <c r="AA69" i="6"/>
  <c r="AB69" i="6"/>
  <c r="AC69" i="6"/>
  <c r="AD69" i="6"/>
  <c r="AE69" i="6"/>
  <c r="AA70" i="6"/>
  <c r="AB70" i="6"/>
  <c r="AC70" i="6"/>
  <c r="AD70" i="6"/>
  <c r="AE70" i="6"/>
  <c r="AA71" i="6"/>
  <c r="AB71" i="6"/>
  <c r="AC71" i="6"/>
  <c r="AD71" i="6"/>
  <c r="AE71" i="6"/>
  <c r="AA72" i="6"/>
  <c r="AB72" i="6"/>
  <c r="AC72" i="6"/>
  <c r="AD72" i="6"/>
  <c r="AE72" i="6"/>
  <c r="AA73" i="6"/>
  <c r="AB73" i="6"/>
  <c r="AC73" i="6"/>
  <c r="AD73" i="6"/>
  <c r="AE73" i="6"/>
  <c r="AA74" i="6"/>
  <c r="AB74" i="6"/>
  <c r="AC74" i="6"/>
  <c r="AD74" i="6"/>
  <c r="AE74" i="6"/>
  <c r="AA75" i="6"/>
  <c r="AB75" i="6"/>
  <c r="AC75" i="6"/>
  <c r="AD75" i="6"/>
  <c r="AE75" i="6"/>
  <c r="AA76" i="6"/>
  <c r="AB76" i="6"/>
  <c r="AC76" i="6"/>
  <c r="AD76" i="6"/>
  <c r="AE76" i="6"/>
  <c r="AA77" i="6"/>
  <c r="AB77" i="6"/>
  <c r="AC77" i="6"/>
  <c r="AD77" i="6"/>
  <c r="AE77" i="6"/>
  <c r="AA78" i="6"/>
  <c r="AB78" i="6"/>
  <c r="AC78" i="6"/>
  <c r="AD78" i="6"/>
  <c r="AE78" i="6"/>
  <c r="AA79" i="6"/>
  <c r="AB79" i="6"/>
  <c r="AC79" i="6"/>
  <c r="AD79" i="6"/>
  <c r="AE79" i="6"/>
  <c r="AA80" i="6"/>
  <c r="AB80" i="6"/>
  <c r="AC80" i="6"/>
  <c r="AD80" i="6"/>
  <c r="AE80" i="6"/>
  <c r="AA81" i="6"/>
  <c r="AB81" i="6"/>
  <c r="AC81" i="6"/>
  <c r="AD81" i="6"/>
  <c r="AE81" i="6"/>
  <c r="AA82" i="6"/>
  <c r="AB82" i="6"/>
  <c r="AC82" i="6"/>
  <c r="AD82" i="6"/>
  <c r="AE82" i="6"/>
  <c r="AA83" i="6"/>
  <c r="AB83" i="6"/>
  <c r="AC83" i="6"/>
  <c r="AD83" i="6"/>
  <c r="AE83" i="6"/>
  <c r="AA84" i="6"/>
  <c r="AB84" i="6"/>
  <c r="AC84" i="6"/>
  <c r="AD84" i="6"/>
  <c r="AE84" i="6"/>
  <c r="AA85" i="6"/>
  <c r="AB85" i="6"/>
  <c r="AC85" i="6"/>
  <c r="AD85" i="6"/>
  <c r="AE85" i="6"/>
  <c r="AA86" i="6"/>
  <c r="AB86" i="6"/>
  <c r="AC86" i="6"/>
  <c r="AD86" i="6"/>
  <c r="AE86" i="6"/>
  <c r="AA87" i="6"/>
  <c r="AB87" i="6"/>
  <c r="AC87" i="6"/>
  <c r="AD87" i="6"/>
  <c r="AE87" i="6"/>
  <c r="AA88" i="6"/>
  <c r="AB88" i="6"/>
  <c r="AC88" i="6"/>
  <c r="AD88" i="6"/>
  <c r="AE88" i="6"/>
  <c r="AA89" i="6"/>
  <c r="AB89" i="6"/>
  <c r="AC89" i="6"/>
  <c r="AD89" i="6"/>
  <c r="AE89" i="6"/>
  <c r="AA90" i="6"/>
  <c r="AB90" i="6"/>
  <c r="AC90" i="6"/>
  <c r="AD90" i="6"/>
  <c r="AE90" i="6"/>
  <c r="AA91" i="6"/>
  <c r="AB91" i="6"/>
  <c r="AC91" i="6"/>
  <c r="AD91" i="6"/>
  <c r="AE91" i="6"/>
  <c r="AA92" i="6"/>
  <c r="AB92" i="6"/>
  <c r="AC92" i="6"/>
  <c r="AD92" i="6"/>
  <c r="AE92" i="6"/>
  <c r="AA93" i="6"/>
  <c r="AB93" i="6"/>
  <c r="AC93" i="6"/>
  <c r="AD93" i="6"/>
  <c r="AE93" i="6"/>
  <c r="AA94" i="6"/>
  <c r="AB94" i="6"/>
  <c r="AC94" i="6"/>
  <c r="AD94" i="6"/>
  <c r="AE94" i="6"/>
  <c r="AA95" i="6"/>
  <c r="AB95" i="6"/>
  <c r="AC95" i="6"/>
  <c r="AD95" i="6"/>
  <c r="AE95" i="6"/>
  <c r="AA96" i="6"/>
  <c r="AB96" i="6"/>
  <c r="AC96" i="6"/>
  <c r="AD96" i="6"/>
  <c r="AE96" i="6"/>
  <c r="AA97" i="6"/>
  <c r="AB97" i="6"/>
  <c r="AC97" i="6"/>
  <c r="AD97" i="6"/>
  <c r="AE97" i="6"/>
  <c r="AA98" i="6"/>
  <c r="AB98" i="6"/>
  <c r="AC98" i="6"/>
  <c r="AD98" i="6"/>
  <c r="AE98" i="6"/>
  <c r="AA99" i="6"/>
  <c r="AB99" i="6"/>
  <c r="AC99" i="6"/>
  <c r="AD99" i="6"/>
  <c r="AE99" i="6"/>
  <c r="AA100" i="6"/>
  <c r="AB100" i="6"/>
  <c r="AC100" i="6"/>
  <c r="AD100" i="6"/>
  <c r="AE100" i="6"/>
  <c r="AA101" i="6"/>
  <c r="AB101" i="6"/>
  <c r="AC101" i="6"/>
  <c r="AD101" i="6"/>
  <c r="AE101" i="6"/>
  <c r="AA102" i="6"/>
  <c r="AB102" i="6"/>
  <c r="AC102" i="6"/>
  <c r="AD102" i="6"/>
  <c r="AE102" i="6"/>
  <c r="AA103" i="6"/>
  <c r="AB103" i="6"/>
  <c r="AC103" i="6"/>
  <c r="AD103" i="6"/>
  <c r="AE103" i="6"/>
  <c r="AA104" i="6"/>
  <c r="AB104" i="6"/>
  <c r="AC104" i="6"/>
  <c r="AD104" i="6"/>
  <c r="AE104" i="6"/>
  <c r="AA105" i="6"/>
  <c r="AB105" i="6"/>
  <c r="AC105" i="6"/>
  <c r="AD105" i="6"/>
  <c r="AE105" i="6"/>
  <c r="AA106" i="6"/>
  <c r="AB106" i="6"/>
  <c r="AC106" i="6"/>
  <c r="AD106" i="6"/>
  <c r="AE106" i="6"/>
  <c r="AA107" i="6"/>
  <c r="AB107" i="6"/>
  <c r="AC107" i="6"/>
  <c r="AD107" i="6"/>
  <c r="AE107" i="6"/>
  <c r="AA108" i="6"/>
  <c r="AB108" i="6"/>
  <c r="AC108" i="6"/>
  <c r="AD108" i="6"/>
  <c r="AE108" i="6"/>
  <c r="AA109" i="6"/>
  <c r="AB109" i="6"/>
  <c r="AC109" i="6"/>
  <c r="AD109" i="6"/>
  <c r="AE109" i="6"/>
  <c r="AA110" i="6"/>
  <c r="AB110" i="6"/>
  <c r="AC110" i="6"/>
  <c r="AD110" i="6"/>
  <c r="AE110" i="6"/>
  <c r="AA111" i="6"/>
  <c r="AB111" i="6"/>
  <c r="AC111" i="6"/>
  <c r="AD111" i="6"/>
  <c r="AE111" i="6"/>
  <c r="AA112" i="6"/>
  <c r="AB112" i="6"/>
  <c r="AC112" i="6"/>
  <c r="AD112" i="6"/>
  <c r="AE112" i="6"/>
  <c r="AA113" i="6"/>
  <c r="AB113" i="6"/>
  <c r="AC113" i="6"/>
  <c r="AD113" i="6"/>
  <c r="AE113" i="6"/>
  <c r="AA114" i="6"/>
  <c r="AB114" i="6"/>
  <c r="AC114" i="6"/>
  <c r="AD114" i="6"/>
  <c r="AE114" i="6"/>
  <c r="AA115" i="6"/>
  <c r="AB115" i="6"/>
  <c r="AC115" i="6"/>
  <c r="AD115" i="6"/>
  <c r="AE115" i="6"/>
  <c r="AA116" i="6"/>
  <c r="AB116" i="6"/>
  <c r="AC116" i="6"/>
  <c r="AD116" i="6"/>
  <c r="AE116" i="6"/>
  <c r="AA117" i="6"/>
  <c r="AB117" i="6"/>
  <c r="AC117" i="6"/>
  <c r="AD117" i="6"/>
  <c r="AE117" i="6"/>
  <c r="AA118" i="6"/>
  <c r="AB118" i="6"/>
  <c r="AC118" i="6"/>
  <c r="AD118" i="6"/>
  <c r="AE118" i="6"/>
  <c r="AA119" i="6"/>
  <c r="AB119" i="6"/>
  <c r="AC119" i="6"/>
  <c r="AD119" i="6"/>
  <c r="AE119" i="6"/>
  <c r="AA120" i="6"/>
  <c r="AB120" i="6"/>
  <c r="AC120" i="6"/>
  <c r="AD120" i="6"/>
  <c r="AE120" i="6"/>
  <c r="AA121" i="6"/>
  <c r="AB121" i="6"/>
  <c r="AC121" i="6"/>
  <c r="AD121" i="6"/>
  <c r="AE121" i="6"/>
  <c r="AA122" i="6"/>
  <c r="AB122" i="6"/>
  <c r="AC122" i="6"/>
  <c r="AD122" i="6"/>
  <c r="AE122" i="6"/>
  <c r="AA123" i="6"/>
  <c r="AB123" i="6"/>
  <c r="AC123" i="6"/>
  <c r="AD123" i="6"/>
  <c r="AE123" i="6"/>
  <c r="AA124" i="6"/>
  <c r="AB124" i="6"/>
  <c r="AC124" i="6"/>
  <c r="AD124" i="6"/>
  <c r="AE124" i="6"/>
  <c r="AA125" i="6"/>
  <c r="AB125" i="6"/>
  <c r="AC125" i="6"/>
  <c r="AD125" i="6"/>
  <c r="AE125" i="6"/>
  <c r="AA126" i="6"/>
  <c r="AB126" i="6"/>
  <c r="AC126" i="6"/>
  <c r="AD126" i="6"/>
  <c r="AE126" i="6"/>
  <c r="AA127" i="6"/>
  <c r="AB127" i="6"/>
  <c r="AC127" i="6"/>
  <c r="AD127" i="6"/>
  <c r="AE127" i="6"/>
  <c r="AA128" i="6"/>
  <c r="AB128" i="6"/>
  <c r="AC128" i="6"/>
  <c r="AD128" i="6"/>
  <c r="AE128" i="6"/>
  <c r="AA129" i="6"/>
  <c r="AB129" i="6"/>
  <c r="AC129" i="6"/>
  <c r="AD129" i="6"/>
  <c r="AE129" i="6"/>
  <c r="AA130" i="6"/>
  <c r="AB130" i="6"/>
  <c r="AC130" i="6"/>
  <c r="AD130" i="6"/>
  <c r="AE130" i="6"/>
  <c r="AA131" i="6"/>
  <c r="AB131" i="6"/>
  <c r="AC131" i="6"/>
  <c r="AD131" i="6"/>
  <c r="AE131" i="6"/>
  <c r="AA132" i="6"/>
  <c r="AB132" i="6"/>
  <c r="AC132" i="6"/>
  <c r="AD132" i="6"/>
  <c r="AE132" i="6"/>
  <c r="AA133" i="6"/>
  <c r="AB133" i="6"/>
  <c r="AC133" i="6"/>
  <c r="AD133" i="6"/>
  <c r="AE133" i="6"/>
  <c r="AA134" i="6"/>
  <c r="AB134" i="6"/>
  <c r="AC134" i="6"/>
  <c r="AD134" i="6"/>
  <c r="AE134" i="6"/>
  <c r="AA135" i="6"/>
  <c r="AB135" i="6"/>
  <c r="AC135" i="6"/>
  <c r="AD135" i="6"/>
  <c r="AE135" i="6"/>
  <c r="AA136" i="6"/>
  <c r="AB136" i="6"/>
  <c r="AC136" i="6"/>
  <c r="AD136" i="6"/>
  <c r="AE136" i="6"/>
  <c r="AA137" i="6"/>
  <c r="AB137" i="6"/>
  <c r="AC137" i="6"/>
  <c r="AD137" i="6"/>
  <c r="AE137" i="6"/>
  <c r="AA138" i="6"/>
  <c r="AB138" i="6"/>
  <c r="AC138" i="6"/>
  <c r="AD138" i="6"/>
  <c r="AE138" i="6"/>
  <c r="AA139" i="6"/>
  <c r="AB139" i="6"/>
  <c r="AC139" i="6"/>
  <c r="AD139" i="6"/>
  <c r="AE139" i="6"/>
  <c r="AA140" i="6"/>
  <c r="AB140" i="6"/>
  <c r="AC140" i="6"/>
  <c r="AD140" i="6"/>
  <c r="AE140" i="6"/>
  <c r="AA141" i="6"/>
  <c r="AB141" i="6"/>
  <c r="AC141" i="6"/>
  <c r="AD141" i="6"/>
  <c r="AE141" i="6"/>
  <c r="AA142" i="6"/>
  <c r="AB142" i="6"/>
  <c r="AC142" i="6"/>
  <c r="AD142" i="6"/>
  <c r="AE142" i="6"/>
  <c r="AA143" i="6"/>
  <c r="AB143" i="6"/>
  <c r="AC143" i="6"/>
  <c r="AD143" i="6"/>
  <c r="AE143" i="6"/>
  <c r="AA144" i="6"/>
  <c r="AB144" i="6"/>
  <c r="AC144" i="6"/>
  <c r="AD144" i="6"/>
  <c r="AE144" i="6"/>
  <c r="AA145" i="6"/>
  <c r="AB145" i="6"/>
  <c r="AC145" i="6"/>
  <c r="AD145" i="6"/>
  <c r="AE145" i="6"/>
  <c r="AA146" i="6"/>
  <c r="AB146" i="6"/>
  <c r="AC146" i="6"/>
  <c r="AD146" i="6"/>
  <c r="AE146" i="6"/>
  <c r="AA147" i="6"/>
  <c r="AB147" i="6"/>
  <c r="AC147" i="6"/>
  <c r="AD147" i="6"/>
  <c r="AE147" i="6"/>
  <c r="AA148" i="6"/>
  <c r="AB148" i="6"/>
  <c r="AC148" i="6"/>
  <c r="AD148" i="6"/>
  <c r="AE148" i="6"/>
  <c r="AA149" i="6"/>
  <c r="AB149" i="6"/>
  <c r="AC149" i="6"/>
  <c r="AD149" i="6"/>
  <c r="AE149" i="6"/>
  <c r="AA150" i="6"/>
  <c r="AB150" i="6"/>
  <c r="AC150" i="6"/>
  <c r="AD150" i="6"/>
  <c r="AE150" i="6"/>
  <c r="AA151" i="6"/>
  <c r="AB151" i="6"/>
  <c r="AC151" i="6"/>
  <c r="AD151" i="6"/>
  <c r="AE151" i="6"/>
  <c r="AA152" i="6"/>
  <c r="AB152" i="6"/>
  <c r="AC152" i="6"/>
  <c r="AD152" i="6"/>
  <c r="AE152" i="6"/>
  <c r="AA153" i="6"/>
  <c r="AB153" i="6"/>
  <c r="AC153" i="6"/>
  <c r="AD153" i="6"/>
  <c r="AE153" i="6"/>
  <c r="AA154" i="6"/>
  <c r="AB154" i="6"/>
  <c r="AC154" i="6"/>
  <c r="AD154" i="6"/>
  <c r="AE154" i="6"/>
  <c r="AA155" i="6"/>
  <c r="AB155" i="6"/>
  <c r="AC155" i="6"/>
  <c r="AD155" i="6"/>
  <c r="AE155" i="6"/>
  <c r="AA156" i="6"/>
  <c r="AB156" i="6"/>
  <c r="AC156" i="6"/>
  <c r="AD156" i="6"/>
  <c r="AE156" i="6"/>
  <c r="AA157" i="6"/>
  <c r="AB157" i="6"/>
  <c r="AC157" i="6"/>
  <c r="AD157" i="6"/>
  <c r="AE157" i="6"/>
  <c r="AA158" i="6"/>
  <c r="AB158" i="6"/>
  <c r="AC158" i="6"/>
  <c r="AD158" i="6"/>
  <c r="AE158" i="6"/>
  <c r="AA159" i="6"/>
  <c r="AB159" i="6"/>
  <c r="AC159" i="6"/>
  <c r="AD159" i="6"/>
  <c r="AE159" i="6"/>
  <c r="AA160" i="6"/>
  <c r="AB160" i="6"/>
  <c r="AC160" i="6"/>
  <c r="AD160" i="6"/>
  <c r="AE160" i="6"/>
  <c r="AA161" i="6"/>
  <c r="AB161" i="6"/>
  <c r="AC161" i="6"/>
  <c r="AD161" i="6"/>
  <c r="AE161" i="6"/>
  <c r="AA162" i="6"/>
  <c r="AB162" i="6"/>
  <c r="AC162" i="6"/>
  <c r="AD162" i="6"/>
  <c r="AE162" i="6"/>
  <c r="AA163" i="6"/>
  <c r="AB163" i="6"/>
  <c r="AC163" i="6"/>
  <c r="AD163" i="6"/>
  <c r="AE163" i="6"/>
  <c r="AA164" i="6"/>
  <c r="AB164" i="6"/>
  <c r="AC164" i="6"/>
  <c r="AD164" i="6"/>
  <c r="AE164" i="6"/>
  <c r="AA165" i="6"/>
  <c r="AB165" i="6"/>
  <c r="AC165" i="6"/>
  <c r="AD165" i="6"/>
  <c r="AE165" i="6"/>
  <c r="AA166" i="6"/>
  <c r="AB166" i="6"/>
  <c r="AC166" i="6"/>
  <c r="AD166" i="6"/>
  <c r="AE166" i="6"/>
  <c r="AA167" i="6"/>
  <c r="AB167" i="6"/>
  <c r="AC167" i="6"/>
  <c r="AD167" i="6"/>
  <c r="AE167" i="6"/>
  <c r="AA168" i="6"/>
  <c r="AB168" i="6"/>
  <c r="AC168" i="6"/>
  <c r="AD168" i="6"/>
  <c r="AE168" i="6"/>
  <c r="AA169" i="6"/>
  <c r="AB169" i="6"/>
  <c r="AC169" i="6"/>
  <c r="AD169" i="6"/>
  <c r="AE169" i="6"/>
  <c r="AA170" i="6"/>
  <c r="AB170" i="6"/>
  <c r="AC170" i="6"/>
  <c r="AD170" i="6"/>
  <c r="AE170" i="6"/>
  <c r="AA171" i="6"/>
  <c r="AB171" i="6"/>
  <c r="AC171" i="6"/>
  <c r="AD171" i="6"/>
  <c r="AE171" i="6"/>
  <c r="AA172" i="6"/>
  <c r="AB172" i="6"/>
  <c r="AC172" i="6"/>
  <c r="AD172" i="6"/>
  <c r="AE172" i="6"/>
  <c r="AA173" i="6"/>
  <c r="AB173" i="6"/>
  <c r="AC173" i="6"/>
  <c r="AD173" i="6"/>
  <c r="AE173" i="6"/>
  <c r="AA174" i="6"/>
  <c r="AB174" i="6"/>
  <c r="AC174" i="6"/>
  <c r="AD174" i="6"/>
  <c r="AE174" i="6"/>
  <c r="AA175" i="6"/>
  <c r="AB175" i="6"/>
  <c r="AC175" i="6"/>
  <c r="AD175" i="6"/>
  <c r="AE175" i="6"/>
  <c r="AE2" i="6"/>
  <c r="AD2" i="6"/>
  <c r="AC2" i="6"/>
  <c r="AB2" i="6"/>
  <c r="AA2" i="6"/>
  <c r="F12" i="1"/>
  <c r="L31" i="1"/>
  <c r="L18" i="1"/>
  <c r="L15" i="1"/>
  <c r="E2" i="9"/>
  <c r="L17" i="1" l="1"/>
  <c r="M15" i="1"/>
  <c r="Q15" i="1" s="1"/>
  <c r="O19" i="1" l="1"/>
  <c r="L41" i="1" l="1"/>
  <c r="D41" i="1"/>
  <c r="L29" i="1"/>
  <c r="M31" i="1" s="1"/>
  <c r="L35" i="1"/>
  <c r="L20" i="1"/>
  <c r="Q21" i="1" s="1"/>
  <c r="Q13" i="1"/>
  <c r="L11" i="1"/>
  <c r="Q11" i="1" s="1"/>
  <c r="N31" i="1" l="1"/>
  <c r="Q25" i="1" s="1"/>
  <c r="L25" i="1"/>
  <c r="Q12" i="1" s="1"/>
  <c r="F30" i="1"/>
  <c r="F15" i="1"/>
  <c r="L33" i="1" l="1"/>
  <c r="F26" i="1"/>
  <c r="F27" i="1"/>
  <c r="M17" i="1" l="1"/>
  <c r="Q17" i="1" s="1"/>
  <c r="L16" i="1"/>
  <c r="M16" i="1" s="1"/>
  <c r="Q16" i="1" s="1"/>
  <c r="F11" i="1" l="1"/>
  <c r="F21" i="1" l="1"/>
  <c r="F17" i="1"/>
  <c r="F16" i="1"/>
  <c r="F18" i="1" l="1"/>
  <c r="F13" i="1"/>
  <c r="L19" i="1" l="1"/>
  <c r="F14" i="1" l="1"/>
  <c r="F19" i="1"/>
  <c r="F20" i="1"/>
  <c r="F22" i="1"/>
  <c r="F23" i="1"/>
  <c r="F24" i="1"/>
  <c r="F25" i="1"/>
  <c r="F28" i="1"/>
  <c r="F29" i="1"/>
  <c r="F31" i="1"/>
  <c r="F32" i="1"/>
  <c r="F33" i="1"/>
  <c r="F34" i="1"/>
  <c r="F35" i="1"/>
  <c r="F36" i="1"/>
  <c r="F37" i="1"/>
  <c r="F38" i="1"/>
  <c r="F39" i="1"/>
  <c r="F40" i="1"/>
  <c r="M19" i="1" l="1"/>
  <c r="Q18" i="1"/>
  <c r="F41" i="1"/>
  <c r="Q27" i="1" s="1"/>
  <c r="N19" i="1" l="1"/>
  <c r="Q20" i="1" s="1"/>
  <c r="Q19" i="1"/>
</calcChain>
</file>

<file path=xl/sharedStrings.xml><?xml version="1.0" encoding="utf-8"?>
<sst xmlns="http://schemas.openxmlformats.org/spreadsheetml/2006/main" count="8114" uniqueCount="3711">
  <si>
    <t>#</t>
  </si>
  <si>
    <t>INVOICE No</t>
  </si>
  <si>
    <t>WEIGHT</t>
  </si>
  <si>
    <t>TURKIYA QARZ</t>
  </si>
  <si>
    <t>RECIVER NAME</t>
  </si>
  <si>
    <t>RECIVER 2ND NAME</t>
  </si>
  <si>
    <t>REC PASSWORD SER</t>
  </si>
  <si>
    <t>REC PASSWORD NUM</t>
  </si>
  <si>
    <t>REC ADRESS REGION</t>
  </si>
  <si>
    <t>RESIVER ADRESS</t>
  </si>
  <si>
    <t>SAMARQAND</t>
  </si>
  <si>
    <t>name</t>
  </si>
  <si>
    <t>region</t>
  </si>
  <si>
    <t>ANDIJON</t>
  </si>
  <si>
    <t>BUXORO</t>
  </si>
  <si>
    <t>JIZZAX</t>
  </si>
  <si>
    <t>QASHQADARYO</t>
  </si>
  <si>
    <t>NAVOIY</t>
  </si>
  <si>
    <t>NAMANGAN</t>
  </si>
  <si>
    <t>SURXONDARYO</t>
  </si>
  <si>
    <t>SIRDARYO</t>
  </si>
  <si>
    <t>FARGONA</t>
  </si>
  <si>
    <t>XORAZM</t>
  </si>
  <si>
    <t>QORAQALPOQ</t>
  </si>
  <si>
    <t>ident_num</t>
  </si>
  <si>
    <t>ident_data</t>
  </si>
  <si>
    <t>last_name</t>
  </si>
  <si>
    <t>first_name</t>
  </si>
  <si>
    <t>father_name</t>
  </si>
  <si>
    <t>decl_type</t>
  </si>
  <si>
    <t>total_cost</t>
  </si>
  <si>
    <t>receiving_country</t>
  </si>
  <si>
    <t>sending_country</t>
  </si>
  <si>
    <t>citizen</t>
  </si>
  <si>
    <t>ins_time</t>
  </si>
  <si>
    <t>check</t>
  </si>
  <si>
    <t>company_inn</t>
  </si>
  <si>
    <t>brutto</t>
  </si>
  <si>
    <t>type_firma</t>
  </si>
  <si>
    <t>nakl_num</t>
  </si>
  <si>
    <t>region_add</t>
  </si>
  <si>
    <t>district_add</t>
  </si>
  <si>
    <t>pass_num</t>
  </si>
  <si>
    <t>kkdg</t>
  </si>
  <si>
    <t>receiver_inn</t>
  </si>
  <si>
    <t>pass_ser</t>
  </si>
  <si>
    <t>internet</t>
  </si>
  <si>
    <t>test</t>
  </si>
  <si>
    <t>id</t>
  </si>
  <si>
    <t>id_pochta</t>
  </si>
  <si>
    <t>number</t>
  </si>
  <si>
    <t>unit</t>
  </si>
  <si>
    <t>netto</t>
  </si>
  <si>
    <t>quantity</t>
  </si>
  <si>
    <t>cost</t>
  </si>
  <si>
    <t>currency</t>
  </si>
  <si>
    <t>tiftn</t>
  </si>
  <si>
    <t>random betwwen 1-3</t>
  </si>
  <si>
    <t>district</t>
  </si>
  <si>
    <t>count_items</t>
  </si>
  <si>
    <t>realweight</t>
  </si>
  <si>
    <t>UPPER</t>
  </si>
  <si>
    <t>REAL PRICE OF BOX</t>
  </si>
  <si>
    <t>ADRESS:</t>
  </si>
  <si>
    <t>RESIVER ADRESS DISRICT</t>
  </si>
  <si>
    <t>REALWEIGHT</t>
  </si>
  <si>
    <t>PRICE</t>
  </si>
  <si>
    <t>INVOICE No_</t>
  </si>
  <si>
    <t>TODAY DATE</t>
  </si>
  <si>
    <t>CURRENT TIME</t>
  </si>
  <si>
    <t>address</t>
  </si>
  <si>
    <t>AA</t>
  </si>
  <si>
    <t>TOSHKENT S</t>
  </si>
  <si>
    <t>TOSHKENT</t>
  </si>
  <si>
    <t>FAMILIYA</t>
  </si>
  <si>
    <t>ISMI</t>
  </si>
  <si>
    <t>PASSPORT SER</t>
  </si>
  <si>
    <t>PASSPORT NUM</t>
  </si>
  <si>
    <t>KURTKA</t>
  </si>
  <si>
    <t>KRASOVKA</t>
  </si>
  <si>
    <t>SVITER</t>
  </si>
  <si>
    <t>MAYKA</t>
  </si>
  <si>
    <t>LASINA</t>
  </si>
  <si>
    <t>NASKI</t>
  </si>
  <si>
    <t>KOYLAK</t>
  </si>
  <si>
    <t>SPARTIVKA</t>
  </si>
  <si>
    <t>PASTEL</t>
  </si>
  <si>
    <t>KOFTA</t>
  </si>
  <si>
    <t>ETIK</t>
  </si>
  <si>
    <t>KALGOTKI</t>
  </si>
  <si>
    <t>TAPCHKA</t>
  </si>
  <si>
    <t>OBIV</t>
  </si>
  <si>
    <t>BEZRUKAVKA</t>
  </si>
  <si>
    <t>SHIRINLIKLAR</t>
  </si>
  <si>
    <t>PROSTINA</t>
  </si>
  <si>
    <t>ICHKIYIM</t>
  </si>
  <si>
    <t>TROYKA</t>
  </si>
  <si>
    <t>NAVLICKJA</t>
  </si>
  <si>
    <t>RANDOM TOVAR</t>
  </si>
  <si>
    <t>BU VESHI</t>
  </si>
  <si>
    <t>JENSKIY KOYLAK</t>
  </si>
  <si>
    <t>DETSKIY TURSIK</t>
  </si>
  <si>
    <t>DVOYKA</t>
  </si>
  <si>
    <t>SHALVAR</t>
  </si>
  <si>
    <t>DETSKIY NABOR</t>
  </si>
  <si>
    <t>KILO:</t>
  </si>
  <si>
    <t>DETKIY KOYLAK</t>
  </si>
  <si>
    <t>RANDOM</t>
  </si>
  <si>
    <t>TOLIBOV</t>
  </si>
  <si>
    <t>YUSUFJON</t>
  </si>
  <si>
    <t>6645341</t>
  </si>
  <si>
    <t>DALIMOVA</t>
  </si>
  <si>
    <t>SHOAXISTA</t>
  </si>
  <si>
    <t>5400292</t>
  </si>
  <si>
    <t>MIRKHANOVA</t>
  </si>
  <si>
    <t>KHOLIDA</t>
  </si>
  <si>
    <t>AB</t>
  </si>
  <si>
    <t>2277490</t>
  </si>
  <si>
    <t>FARGONA VILOYATI</t>
  </si>
  <si>
    <t>SARAROV</t>
  </si>
  <si>
    <t>JAMSHID</t>
  </si>
  <si>
    <t>7818905</t>
  </si>
  <si>
    <t>BUXORO VILOYATI</t>
  </si>
  <si>
    <t>UMEDOV</t>
  </si>
  <si>
    <t>ABDUVOKHID</t>
  </si>
  <si>
    <t>0246611</t>
  </si>
  <si>
    <t>TOSHKENBAEVA</t>
  </si>
  <si>
    <t>SHIRIN</t>
  </si>
  <si>
    <t>4025654</t>
  </si>
  <si>
    <t>ISMATOVA</t>
  </si>
  <si>
    <t>DILBAR</t>
  </si>
  <si>
    <t>3742019</t>
  </si>
  <si>
    <t>ABDURAKHMONOVA</t>
  </si>
  <si>
    <t>ISLOMJON</t>
  </si>
  <si>
    <t>5956776</t>
  </si>
  <si>
    <t>BEDYOROVA</t>
  </si>
  <si>
    <t>ZAYNAB</t>
  </si>
  <si>
    <t>2269546</t>
  </si>
  <si>
    <t>YUSUPOVA</t>
  </si>
  <si>
    <t>GOZAL</t>
  </si>
  <si>
    <t>6341687</t>
  </si>
  <si>
    <t>XORAZM VILOYATI</t>
  </si>
  <si>
    <t>KABINOVA</t>
  </si>
  <si>
    <t>UMIDA</t>
  </si>
  <si>
    <t>0513875</t>
  </si>
  <si>
    <t>TURAKHOJAYEVA</t>
  </si>
  <si>
    <t>AKMALJON</t>
  </si>
  <si>
    <t>4292984</t>
  </si>
  <si>
    <t>TOSHBOEVA</t>
  </si>
  <si>
    <t>NIGORA</t>
  </si>
  <si>
    <t>4248847</t>
  </si>
  <si>
    <t>TOSHKENT VILOYATI</t>
  </si>
  <si>
    <t>7903719</t>
  </si>
  <si>
    <t>INOGAMOVA</t>
  </si>
  <si>
    <t>SHAKHNOZA</t>
  </si>
  <si>
    <t>5910048</t>
  </si>
  <si>
    <t>HAKIMOVA</t>
  </si>
  <si>
    <t>AZIZA</t>
  </si>
  <si>
    <t>2456377</t>
  </si>
  <si>
    <t>JURAEVA</t>
  </si>
  <si>
    <t>KHILOLA</t>
  </si>
  <si>
    <t>1150065</t>
  </si>
  <si>
    <t>ISROILOVA</t>
  </si>
  <si>
    <t>MIYASSARKHON</t>
  </si>
  <si>
    <t>5093941</t>
  </si>
  <si>
    <t>ANDIJON VILOYATI</t>
  </si>
  <si>
    <t>SAIDOVA</t>
  </si>
  <si>
    <t>ZARNIGOR</t>
  </si>
  <si>
    <t>0050518</t>
  </si>
  <si>
    <t>USMANOVA</t>
  </si>
  <si>
    <t>SHAKHZODA</t>
  </si>
  <si>
    <t>2371362</t>
  </si>
  <si>
    <t>JORAEV</t>
  </si>
  <si>
    <t>SHAKHZOD</t>
  </si>
  <si>
    <t>6586575</t>
  </si>
  <si>
    <t>ABDURAKHMANOV</t>
  </si>
  <si>
    <t>AZAM</t>
  </si>
  <si>
    <t>0326638</t>
  </si>
  <si>
    <t>SAIDAKRAMOVA</t>
  </si>
  <si>
    <t>SAIDAMIRKHAN</t>
  </si>
  <si>
    <t>0089141</t>
  </si>
  <si>
    <t>ABDIRAKHMANOVA</t>
  </si>
  <si>
    <t>ZIYODA</t>
  </si>
  <si>
    <t>4454735</t>
  </si>
  <si>
    <t>ANVAROV</t>
  </si>
  <si>
    <t>JAKHONGIR</t>
  </si>
  <si>
    <t>1572505</t>
  </si>
  <si>
    <t>KARIMOV</t>
  </si>
  <si>
    <t>FAHRIDDIN</t>
  </si>
  <si>
    <t>3398261</t>
  </si>
  <si>
    <t>RAXMANOV</t>
  </si>
  <si>
    <t>BORI</t>
  </si>
  <si>
    <t>7519666</t>
  </si>
  <si>
    <t>OSAROV</t>
  </si>
  <si>
    <t>SHUXRAT</t>
  </si>
  <si>
    <t>8832590</t>
  </si>
  <si>
    <t>MAHKAMOVA</t>
  </si>
  <si>
    <t>NASIBA</t>
  </si>
  <si>
    <t>5865707</t>
  </si>
  <si>
    <t>ASHUROVA</t>
  </si>
  <si>
    <t>FOTIMA</t>
  </si>
  <si>
    <t>9905118</t>
  </si>
  <si>
    <t>ASHUROV</t>
  </si>
  <si>
    <t>SUXROBJON</t>
  </si>
  <si>
    <t>3956631</t>
  </si>
  <si>
    <t>2152056</t>
  </si>
  <si>
    <t>MIRZAQAMBAROVA</t>
  </si>
  <si>
    <t>ABDUJAVLON</t>
  </si>
  <si>
    <t>2852914</t>
  </si>
  <si>
    <t>KROS</t>
  </si>
  <si>
    <t>8177023</t>
  </si>
  <si>
    <t>AHMEDOV</t>
  </si>
  <si>
    <t>SHAXZOD</t>
  </si>
  <si>
    <t>1324178</t>
  </si>
  <si>
    <t>0334235</t>
  </si>
  <si>
    <t>SALFETKA</t>
  </si>
  <si>
    <t>QURBONOVA</t>
  </si>
  <si>
    <t>LAYLO</t>
  </si>
  <si>
    <t>4739705</t>
  </si>
  <si>
    <t>NARGIZA</t>
  </si>
  <si>
    <t>0350461</t>
  </si>
  <si>
    <t>HASANOV</t>
  </si>
  <si>
    <t>ODIL</t>
  </si>
  <si>
    <t>2262416</t>
  </si>
  <si>
    <t>NAZAROVA</t>
  </si>
  <si>
    <t>KOMILJON</t>
  </si>
  <si>
    <t>7623253</t>
  </si>
  <si>
    <t>NAZAROV</t>
  </si>
  <si>
    <t>XAMRAQULOV</t>
  </si>
  <si>
    <t>BAXTIYOR</t>
  </si>
  <si>
    <t>6720643</t>
  </si>
  <si>
    <t>PIJAMA</t>
  </si>
  <si>
    <t>SUMKA</t>
  </si>
  <si>
    <t>0032512</t>
  </si>
  <si>
    <t>GEORGIADIS</t>
  </si>
  <si>
    <t>SERGEY</t>
  </si>
  <si>
    <t>2076643</t>
  </si>
  <si>
    <t>PARMANOVA</t>
  </si>
  <si>
    <t>XOLIDA</t>
  </si>
  <si>
    <t>7239387</t>
  </si>
  <si>
    <t>8912976</t>
  </si>
  <si>
    <t>AZIMOVA</t>
  </si>
  <si>
    <t>MADINA</t>
  </si>
  <si>
    <t>6445903</t>
  </si>
  <si>
    <t>5034052</t>
  </si>
  <si>
    <t>MUYASSAR</t>
  </si>
  <si>
    <t>MUHRATULLAYEVA</t>
  </si>
  <si>
    <t>9492995</t>
  </si>
  <si>
    <t>ESHONQULOVA</t>
  </si>
  <si>
    <t>8329635</t>
  </si>
  <si>
    <t>ALIMOV</t>
  </si>
  <si>
    <t>ILHOM</t>
  </si>
  <si>
    <t>4751641</t>
  </si>
  <si>
    <t>SOIPOV</t>
  </si>
  <si>
    <t>DILSHOD</t>
  </si>
  <si>
    <t>5528991</t>
  </si>
  <si>
    <t>SALIMOV</t>
  </si>
  <si>
    <t>KARIM</t>
  </si>
  <si>
    <t>1038277</t>
  </si>
  <si>
    <t>RAXIMOV</t>
  </si>
  <si>
    <t>AKMAL</t>
  </si>
  <si>
    <t>7688498</t>
  </si>
  <si>
    <t>PATKHULLAYEVA</t>
  </si>
  <si>
    <t>FRUZA</t>
  </si>
  <si>
    <t>2125533</t>
  </si>
  <si>
    <t>2619265</t>
  </si>
  <si>
    <t>DILMUROD</t>
  </si>
  <si>
    <t>TILLABOEVA</t>
  </si>
  <si>
    <t>MARIFAT</t>
  </si>
  <si>
    <t>1652589</t>
  </si>
  <si>
    <t>2456558</t>
  </si>
  <si>
    <t>ROZMETOV</t>
  </si>
  <si>
    <t>ERGASHEV</t>
  </si>
  <si>
    <t>1166516</t>
  </si>
  <si>
    <t>MUSURMANKUL</t>
  </si>
  <si>
    <t>0796837</t>
  </si>
  <si>
    <t>HAYDKULOV</t>
  </si>
  <si>
    <t>SAIDKAMOL</t>
  </si>
  <si>
    <t>3549824</t>
  </si>
  <si>
    <t>OCHILOV</t>
  </si>
  <si>
    <t>RUSTAM</t>
  </si>
  <si>
    <t>4003738</t>
  </si>
  <si>
    <t>YOQUBOV</t>
  </si>
  <si>
    <t>LOCHINBEK</t>
  </si>
  <si>
    <t>3276820</t>
  </si>
  <si>
    <t>SHARIFA</t>
  </si>
  <si>
    <t>8162931</t>
  </si>
  <si>
    <t>ISMOILOV</t>
  </si>
  <si>
    <t>ILGORJON</t>
  </si>
  <si>
    <t>7291458</t>
  </si>
  <si>
    <t>SHERMUXAMEDOVA</t>
  </si>
  <si>
    <t>ANARBUSH</t>
  </si>
  <si>
    <t>7205907</t>
  </si>
  <si>
    <t>0110241</t>
  </si>
  <si>
    <t>2455656</t>
  </si>
  <si>
    <t>DILOROM</t>
  </si>
  <si>
    <t>9675916</t>
  </si>
  <si>
    <t>TURDIEV</t>
  </si>
  <si>
    <t>2414565</t>
  </si>
  <si>
    <t>SITORA</t>
  </si>
  <si>
    <t>7679258</t>
  </si>
  <si>
    <t>UMAROVA</t>
  </si>
  <si>
    <t>2060308</t>
  </si>
  <si>
    <t>1456587</t>
  </si>
  <si>
    <t>2566896</t>
  </si>
  <si>
    <t>2856541</t>
  </si>
  <si>
    <t>1236456</t>
  </si>
  <si>
    <t>1478788</t>
  </si>
  <si>
    <t>ULFATULLAYEVA</t>
  </si>
  <si>
    <t>SAYYORA</t>
  </si>
  <si>
    <t>5397766</t>
  </si>
  <si>
    <t>ISMATOV</t>
  </si>
  <si>
    <t>RAHMATJON</t>
  </si>
  <si>
    <t>2863526</t>
  </si>
  <si>
    <t>3443655</t>
  </si>
  <si>
    <t>NURIDDINOVA</t>
  </si>
  <si>
    <t>DILAFRUZ</t>
  </si>
  <si>
    <t>6312388</t>
  </si>
  <si>
    <t>FAYZULLAYEV</t>
  </si>
  <si>
    <t>JAHONGIR</t>
  </si>
  <si>
    <t>7400795</t>
  </si>
  <si>
    <t>IBRAGIMO</t>
  </si>
  <si>
    <t>1937306</t>
  </si>
  <si>
    <t>AHMEDOVA</t>
  </si>
  <si>
    <t>ZUHRA</t>
  </si>
  <si>
    <t>2033489</t>
  </si>
  <si>
    <t>2170309</t>
  </si>
  <si>
    <t>2821828</t>
  </si>
  <si>
    <t>MIRNIYAZOVA</t>
  </si>
  <si>
    <t>NILUFAR</t>
  </si>
  <si>
    <t>3058899</t>
  </si>
  <si>
    <t>ABDULLAEVA</t>
  </si>
  <si>
    <t>6669540</t>
  </si>
  <si>
    <t>IBRAGIMOVA</t>
  </si>
  <si>
    <t>YULDUZ</t>
  </si>
  <si>
    <t>5594248</t>
  </si>
  <si>
    <t>EKATIRINA</t>
  </si>
  <si>
    <t>TSOY</t>
  </si>
  <si>
    <t>0386119</t>
  </si>
  <si>
    <t>3742974</t>
  </si>
  <si>
    <t>BAYDULLAYEVA</t>
  </si>
  <si>
    <t>DIANA</t>
  </si>
  <si>
    <t>0214330</t>
  </si>
  <si>
    <t>ZAFAROVA</t>
  </si>
  <si>
    <t>5141555</t>
  </si>
  <si>
    <t>3815921</t>
  </si>
  <si>
    <t>0949882</t>
  </si>
  <si>
    <t>RIZIDA</t>
  </si>
  <si>
    <t>0643525</t>
  </si>
  <si>
    <t>TOLIPOVA</t>
  </si>
  <si>
    <t>0148932</t>
  </si>
  <si>
    <t>AZIZOVA</t>
  </si>
  <si>
    <t>7341103</t>
  </si>
  <si>
    <t>BEYUSOV</t>
  </si>
  <si>
    <t>RUSLAN</t>
  </si>
  <si>
    <t>8703956</t>
  </si>
  <si>
    <t>YUNUSALIEVA</t>
  </si>
  <si>
    <t>SEVARA</t>
  </si>
  <si>
    <t>9787931</t>
  </si>
  <si>
    <t>VADALASKA</t>
  </si>
  <si>
    <t>MURADOV</t>
  </si>
  <si>
    <t>TOLIBJON</t>
  </si>
  <si>
    <t>9184548</t>
  </si>
  <si>
    <t>ABDUNABIYEV</t>
  </si>
  <si>
    <t>ABDUKODIR</t>
  </si>
  <si>
    <t>0450165</t>
  </si>
  <si>
    <t>JORAYEV</t>
  </si>
  <si>
    <t>BAHODIR</t>
  </si>
  <si>
    <t>6094868</t>
  </si>
  <si>
    <t>TAYLOQOVA</t>
  </si>
  <si>
    <t>OLMASOY</t>
  </si>
  <si>
    <t>4855990</t>
  </si>
  <si>
    <t>YOLDOSHEV</t>
  </si>
  <si>
    <t>NOZIMBEK</t>
  </si>
  <si>
    <t>7733762</t>
  </si>
  <si>
    <t>SHAHRAMOVA</t>
  </si>
  <si>
    <t>ZULHUMOR</t>
  </si>
  <si>
    <t>3378171</t>
  </si>
  <si>
    <t>KHALILOVA</t>
  </si>
  <si>
    <t>ZILOLA</t>
  </si>
  <si>
    <t>5279751</t>
  </si>
  <si>
    <t>HAYATOVA</t>
  </si>
  <si>
    <t>0805228</t>
  </si>
  <si>
    <t>PARDAYEV</t>
  </si>
  <si>
    <t>SUHROB</t>
  </si>
  <si>
    <t>9314193</t>
  </si>
  <si>
    <t>ERALIYEV</t>
  </si>
  <si>
    <t>MUHAMMADJON</t>
  </si>
  <si>
    <t>0612089</t>
  </si>
  <si>
    <t>ERKINOVA</t>
  </si>
  <si>
    <t>MOHINUR</t>
  </si>
  <si>
    <t>0679802</t>
  </si>
  <si>
    <t>8079800</t>
  </si>
  <si>
    <t>BOTAYEV</t>
  </si>
  <si>
    <t>ABDUHOLIK</t>
  </si>
  <si>
    <t>5197531</t>
  </si>
  <si>
    <t>NORMATOVA</t>
  </si>
  <si>
    <t>7417358</t>
  </si>
  <si>
    <t>ABDULLAYEVA</t>
  </si>
  <si>
    <t>YAYRA</t>
  </si>
  <si>
    <t>4142957</t>
  </si>
  <si>
    <t>NURMATOVA</t>
  </si>
  <si>
    <t>HOLIDA</t>
  </si>
  <si>
    <t>8011385</t>
  </si>
  <si>
    <t>HODJIYEVA</t>
  </si>
  <si>
    <t>MALOHAT</t>
  </si>
  <si>
    <t>4688370</t>
  </si>
  <si>
    <t>7780389</t>
  </si>
  <si>
    <t>UMAROV</t>
  </si>
  <si>
    <t>DONIYOR</t>
  </si>
  <si>
    <t>3385576</t>
  </si>
  <si>
    <t>DAVLATOV</t>
  </si>
  <si>
    <t>UMID</t>
  </si>
  <si>
    <t>8825319</t>
  </si>
  <si>
    <t>1901123</t>
  </si>
  <si>
    <t>NIGMATOV</t>
  </si>
  <si>
    <t>HUDOYKULJONOV</t>
  </si>
  <si>
    <t>2387406</t>
  </si>
  <si>
    <t>RAHIMNAZAROVA</t>
  </si>
  <si>
    <t>FLORA</t>
  </si>
  <si>
    <t>6418028</t>
  </si>
  <si>
    <t>GANIYEVA</t>
  </si>
  <si>
    <t>4853994</t>
  </si>
  <si>
    <t>RAHIMOVA</t>
  </si>
  <si>
    <t>SHOHIDA</t>
  </si>
  <si>
    <t>XOLMURODOV</t>
  </si>
  <si>
    <t>FERUZ</t>
  </si>
  <si>
    <t>TADJIYEV</t>
  </si>
  <si>
    <t>YOLDOSH</t>
  </si>
  <si>
    <t>AYAKULOVA</t>
  </si>
  <si>
    <t>MARXAMAT</t>
  </si>
  <si>
    <t>DJASAROVA</t>
  </si>
  <si>
    <t>FAROGAT</t>
  </si>
  <si>
    <t>MIRXAMIDOV</t>
  </si>
  <si>
    <t>ADHAM</t>
  </si>
  <si>
    <t>MAXKAMOVA</t>
  </si>
  <si>
    <t>MUATTAR</t>
  </si>
  <si>
    <t>XUDAYQULOV</t>
  </si>
  <si>
    <t>AKBAR</t>
  </si>
  <si>
    <t>MUKUMOV</t>
  </si>
  <si>
    <t>TOGAY</t>
  </si>
  <si>
    <t>ARTIKOVA</t>
  </si>
  <si>
    <t>TAMILA</t>
  </si>
  <si>
    <t>FARMONOV</t>
  </si>
  <si>
    <t>AKOBIR</t>
  </si>
  <si>
    <t>BAZAROVA</t>
  </si>
  <si>
    <t>GULSUN</t>
  </si>
  <si>
    <t>AXMEDOVA</t>
  </si>
  <si>
    <t>SHAKAR</t>
  </si>
  <si>
    <t>ANASTASIYA</t>
  </si>
  <si>
    <t>EGAMBERDIYEV</t>
  </si>
  <si>
    <t>NIZAMIDDIN</t>
  </si>
  <si>
    <t>XAYRINISO</t>
  </si>
  <si>
    <t>ERKAYEV</t>
  </si>
  <si>
    <t>BOTIRALI</t>
  </si>
  <si>
    <t>ISLAMOVA</t>
  </si>
  <si>
    <t>MOHIN</t>
  </si>
  <si>
    <t>SADIKOVA</t>
  </si>
  <si>
    <t>NASIMAXON</t>
  </si>
  <si>
    <t>0637081</t>
  </si>
  <si>
    <t>ASQAROVA</t>
  </si>
  <si>
    <t>SAHXNOZA</t>
  </si>
  <si>
    <t>AC</t>
  </si>
  <si>
    <t>4699798</t>
  </si>
  <si>
    <t>TURGAMBAYEVA</t>
  </si>
  <si>
    <t>NARJAN</t>
  </si>
  <si>
    <t>ABDURAXMONOV</t>
  </si>
  <si>
    <t>XAYRULLA</t>
  </si>
  <si>
    <t>ESHQUVATOVA</t>
  </si>
  <si>
    <t>FARIDA</t>
  </si>
  <si>
    <t>XALIMZODA</t>
  </si>
  <si>
    <t>XABIBILO</t>
  </si>
  <si>
    <t>XOLIKOV</t>
  </si>
  <si>
    <t>ELDOR</t>
  </si>
  <si>
    <t>NEGMATOVA</t>
  </si>
  <si>
    <t>MEXRINISO</t>
  </si>
  <si>
    <t>TESHABOYEVA</t>
  </si>
  <si>
    <t>GULNORA</t>
  </si>
  <si>
    <t>QAZAQOV</t>
  </si>
  <si>
    <t>JASUR</t>
  </si>
  <si>
    <t>MAXMUDOV</t>
  </si>
  <si>
    <t>SHERZOD</t>
  </si>
  <si>
    <t>POLATOV</t>
  </si>
  <si>
    <t>MUXAMADAMIN</t>
  </si>
  <si>
    <t>AGZAMOVA</t>
  </si>
  <si>
    <t>MAVJUDA</t>
  </si>
  <si>
    <t>AGZAMOV</t>
  </si>
  <si>
    <t>MIRALIM</t>
  </si>
  <si>
    <t>NISHONOVA</t>
  </si>
  <si>
    <t>SOXIBAXON</t>
  </si>
  <si>
    <t>MOXIRA</t>
  </si>
  <si>
    <t>QODIROVA</t>
  </si>
  <si>
    <t>FERUZA</t>
  </si>
  <si>
    <t>ABDULLAYEV</t>
  </si>
  <si>
    <t>ERKINBOY</t>
  </si>
  <si>
    <t>KASIMOVA</t>
  </si>
  <si>
    <t>GULNOZA</t>
  </si>
  <si>
    <t>NAZIRA</t>
  </si>
  <si>
    <t>OTAXONOV</t>
  </si>
  <si>
    <t>JOXONGIROV</t>
  </si>
  <si>
    <t>MURODXOJA</t>
  </si>
  <si>
    <t>SHAXZODA</t>
  </si>
  <si>
    <t>ABDULAYOVA</t>
  </si>
  <si>
    <t>NIGORAXON</t>
  </si>
  <si>
    <t>VALIYEVA</t>
  </si>
  <si>
    <t>MATYAKUBOVA</t>
  </si>
  <si>
    <t>MANZURA</t>
  </si>
  <si>
    <t>BOBURBEK</t>
  </si>
  <si>
    <t>ISHMURODOVA</t>
  </si>
  <si>
    <t>TURSUNOY</t>
  </si>
  <si>
    <t>ALMATOV</t>
  </si>
  <si>
    <t>FARUX</t>
  </si>
  <si>
    <t>TURDIXON</t>
  </si>
  <si>
    <t>ISROILOV</t>
  </si>
  <si>
    <t>ISMOIL</t>
  </si>
  <si>
    <t>AMANKULOVA</t>
  </si>
  <si>
    <t>IRODA</t>
  </si>
  <si>
    <t>INOMOVA</t>
  </si>
  <si>
    <t>XILOLA</t>
  </si>
  <si>
    <t>AMANQULOV</t>
  </si>
  <si>
    <t>TURSINOY</t>
  </si>
  <si>
    <t>KASIMOV</t>
  </si>
  <si>
    <t>KAMOLLIDIN</t>
  </si>
  <si>
    <t>NASRIDINOVA</t>
  </si>
  <si>
    <t>GAVXAROY</t>
  </si>
  <si>
    <t>MOMINOVA</t>
  </si>
  <si>
    <t>ISMAILOVA</t>
  </si>
  <si>
    <t>AXROROV</t>
  </si>
  <si>
    <t>MUXAMADYUSUF</t>
  </si>
  <si>
    <t>SAFAROV</t>
  </si>
  <si>
    <t>TEMUR</t>
  </si>
  <si>
    <t>DILDORA</t>
  </si>
  <si>
    <t>DANIYAROVA</t>
  </si>
  <si>
    <t>XALIDA</t>
  </si>
  <si>
    <t>KOMILOVA</t>
  </si>
  <si>
    <t>BAXTIXON</t>
  </si>
  <si>
    <t>MURADOVA</t>
  </si>
  <si>
    <t>AYSORA</t>
  </si>
  <si>
    <t>YAKUBOVA</t>
  </si>
  <si>
    <t>XADJRABIY</t>
  </si>
  <si>
    <t>XASHIMOVA</t>
  </si>
  <si>
    <t>NAZOKAT</t>
  </si>
  <si>
    <t>ERGASHEVA</t>
  </si>
  <si>
    <t>MUAZAMXON</t>
  </si>
  <si>
    <t>ORIPOV</t>
  </si>
  <si>
    <t>NORTOJI</t>
  </si>
  <si>
    <t>NODIROVA</t>
  </si>
  <si>
    <t>ISLOMIDDIN</t>
  </si>
  <si>
    <t>MASHARIPOVA</t>
  </si>
  <si>
    <t>SOBIROV</t>
  </si>
  <si>
    <t>OYZODA</t>
  </si>
  <si>
    <t>ABDULAYEVA</t>
  </si>
  <si>
    <t>GULASAL</t>
  </si>
  <si>
    <t>ZUXRA</t>
  </si>
  <si>
    <t>SULAYMANOVA</t>
  </si>
  <si>
    <t>SHOIRA</t>
  </si>
  <si>
    <t>MIRZAAXMEDOV</t>
  </si>
  <si>
    <t>ABDULLAJON</t>
  </si>
  <si>
    <t>KUROLOV</t>
  </si>
  <si>
    <t>SHAMIL</t>
  </si>
  <si>
    <t>RIKSIBAYEVA</t>
  </si>
  <si>
    <t>KOBILJON</t>
  </si>
  <si>
    <t>KURBANOVA</t>
  </si>
  <si>
    <t>MUXAYYO</t>
  </si>
  <si>
    <t>IMINJANOVA</t>
  </si>
  <si>
    <t>YODGORA</t>
  </si>
  <si>
    <t>RAVSHANOVA</t>
  </si>
  <si>
    <t>OYSARA</t>
  </si>
  <si>
    <t>URAQOV</t>
  </si>
  <si>
    <t>IKROM</t>
  </si>
  <si>
    <t>SALIYOV</t>
  </si>
  <si>
    <t>NURIDINJON</t>
  </si>
  <si>
    <t>NOZIMAXON</t>
  </si>
  <si>
    <t>MIRSAIDOVA</t>
  </si>
  <si>
    <t>DILNOZA</t>
  </si>
  <si>
    <t>KENJAYEVA</t>
  </si>
  <si>
    <t>TURSUNXON</t>
  </si>
  <si>
    <t>BOYMIRZAEVA</t>
  </si>
  <si>
    <t>TAYMUXAMEDOVA</t>
  </si>
  <si>
    <t>ODILJON</t>
  </si>
  <si>
    <t>GOFUROVA</t>
  </si>
  <si>
    <t>NIGINA</t>
  </si>
  <si>
    <t>DJABBARBERGANOVA</t>
  </si>
  <si>
    <t>HILOLA</t>
  </si>
  <si>
    <t>QOBILOVA</t>
  </si>
  <si>
    <t>MOVLUDA</t>
  </si>
  <si>
    <t>SODIQ</t>
  </si>
  <si>
    <t>KENJAYEV</t>
  </si>
  <si>
    <t>AZIZBEK</t>
  </si>
  <si>
    <t>RAXIMXOJAYOVA</t>
  </si>
  <si>
    <t>TURABEKOVA</t>
  </si>
  <si>
    <t>NAFISA</t>
  </si>
  <si>
    <t>BURANOVA</t>
  </si>
  <si>
    <t>RISOLAT</t>
  </si>
  <si>
    <t>KOBILOVA</t>
  </si>
  <si>
    <t>IKRAMOVA</t>
  </si>
  <si>
    <t>ADXAMJONOV</t>
  </si>
  <si>
    <t>ALISHER</t>
  </si>
  <si>
    <t>ATAYEV</t>
  </si>
  <si>
    <t>MUXAMET</t>
  </si>
  <si>
    <t>ASHIRMATOVA</t>
  </si>
  <si>
    <t>SHAKIROV</t>
  </si>
  <si>
    <t>LAZIZ</t>
  </si>
  <si>
    <t>ABDULXAYIROVA</t>
  </si>
  <si>
    <t>ZARIFA</t>
  </si>
  <si>
    <t>SHAMSIMATOVA</t>
  </si>
  <si>
    <t>MAXFUZA</t>
  </si>
  <si>
    <t>TURGUNOV</t>
  </si>
  <si>
    <t>RUZMATOV</t>
  </si>
  <si>
    <t>TOLIBJAON</t>
  </si>
  <si>
    <t>TURDIBEKOV</t>
  </si>
  <si>
    <t>SHOVKAT</t>
  </si>
  <si>
    <t>IBROXIMOV</t>
  </si>
  <si>
    <t>BOTIRJON</t>
  </si>
  <si>
    <t>ISAYEVA</t>
  </si>
  <si>
    <t>AMINOVA</t>
  </si>
  <si>
    <t>GULSORA</t>
  </si>
  <si>
    <t>TURSUNOV</t>
  </si>
  <si>
    <t>FARXOD</t>
  </si>
  <si>
    <t>UMARALI</t>
  </si>
  <si>
    <t>IBRAXIMOVA</t>
  </si>
  <si>
    <t>SABINA</t>
  </si>
  <si>
    <t>MIRZAAXMEDOVA</t>
  </si>
  <si>
    <t>MAJITOV</t>
  </si>
  <si>
    <t>ERGASHOVA</t>
  </si>
  <si>
    <t>AZIMA</t>
  </si>
  <si>
    <t>ZUXRIDDIN</t>
  </si>
  <si>
    <t>TURAYEVA</t>
  </si>
  <si>
    <t>MASUDA</t>
  </si>
  <si>
    <t>QORAXOJAYOVA</t>
  </si>
  <si>
    <t>XAQBERDIYEVA</t>
  </si>
  <si>
    <t>MOXICHEXRA</t>
  </si>
  <si>
    <t>AKRAMOVA</t>
  </si>
  <si>
    <t>KAMOLA</t>
  </si>
  <si>
    <t>XASANBAYEV</t>
  </si>
  <si>
    <t>OYBEK</t>
  </si>
  <si>
    <t>MIRGULSHANOV</t>
  </si>
  <si>
    <t>BEXRUZ</t>
  </si>
  <si>
    <t>AMINOV</t>
  </si>
  <si>
    <t>ABDURASHID</t>
  </si>
  <si>
    <t>BOLTABOYEVA</t>
  </si>
  <si>
    <t>KURBANALIEVA</t>
  </si>
  <si>
    <t>ZEBO</t>
  </si>
  <si>
    <t>RASULOVA</t>
  </si>
  <si>
    <t>SOXIBOV</t>
  </si>
  <si>
    <t>BAXROM</t>
  </si>
  <si>
    <t>SULAYMONOVA</t>
  </si>
  <si>
    <t>ZEBINISO</t>
  </si>
  <si>
    <t>DIKANOV</t>
  </si>
  <si>
    <t>SULTONOV</t>
  </si>
  <si>
    <t>SALAXOVA</t>
  </si>
  <si>
    <t>ZARINA</t>
  </si>
  <si>
    <t>RANOXAN</t>
  </si>
  <si>
    <t>SHUKUROVA</t>
  </si>
  <si>
    <t>MINNNAVAR</t>
  </si>
  <si>
    <t>BORISOV</t>
  </si>
  <si>
    <t>ANOR</t>
  </si>
  <si>
    <t>0010301</t>
  </si>
  <si>
    <t>OTKIROV</t>
  </si>
  <si>
    <t>ABDUJABBOR</t>
  </si>
  <si>
    <t>0024880</t>
  </si>
  <si>
    <t>MIRBOBEVA</t>
  </si>
  <si>
    <t>MAKHKAMOVA</t>
  </si>
  <si>
    <t>0061172</t>
  </si>
  <si>
    <t>AKPULATOV</t>
  </si>
  <si>
    <t>0069488</t>
  </si>
  <si>
    <t>NODIRA</t>
  </si>
  <si>
    <t>0100038</t>
  </si>
  <si>
    <t>ALIMOVA</t>
  </si>
  <si>
    <t>0110351</t>
  </si>
  <si>
    <t>KOSIMOV</t>
  </si>
  <si>
    <t>JAVOKHIR</t>
  </si>
  <si>
    <t>0152152</t>
  </si>
  <si>
    <t>MALIKA</t>
  </si>
  <si>
    <t>0190019</t>
  </si>
  <si>
    <t>TORAYEVA</t>
  </si>
  <si>
    <t>0237661</t>
  </si>
  <si>
    <t>NURIDDINOV</t>
  </si>
  <si>
    <t>SAIDRAXIM</t>
  </si>
  <si>
    <t>0276016</t>
  </si>
  <si>
    <t>0342226</t>
  </si>
  <si>
    <t>KHIMMATOV</t>
  </si>
  <si>
    <t>0345512</t>
  </si>
  <si>
    <t>SODIBEKOVA</t>
  </si>
  <si>
    <t>HURIYATXON</t>
  </si>
  <si>
    <t>0368462</t>
  </si>
  <si>
    <t>DILRABO</t>
  </si>
  <si>
    <t>0388850</t>
  </si>
  <si>
    <t>NARXOJAYEVA</t>
  </si>
  <si>
    <t>0403466</t>
  </si>
  <si>
    <t>ABDURAHMONOV</t>
  </si>
  <si>
    <t>SOHIBJON</t>
  </si>
  <si>
    <t>0413403</t>
  </si>
  <si>
    <t>DILDORAXON</t>
  </si>
  <si>
    <t>0452185</t>
  </si>
  <si>
    <t>YULDASHEV</t>
  </si>
  <si>
    <t>SHOXRUXMIRZO</t>
  </si>
  <si>
    <t>0463608</t>
  </si>
  <si>
    <t>KODIROVA</t>
  </si>
  <si>
    <t>0524853</t>
  </si>
  <si>
    <t>0524854</t>
  </si>
  <si>
    <t>0560870</t>
  </si>
  <si>
    <t>UZAKOVA</t>
  </si>
  <si>
    <t>SAIDAXON</t>
  </si>
  <si>
    <t>0564675</t>
  </si>
  <si>
    <t>IBODULLAEV</t>
  </si>
  <si>
    <t>JAVOHIR</t>
  </si>
  <si>
    <t>0638919</t>
  </si>
  <si>
    <t>ELBEKOVA</t>
  </si>
  <si>
    <t>DILNORA</t>
  </si>
  <si>
    <t>0647371</t>
  </si>
  <si>
    <t>XASANOVA</t>
  </si>
  <si>
    <t>DILFUZ</t>
  </si>
  <si>
    <t>0662558</t>
  </si>
  <si>
    <t>0665995</t>
  </si>
  <si>
    <t>SARDOR</t>
  </si>
  <si>
    <t>0733966</t>
  </si>
  <si>
    <t>SAYDULLAYEV</t>
  </si>
  <si>
    <t>KHIKMATULLA</t>
  </si>
  <si>
    <t>0735293</t>
  </si>
  <si>
    <t>TOLABOEVA</t>
  </si>
  <si>
    <t>GULCHEHRA</t>
  </si>
  <si>
    <t>0774549</t>
  </si>
  <si>
    <t>PIRIMOV</t>
  </si>
  <si>
    <t>ABDULLA</t>
  </si>
  <si>
    <t>0826289</t>
  </si>
  <si>
    <t>LUTFULLAYEVA</t>
  </si>
  <si>
    <t>MUSHTARIY</t>
  </si>
  <si>
    <t>0835443</t>
  </si>
  <si>
    <t>ABDUKODIROV</t>
  </si>
  <si>
    <t>ABDULAKHADJON</t>
  </si>
  <si>
    <t>0876881</t>
  </si>
  <si>
    <t>KOCHKINOVA</t>
  </si>
  <si>
    <t>KHALIMA</t>
  </si>
  <si>
    <t>0985014</t>
  </si>
  <si>
    <t>SOATOVA</t>
  </si>
  <si>
    <t>ZULFIYA</t>
  </si>
  <si>
    <t>1002103</t>
  </si>
  <si>
    <t>OTKIR</t>
  </si>
  <si>
    <t>1034270</t>
  </si>
  <si>
    <t>JABBAROVA</t>
  </si>
  <si>
    <t>1103510</t>
  </si>
  <si>
    <t>1263832</t>
  </si>
  <si>
    <t>AZAMOV</t>
  </si>
  <si>
    <t>ABDUMUROD</t>
  </si>
  <si>
    <t>1316362</t>
  </si>
  <si>
    <t>KORAEVA</t>
  </si>
  <si>
    <t>NAVRUZGUL</t>
  </si>
  <si>
    <t>1327375</t>
  </si>
  <si>
    <t>OMARBEKOVA</t>
  </si>
  <si>
    <t>1433864</t>
  </si>
  <si>
    <t>SHORAXMEDOVA</t>
  </si>
  <si>
    <t>1521303</t>
  </si>
  <si>
    <t>OLIMOV</t>
  </si>
  <si>
    <t>1688803</t>
  </si>
  <si>
    <t>JORAYEVA</t>
  </si>
  <si>
    <t>1699077</t>
  </si>
  <si>
    <t>MAHMUDOVA</t>
  </si>
  <si>
    <t>HAYRINISO</t>
  </si>
  <si>
    <t>1813529</t>
  </si>
  <si>
    <t>NIYOZMATOV</t>
  </si>
  <si>
    <t>1816567</t>
  </si>
  <si>
    <t>SAYDALIMOVA</t>
  </si>
  <si>
    <t>1830573</t>
  </si>
  <si>
    <t>VOHIDOVA</t>
  </si>
  <si>
    <t>DIYOR</t>
  </si>
  <si>
    <t>1839469</t>
  </si>
  <si>
    <t>SHODIEV</t>
  </si>
  <si>
    <t>ABRORJON</t>
  </si>
  <si>
    <t>1913952</t>
  </si>
  <si>
    <t>LYUBOV</t>
  </si>
  <si>
    <t>1979415</t>
  </si>
  <si>
    <t>2024049</t>
  </si>
  <si>
    <t>ZIYADOV</t>
  </si>
  <si>
    <t>ABDULBORIY</t>
  </si>
  <si>
    <t>2066299</t>
  </si>
  <si>
    <t>2068704</t>
  </si>
  <si>
    <t>KHABIBULLAYEV</t>
  </si>
  <si>
    <t>NASIM</t>
  </si>
  <si>
    <t>2173930</t>
  </si>
  <si>
    <t>MAFTUNA</t>
  </si>
  <si>
    <t>2234334</t>
  </si>
  <si>
    <t>ROZIEVA</t>
  </si>
  <si>
    <t>SHAROFAT</t>
  </si>
  <si>
    <t>2271985</t>
  </si>
  <si>
    <t>RAVSHANOV</t>
  </si>
  <si>
    <t>2342115</t>
  </si>
  <si>
    <t>BILOL</t>
  </si>
  <si>
    <t>SHAXNOZA</t>
  </si>
  <si>
    <t>2342116</t>
  </si>
  <si>
    <t>TURSUNOVA</t>
  </si>
  <si>
    <t>2342117</t>
  </si>
  <si>
    <t>MIRAXMEDOVA</t>
  </si>
  <si>
    <t>ONAJON</t>
  </si>
  <si>
    <t>2356367</t>
  </si>
  <si>
    <t>KATTABOEVA</t>
  </si>
  <si>
    <t>MUKADAS</t>
  </si>
  <si>
    <t>2537303</t>
  </si>
  <si>
    <t>BOTIRLIEV</t>
  </si>
  <si>
    <t>FARKHOD</t>
  </si>
  <si>
    <t>2555370</t>
  </si>
  <si>
    <t>KHOLBAEVA</t>
  </si>
  <si>
    <t>NURIDDIN</t>
  </si>
  <si>
    <t>2579146</t>
  </si>
  <si>
    <t>SHERALI</t>
  </si>
  <si>
    <t>2591086</t>
  </si>
  <si>
    <t>DINIQULOVA</t>
  </si>
  <si>
    <t>GULCHEXRA</t>
  </si>
  <si>
    <t>2907717</t>
  </si>
  <si>
    <t>KAMALOVA</t>
  </si>
  <si>
    <t>2969835</t>
  </si>
  <si>
    <t>UBAYDULLAEVA</t>
  </si>
  <si>
    <t>BIBISORA</t>
  </si>
  <si>
    <t>3147336</t>
  </si>
  <si>
    <t>BOLTAEVA</t>
  </si>
  <si>
    <t>3208758</t>
  </si>
  <si>
    <t>RAHMONOVA</t>
  </si>
  <si>
    <t>SHAXRIYORA</t>
  </si>
  <si>
    <t>3346648</t>
  </si>
  <si>
    <t>MAHFURAT</t>
  </si>
  <si>
    <t>3442336</t>
  </si>
  <si>
    <t>NURXON</t>
  </si>
  <si>
    <t>3496793</t>
  </si>
  <si>
    <t>OTAJONOVA</t>
  </si>
  <si>
    <t>GULANDON</t>
  </si>
  <si>
    <t>3659344</t>
  </si>
  <si>
    <t>USMANALIEVA</t>
  </si>
  <si>
    <t>LUTFI</t>
  </si>
  <si>
    <t>3763940</t>
  </si>
  <si>
    <t>HAMIDOVA</t>
  </si>
  <si>
    <t>3785452</t>
  </si>
  <si>
    <t>HAYDAROV</t>
  </si>
  <si>
    <t>AZIMJON</t>
  </si>
  <si>
    <t>3890357</t>
  </si>
  <si>
    <t>NARZULLAYEV</t>
  </si>
  <si>
    <t>XASAN</t>
  </si>
  <si>
    <t>3912120</t>
  </si>
  <si>
    <t>SHARAKHMEDOVA</t>
  </si>
  <si>
    <t>3923019</t>
  </si>
  <si>
    <t>PARPIEVA</t>
  </si>
  <si>
    <t>3929867</t>
  </si>
  <si>
    <t>ABDURAHMANOVA</t>
  </si>
  <si>
    <t>MATLUBA</t>
  </si>
  <si>
    <t>3961051</t>
  </si>
  <si>
    <t>MAGRUPOV</t>
  </si>
  <si>
    <t>4158168</t>
  </si>
  <si>
    <t>GOZIBEKOVA</t>
  </si>
  <si>
    <t>4362163</t>
  </si>
  <si>
    <t>4506244</t>
  </si>
  <si>
    <t>ORTIQULOVA</t>
  </si>
  <si>
    <t>4566557</t>
  </si>
  <si>
    <t>ZILOLAXON</t>
  </si>
  <si>
    <t>4631714</t>
  </si>
  <si>
    <t>RAHMATOV</t>
  </si>
  <si>
    <t>ELBEK</t>
  </si>
  <si>
    <t>4764498</t>
  </si>
  <si>
    <t>QAXXOROVA</t>
  </si>
  <si>
    <t>ONAHON</t>
  </si>
  <si>
    <t>4764499</t>
  </si>
  <si>
    <t>ZOPRAROVA</t>
  </si>
  <si>
    <t>ORAPAT</t>
  </si>
  <si>
    <t>4764500</t>
  </si>
  <si>
    <t>4764501</t>
  </si>
  <si>
    <t>4879752</t>
  </si>
  <si>
    <t>JUMAYEV</t>
  </si>
  <si>
    <t>5009903</t>
  </si>
  <si>
    <t>ZOIROVA</t>
  </si>
  <si>
    <t>5048656</t>
  </si>
  <si>
    <t>5112076</t>
  </si>
  <si>
    <t>5139437</t>
  </si>
  <si>
    <t>YURSUNALIYEVA</t>
  </si>
  <si>
    <t>OXGUL</t>
  </si>
  <si>
    <t>5279752</t>
  </si>
  <si>
    <t>5279753</t>
  </si>
  <si>
    <t>5292296</t>
  </si>
  <si>
    <t>MUKARAMOV</t>
  </si>
  <si>
    <t>ULUGBEK</t>
  </si>
  <si>
    <t>5293927</t>
  </si>
  <si>
    <t>BERDIEVA</t>
  </si>
  <si>
    <t>5473585</t>
  </si>
  <si>
    <t>NIYOZOVA</t>
  </si>
  <si>
    <t>SHAKXISTA</t>
  </si>
  <si>
    <t>5552021</t>
  </si>
  <si>
    <t>MURTAZAEVA</t>
  </si>
  <si>
    <t>BAKHRIYA</t>
  </si>
  <si>
    <t>5622894</t>
  </si>
  <si>
    <t>NARHOJAYEVA</t>
  </si>
  <si>
    <t>DURDONA</t>
  </si>
  <si>
    <t>5679109</t>
  </si>
  <si>
    <t>QALANDAROVA</t>
  </si>
  <si>
    <t>MAHBUBA</t>
  </si>
  <si>
    <t>5749511</t>
  </si>
  <si>
    <t>JAMOLOV</t>
  </si>
  <si>
    <t>5749981</t>
  </si>
  <si>
    <t>ASLANOVA</t>
  </si>
  <si>
    <t>DILNAVOZ</t>
  </si>
  <si>
    <t>5999127</t>
  </si>
  <si>
    <t>ZAYDINOV</t>
  </si>
  <si>
    <t>ABDUVOSIT</t>
  </si>
  <si>
    <t>6120663</t>
  </si>
  <si>
    <t>BERDIMURADOVA</t>
  </si>
  <si>
    <t>ZIROAT</t>
  </si>
  <si>
    <t>6168906</t>
  </si>
  <si>
    <t>6218572</t>
  </si>
  <si>
    <t>MATKARIMOV</t>
  </si>
  <si>
    <t>SHAXZODBEK</t>
  </si>
  <si>
    <t>6533931</t>
  </si>
  <si>
    <t>KOMILOV</t>
  </si>
  <si>
    <t>6535581</t>
  </si>
  <si>
    <t>AYRATBETOV</t>
  </si>
  <si>
    <t>ARTUR</t>
  </si>
  <si>
    <t>6551631</t>
  </si>
  <si>
    <t>KARABOEV</t>
  </si>
  <si>
    <t>TURSUNALI</t>
  </si>
  <si>
    <t>6592020</t>
  </si>
  <si>
    <t>KAMALOV</t>
  </si>
  <si>
    <t>RAVSHAN</t>
  </si>
  <si>
    <t>6775291</t>
  </si>
  <si>
    <t>RUSTAMJON</t>
  </si>
  <si>
    <t>6775292</t>
  </si>
  <si>
    <t>6775293</t>
  </si>
  <si>
    <t>6934798</t>
  </si>
  <si>
    <t>AMINBOY</t>
  </si>
  <si>
    <t>6937395</t>
  </si>
  <si>
    <t>MUXAMMADXONOV</t>
  </si>
  <si>
    <t>7151460</t>
  </si>
  <si>
    <t>MIRZAKHMEDOVA</t>
  </si>
  <si>
    <t>7262656</t>
  </si>
  <si>
    <t>7546299</t>
  </si>
  <si>
    <t>JUMANIYAZOVA</t>
  </si>
  <si>
    <t>7550238</t>
  </si>
  <si>
    <t>FOZILJONOV</t>
  </si>
  <si>
    <t>SHOXRUXBEK</t>
  </si>
  <si>
    <t>7636528</t>
  </si>
  <si>
    <t>DAVRANOVA</t>
  </si>
  <si>
    <t>NODIRAXON</t>
  </si>
  <si>
    <t>7642441</t>
  </si>
  <si>
    <t>KHAYDAROVA</t>
  </si>
  <si>
    <t>NAZRUQULOVA</t>
  </si>
  <si>
    <t>7682983</t>
  </si>
  <si>
    <t>MOHIRA</t>
  </si>
  <si>
    <t>7958041</t>
  </si>
  <si>
    <t>AMANOVA</t>
  </si>
  <si>
    <t>8012141</t>
  </si>
  <si>
    <t>MAMATBAYEVA</t>
  </si>
  <si>
    <t>NATALIYA</t>
  </si>
  <si>
    <t>8092324</t>
  </si>
  <si>
    <t>MUYDINOV</t>
  </si>
  <si>
    <t>ADILJON</t>
  </si>
  <si>
    <t>8240437</t>
  </si>
  <si>
    <t>BAHTIYOROVA</t>
  </si>
  <si>
    <t>8383567</t>
  </si>
  <si>
    <t>BABAJANOV</t>
  </si>
  <si>
    <t>HURSHID</t>
  </si>
  <si>
    <t>8423888</t>
  </si>
  <si>
    <t>VAFOEV</t>
  </si>
  <si>
    <t>MUHAMMADYUSUF</t>
  </si>
  <si>
    <t>8474193</t>
  </si>
  <si>
    <t>BOGIDOV</t>
  </si>
  <si>
    <t>BEGIM</t>
  </si>
  <si>
    <t>8685607</t>
  </si>
  <si>
    <t>BAXTIYOROVA</t>
  </si>
  <si>
    <t>GULMIRA</t>
  </si>
  <si>
    <t>8711162</t>
  </si>
  <si>
    <t>QURBANOVA</t>
  </si>
  <si>
    <t>ZUMRAD</t>
  </si>
  <si>
    <t>8835987</t>
  </si>
  <si>
    <t>TUROBOV</t>
  </si>
  <si>
    <t>9051511</t>
  </si>
  <si>
    <t>9195596</t>
  </si>
  <si>
    <t>AVAZBOEV</t>
  </si>
  <si>
    <t>MANGIBOY</t>
  </si>
  <si>
    <t>9332039</t>
  </si>
  <si>
    <t>TOIROV</t>
  </si>
  <si>
    <t>GULOM</t>
  </si>
  <si>
    <t>SALIKHOVA</t>
  </si>
  <si>
    <t>9811293</t>
  </si>
  <si>
    <t>ATAXANOVA</t>
  </si>
  <si>
    <t>QUMRI</t>
  </si>
  <si>
    <t>9821269</t>
  </si>
  <si>
    <t>AGLAMOVA</t>
  </si>
  <si>
    <t>SAITNAZAROVA</t>
  </si>
  <si>
    <t>MUKHABBAT</t>
  </si>
  <si>
    <t>SOGDIANA</t>
  </si>
  <si>
    <t>SOTVOLDIEVA</t>
  </si>
  <si>
    <t>TAJIBAEVA</t>
  </si>
  <si>
    <t>MOXIDILXON</t>
  </si>
  <si>
    <t>MUSTOFOQULOVA</t>
  </si>
  <si>
    <t>DEXQONOVA</t>
  </si>
  <si>
    <t>RANOXON</t>
  </si>
  <si>
    <t>FOZILOV</t>
  </si>
  <si>
    <t>ABDULLO</t>
  </si>
  <si>
    <t>HALIMOVA</t>
  </si>
  <si>
    <t>XIDIROVA</t>
  </si>
  <si>
    <t>MUAZZAM</t>
  </si>
  <si>
    <t>GOFFOROV</t>
  </si>
  <si>
    <t>BOBUR</t>
  </si>
  <si>
    <t>GAFFOROV</t>
  </si>
  <si>
    <t>BOBURJON</t>
  </si>
  <si>
    <t>FERUZJON</t>
  </si>
  <si>
    <t>IMINOVA</t>
  </si>
  <si>
    <t>GULZODA</t>
  </si>
  <si>
    <t>LUTFIDDINOVA</t>
  </si>
  <si>
    <t>HOLTORAEVA</t>
  </si>
  <si>
    <t>SAMADOV</t>
  </si>
  <si>
    <t>TAJIBBAYEVA</t>
  </si>
  <si>
    <t>ABDULAEVA</t>
  </si>
  <si>
    <t>SHTANCHAEVA</t>
  </si>
  <si>
    <t>GULIZOR</t>
  </si>
  <si>
    <t>CHIRMASHOV</t>
  </si>
  <si>
    <t>MUZAFFAR</t>
  </si>
  <si>
    <t>OTKIROVA</t>
  </si>
  <si>
    <t>XUMORA</t>
  </si>
  <si>
    <t>XALILOVA</t>
  </si>
  <si>
    <t>OYNISO</t>
  </si>
  <si>
    <t>TOJIBAEVA</t>
  </si>
  <si>
    <t>RANO</t>
  </si>
  <si>
    <t>DJURAYEVA</t>
  </si>
  <si>
    <t>RAYXON</t>
  </si>
  <si>
    <t>ATAMURADOV</t>
  </si>
  <si>
    <t>SHERMAT</t>
  </si>
  <si>
    <t>BABYAROVA</t>
  </si>
  <si>
    <t>JANONA</t>
  </si>
  <si>
    <t>SEVAR</t>
  </si>
  <si>
    <t>AGZAMKHOJAYEVA</t>
  </si>
  <si>
    <t>MUKHRIMKHON</t>
  </si>
  <si>
    <t>SHARIPOVA</t>
  </si>
  <si>
    <t>FARANGIZ</t>
  </si>
  <si>
    <t>SHARAPOVA</t>
  </si>
  <si>
    <t>NIZOMIDDIN</t>
  </si>
  <si>
    <t>NIYOZOV</t>
  </si>
  <si>
    <t>VOHID</t>
  </si>
  <si>
    <t>ISKANDAROVA</t>
  </si>
  <si>
    <t>MAMADALIEV</t>
  </si>
  <si>
    <t>SHOKIR</t>
  </si>
  <si>
    <t>DJURAEVA</t>
  </si>
  <si>
    <t>YUNUSOVA</t>
  </si>
  <si>
    <t>8018383</t>
  </si>
  <si>
    <t>ORTIQOV</t>
  </si>
  <si>
    <t>8012383</t>
  </si>
  <si>
    <t>ORTIKOV</t>
  </si>
  <si>
    <t>1518628</t>
  </si>
  <si>
    <t>ZORIPOVA</t>
  </si>
  <si>
    <t>2418287</t>
  </si>
  <si>
    <t>ABDURASULOV</t>
  </si>
  <si>
    <t>SHAXOBIDDIN</t>
  </si>
  <si>
    <t>3211155</t>
  </si>
  <si>
    <t>ORINOV</t>
  </si>
  <si>
    <t>TOXIR</t>
  </si>
  <si>
    <t>2426953</t>
  </si>
  <si>
    <t>GAYNAZAROVA</t>
  </si>
  <si>
    <t>3592620</t>
  </si>
  <si>
    <t>PRIMOVA</t>
  </si>
  <si>
    <t>XATICHA</t>
  </si>
  <si>
    <t>9905644</t>
  </si>
  <si>
    <t>KOCHAROVA</t>
  </si>
  <si>
    <t>4622678</t>
  </si>
  <si>
    <t>NOZIMA</t>
  </si>
  <si>
    <t>1521574</t>
  </si>
  <si>
    <t>9295288</t>
  </si>
  <si>
    <t>ISMALIYEVA</t>
  </si>
  <si>
    <t>ORZU</t>
  </si>
  <si>
    <t>6019637</t>
  </si>
  <si>
    <t>RIZAYEVA</t>
  </si>
  <si>
    <t>0147351</t>
  </si>
  <si>
    <t>TOLQINBOEVA</t>
  </si>
  <si>
    <t>5822000</t>
  </si>
  <si>
    <t>7563041</t>
  </si>
  <si>
    <t>SADIKOV</t>
  </si>
  <si>
    <t>XAMIDULLO</t>
  </si>
  <si>
    <t>0241400</t>
  </si>
  <si>
    <t>XOSHIMOVA</t>
  </si>
  <si>
    <t>DANILA</t>
  </si>
  <si>
    <t>5009486</t>
  </si>
  <si>
    <t>RAXIMOVA</t>
  </si>
  <si>
    <t>RASHIDA</t>
  </si>
  <si>
    <t>3226878</t>
  </si>
  <si>
    <t>2875738</t>
  </si>
  <si>
    <t>IMAMOVA</t>
  </si>
  <si>
    <t>DONO</t>
  </si>
  <si>
    <t>9068373</t>
  </si>
  <si>
    <t>ALIYEVA</t>
  </si>
  <si>
    <t>2023363</t>
  </si>
  <si>
    <t>AYUBOV</t>
  </si>
  <si>
    <t>NI</t>
  </si>
  <si>
    <t>2923490</t>
  </si>
  <si>
    <t>QODIROV</t>
  </si>
  <si>
    <t>BEKZOD</t>
  </si>
  <si>
    <t>7939649</t>
  </si>
  <si>
    <t>ARIPXOJAYEVA</t>
  </si>
  <si>
    <t>MUNAVVAR</t>
  </si>
  <si>
    <t>5243606</t>
  </si>
  <si>
    <t>ABDUNASIROV</t>
  </si>
  <si>
    <t>AZIZ</t>
  </si>
  <si>
    <t>1619320</t>
  </si>
  <si>
    <t>SAODAT</t>
  </si>
  <si>
    <t>3105858</t>
  </si>
  <si>
    <t>TOXTAYEV</t>
  </si>
  <si>
    <t>TASHKUVAT</t>
  </si>
  <si>
    <t>3878468</t>
  </si>
  <si>
    <t>AXMEDOV</t>
  </si>
  <si>
    <t>OLMASJON</t>
  </si>
  <si>
    <t>0199139</t>
  </si>
  <si>
    <t>5386946</t>
  </si>
  <si>
    <t>ABDUGAFFAROVA</t>
  </si>
  <si>
    <t>5203978</t>
  </si>
  <si>
    <t>OCHILOVA</t>
  </si>
  <si>
    <t>0314322</t>
  </si>
  <si>
    <t>MARIYEVA</t>
  </si>
  <si>
    <t>SEVINCH</t>
  </si>
  <si>
    <t>5432289</t>
  </si>
  <si>
    <t>JAMOL</t>
  </si>
  <si>
    <t>9518771</t>
  </si>
  <si>
    <t>SOBIRJON</t>
  </si>
  <si>
    <t>0710654</t>
  </si>
  <si>
    <t>1037119</t>
  </si>
  <si>
    <t>ARIPOV</t>
  </si>
  <si>
    <t>MUXITDIN</t>
  </si>
  <si>
    <t>4984841</t>
  </si>
  <si>
    <t>YOLDASHEV</t>
  </si>
  <si>
    <t>ISKANDAR</t>
  </si>
  <si>
    <t>8565153</t>
  </si>
  <si>
    <t>KUCHANOVA</t>
  </si>
  <si>
    <t>8954565</t>
  </si>
  <si>
    <t>LATOFAT</t>
  </si>
  <si>
    <t>9332941</t>
  </si>
  <si>
    <t>MAXBUBOVA</t>
  </si>
  <si>
    <t>XABIBA</t>
  </si>
  <si>
    <t>4923490</t>
  </si>
  <si>
    <t>8261783</t>
  </si>
  <si>
    <t>QILICHEVA</t>
  </si>
  <si>
    <t>0884352</t>
  </si>
  <si>
    <t>5823951</t>
  </si>
  <si>
    <t>HOSHIMOVA</t>
  </si>
  <si>
    <t>MAVLYUDA</t>
  </si>
  <si>
    <t>7554893</t>
  </si>
  <si>
    <t>ROZIKJANOV</t>
  </si>
  <si>
    <t>IZZATBEK</t>
  </si>
  <si>
    <t>9792826</t>
  </si>
  <si>
    <t>ASADOVA</t>
  </si>
  <si>
    <t>BUVRAJAB</t>
  </si>
  <si>
    <t>5950692</t>
  </si>
  <si>
    <t>EMIRA</t>
  </si>
  <si>
    <t>9673254</t>
  </si>
  <si>
    <t>MUHAMMADBEK</t>
  </si>
  <si>
    <t>ORISHBAYEV</t>
  </si>
  <si>
    <t>1642333</t>
  </si>
  <si>
    <t>DANAYAROVA</t>
  </si>
  <si>
    <t>BUVINISO</t>
  </si>
  <si>
    <t>0069486</t>
  </si>
  <si>
    <t>RAHMANOVA</t>
  </si>
  <si>
    <t>3399443</t>
  </si>
  <si>
    <t>NIYAZGULOVA</t>
  </si>
  <si>
    <t>GULNORAXON</t>
  </si>
  <si>
    <t>3157353</t>
  </si>
  <si>
    <t>DILNAZO</t>
  </si>
  <si>
    <t>6947483</t>
  </si>
  <si>
    <t>ABDUKHAIROVA</t>
  </si>
  <si>
    <t>0566807</t>
  </si>
  <si>
    <t>ABDULAKHATOV</t>
  </si>
  <si>
    <t>2441413</t>
  </si>
  <si>
    <t>BOZOROVA</t>
  </si>
  <si>
    <t>7495491</t>
  </si>
  <si>
    <t>TOIRJON</t>
  </si>
  <si>
    <t>7477005</t>
  </si>
  <si>
    <t>RAKHMATOV</t>
  </si>
  <si>
    <t>MURODBEK</t>
  </si>
  <si>
    <t>SANJAREK</t>
  </si>
  <si>
    <t>2877487</t>
  </si>
  <si>
    <t>ABDINABIEVA</t>
  </si>
  <si>
    <t>6358182</t>
  </si>
  <si>
    <t>DJABAROVA</t>
  </si>
  <si>
    <t>2144164</t>
  </si>
  <si>
    <t>KARAEVA</t>
  </si>
  <si>
    <t>YOQUTXON</t>
  </si>
  <si>
    <t>0120869</t>
  </si>
  <si>
    <t>OLIMOVA</t>
  </si>
  <si>
    <t>7235717</t>
  </si>
  <si>
    <t>SHANAZAROVA</t>
  </si>
  <si>
    <t>MUKHTABAR</t>
  </si>
  <si>
    <t>0738433</t>
  </si>
  <si>
    <t>SOLIEVA</t>
  </si>
  <si>
    <t>SHOXISTA</t>
  </si>
  <si>
    <t>0618884</t>
  </si>
  <si>
    <t>QOSIMOVA</t>
  </si>
  <si>
    <t>3238722</t>
  </si>
  <si>
    <t>AKBAROV</t>
  </si>
  <si>
    <t>RAXMATILLA</t>
  </si>
  <si>
    <t>0447716</t>
  </si>
  <si>
    <t>SHAYNAZAROVA</t>
  </si>
  <si>
    <t>ZEBXON</t>
  </si>
  <si>
    <t>3068756</t>
  </si>
  <si>
    <t>DJALALOVA</t>
  </si>
  <si>
    <t>SHODIRAXON</t>
  </si>
  <si>
    <t>0850973</t>
  </si>
  <si>
    <t>8460177</t>
  </si>
  <si>
    <t>ESHMATOV</t>
  </si>
  <si>
    <t>ERKIN</t>
  </si>
  <si>
    <t>8969338</t>
  </si>
  <si>
    <t>DAVLETOV</t>
  </si>
  <si>
    <t>TURGUN</t>
  </si>
  <si>
    <t>KHASAN</t>
  </si>
  <si>
    <t>9435884</t>
  </si>
  <si>
    <t>KHAKIMOVA</t>
  </si>
  <si>
    <t>RAKHIMA</t>
  </si>
  <si>
    <t>0828968</t>
  </si>
  <si>
    <t>XOLIKOVA</t>
  </si>
  <si>
    <t>7142518</t>
  </si>
  <si>
    <t>BOTIR</t>
  </si>
  <si>
    <t>4038864</t>
  </si>
  <si>
    <t>ABDUFATTOKOV</t>
  </si>
  <si>
    <t>MAHIR</t>
  </si>
  <si>
    <t>0225105</t>
  </si>
  <si>
    <t>0039280</t>
  </si>
  <si>
    <t>SHAKHODAT</t>
  </si>
  <si>
    <t>6266101</t>
  </si>
  <si>
    <t>HURALIYEVA</t>
  </si>
  <si>
    <t>6767518</t>
  </si>
  <si>
    <t>KHAMIDA</t>
  </si>
  <si>
    <t>0463434</t>
  </si>
  <si>
    <t>ERKINOV</t>
  </si>
  <si>
    <t>MURODJON</t>
  </si>
  <si>
    <t>9678849</t>
  </si>
  <si>
    <t>RAHMONQULOV</t>
  </si>
  <si>
    <t>XUSNIDDIN</t>
  </si>
  <si>
    <t>4468127</t>
  </si>
  <si>
    <t>ALLAYOROV</t>
  </si>
  <si>
    <t>1818885</t>
  </si>
  <si>
    <t>IBRAGIMOV</t>
  </si>
  <si>
    <t>RAMIZ</t>
  </si>
  <si>
    <t>5820000</t>
  </si>
  <si>
    <t>RAMZIYEVA</t>
  </si>
  <si>
    <t>6638387</t>
  </si>
  <si>
    <t>BAXROMOV</t>
  </si>
  <si>
    <t>FIRDAVS</t>
  </si>
  <si>
    <t>9144034</t>
  </si>
  <si>
    <t>MUXXAYO</t>
  </si>
  <si>
    <t>3757830</t>
  </si>
  <si>
    <t>ABDURAZZOKOV</t>
  </si>
  <si>
    <t>MUKARAM</t>
  </si>
  <si>
    <t>2982047</t>
  </si>
  <si>
    <t>AXADJONOVA</t>
  </si>
  <si>
    <t>BOTIRAXON</t>
  </si>
  <si>
    <t>1909419</t>
  </si>
  <si>
    <t>DAVUROVA</t>
  </si>
  <si>
    <t>1714017</t>
  </si>
  <si>
    <t>YADGAROVA</t>
  </si>
  <si>
    <t>DILFUZA</t>
  </si>
  <si>
    <t>9332860</t>
  </si>
  <si>
    <t>XUJIMATOVA</t>
  </si>
  <si>
    <t>BAXODIR</t>
  </si>
  <si>
    <t>4898320</t>
  </si>
  <si>
    <t>GULBAXOR</t>
  </si>
  <si>
    <t>0485049</t>
  </si>
  <si>
    <t>MARIYA</t>
  </si>
  <si>
    <t>1974926</t>
  </si>
  <si>
    <t>NABIYEVA</t>
  </si>
  <si>
    <t>0522169</t>
  </si>
  <si>
    <t>XUJANOVA</t>
  </si>
  <si>
    <t>9047247</t>
  </si>
  <si>
    <t>MOROZOV</t>
  </si>
  <si>
    <t>SHAXRUXON</t>
  </si>
  <si>
    <t>9848802</t>
  </si>
  <si>
    <t>NEMATJONOV</t>
  </si>
  <si>
    <t>0308639</t>
  </si>
  <si>
    <t>SOBIROVA</t>
  </si>
  <si>
    <t>ASLIDDIN</t>
  </si>
  <si>
    <t>0082069</t>
  </si>
  <si>
    <t>KURBONALIYEVA</t>
  </si>
  <si>
    <t>5113565</t>
  </si>
  <si>
    <t>9545745</t>
  </si>
  <si>
    <t>FAYZULLAYEVA</t>
  </si>
  <si>
    <t>6630437</t>
  </si>
  <si>
    <t>MIRAXMEDOV</t>
  </si>
  <si>
    <t>ZOIR</t>
  </si>
  <si>
    <t>3975781</t>
  </si>
  <si>
    <t>RUSTAMOVA</t>
  </si>
  <si>
    <t>LOLA</t>
  </si>
  <si>
    <t>2510453</t>
  </si>
  <si>
    <t>SHOMIRZAYEVA</t>
  </si>
  <si>
    <t>5596434</t>
  </si>
  <si>
    <t>8128452</t>
  </si>
  <si>
    <t>NAZRATKULOV</t>
  </si>
  <si>
    <t>ZOKIRJON</t>
  </si>
  <si>
    <t>6278362</t>
  </si>
  <si>
    <t>QOSIMOV</t>
  </si>
  <si>
    <t>ANVAR</t>
  </si>
  <si>
    <t>9254567</t>
  </si>
  <si>
    <t>NASULLAYEVA</t>
  </si>
  <si>
    <t>4611675</t>
  </si>
  <si>
    <t>DAVRONOV</t>
  </si>
  <si>
    <t>SUXROB</t>
  </si>
  <si>
    <t>4507419</t>
  </si>
  <si>
    <t>AZIZOV</t>
  </si>
  <si>
    <t>2556394</t>
  </si>
  <si>
    <t>URDISHOVA</t>
  </si>
  <si>
    <t>9794631</t>
  </si>
  <si>
    <t>MUHAMMADALIYEVA</t>
  </si>
  <si>
    <t>9018422</t>
  </si>
  <si>
    <t>BAXODIROVA</t>
  </si>
  <si>
    <t>SAFIYA</t>
  </si>
  <si>
    <t>1661415</t>
  </si>
  <si>
    <t>OCHILBAYEVA</t>
  </si>
  <si>
    <t>0352229</t>
  </si>
  <si>
    <t>MAMADALIYEV</t>
  </si>
  <si>
    <t>8312714</t>
  </si>
  <si>
    <t>MUBORA</t>
  </si>
  <si>
    <t>6393439</t>
  </si>
  <si>
    <t>BATIROVA</t>
  </si>
  <si>
    <t>3497743</t>
  </si>
  <si>
    <t>AVEZOVA</t>
  </si>
  <si>
    <t>BARNO</t>
  </si>
  <si>
    <t>0716117</t>
  </si>
  <si>
    <t>MOMINOV</t>
  </si>
  <si>
    <t>BAHTIYOR</t>
  </si>
  <si>
    <t>5062462</t>
  </si>
  <si>
    <t>TOYCHIEV</t>
  </si>
  <si>
    <t>ABDUSALOM</t>
  </si>
  <si>
    <t>5324686</t>
  </si>
  <si>
    <t>BOYMIRZAYEVA</t>
  </si>
  <si>
    <t>4821924</t>
  </si>
  <si>
    <t>KHUSANBAYEV</t>
  </si>
  <si>
    <t>8650154</t>
  </si>
  <si>
    <t>UMIRZAQOV</t>
  </si>
  <si>
    <t>1232554</t>
  </si>
  <si>
    <t>NASRIDDINOVA</t>
  </si>
  <si>
    <t>SAFARLI</t>
  </si>
  <si>
    <t>6195509</t>
  </si>
  <si>
    <t>MATNIYAZOV</t>
  </si>
  <si>
    <t>BEGZOD</t>
  </si>
  <si>
    <t>UMIRAKOVA</t>
  </si>
  <si>
    <t>0777275</t>
  </si>
  <si>
    <t>3215394</t>
  </si>
  <si>
    <t>GAFUROVA</t>
  </si>
  <si>
    <t>6914961</t>
  </si>
  <si>
    <t>NORBAYEV</t>
  </si>
  <si>
    <t>SHARIFAXON</t>
  </si>
  <si>
    <t>USMANOV</t>
  </si>
  <si>
    <t>TOSHXOJAEV</t>
  </si>
  <si>
    <t>MUXAMMAD</t>
  </si>
  <si>
    <t>XAYOTJON</t>
  </si>
  <si>
    <t>CHORIYIOVA</t>
  </si>
  <si>
    <t>TOXTABOYEVA</t>
  </si>
  <si>
    <t>TUNIXON</t>
  </si>
  <si>
    <t>TORAYOVA</t>
  </si>
  <si>
    <t>AMIRIDDIN</t>
  </si>
  <si>
    <t>ARIPOVA</t>
  </si>
  <si>
    <t>BARNOXON</t>
  </si>
  <si>
    <t>OMONOVA</t>
  </si>
  <si>
    <t>VISOLA</t>
  </si>
  <si>
    <t>BABAYEV</t>
  </si>
  <si>
    <t>TURSUNQULOVA</t>
  </si>
  <si>
    <t>ALIBAYOVA</t>
  </si>
  <si>
    <t>MAYRAM</t>
  </si>
  <si>
    <t>KURBONOV</t>
  </si>
  <si>
    <t>MAXSIT</t>
  </si>
  <si>
    <t>ZIYOD</t>
  </si>
  <si>
    <t>AZAMJON</t>
  </si>
  <si>
    <t>BOTAEV</t>
  </si>
  <si>
    <t>KAMOLOVA</t>
  </si>
  <si>
    <t>GULSHODA</t>
  </si>
  <si>
    <t>SAYDAXMEDOV</t>
  </si>
  <si>
    <t>ABRORXAN</t>
  </si>
  <si>
    <t>FOZILOVA</t>
  </si>
  <si>
    <t>JABOROV</t>
  </si>
  <si>
    <t>MUROD</t>
  </si>
  <si>
    <t>SAMATOV</t>
  </si>
  <si>
    <t>SULAYMONJON</t>
  </si>
  <si>
    <t>POCHIEV</t>
  </si>
  <si>
    <t>MAMLAKAT</t>
  </si>
  <si>
    <t>KELDIYOROVA</t>
  </si>
  <si>
    <t>MUSAVVAR</t>
  </si>
  <si>
    <t>XAKBERDIYEVA</t>
  </si>
  <si>
    <t>XAFIZA</t>
  </si>
  <si>
    <t>SHUXRATJON</t>
  </si>
  <si>
    <t>KODIROV</t>
  </si>
  <si>
    <t>GANIYOV</t>
  </si>
  <si>
    <t>MAXMUD</t>
  </si>
  <si>
    <t>UTKIROVA</t>
  </si>
  <si>
    <t>AKBAYOVA</t>
  </si>
  <si>
    <t>KSENYA</t>
  </si>
  <si>
    <t>LARISA</t>
  </si>
  <si>
    <t>BULTAKOV</t>
  </si>
  <si>
    <t>ABDIMALIK</t>
  </si>
  <si>
    <t>TOJIBOYEV</t>
  </si>
  <si>
    <t>ASQAROV</t>
  </si>
  <si>
    <t>NORXOJAYEVA</t>
  </si>
  <si>
    <t>SHAXBOZ</t>
  </si>
  <si>
    <t>SAFIYOVA</t>
  </si>
  <si>
    <t>XABIBULLAEV</t>
  </si>
  <si>
    <t>ASADBEK</t>
  </si>
  <si>
    <t>XAKIMOVA</t>
  </si>
  <si>
    <t>SOXIBA</t>
  </si>
  <si>
    <t>ZUXRO</t>
  </si>
  <si>
    <t>YUSUPOV</t>
  </si>
  <si>
    <t>NURLAN</t>
  </si>
  <si>
    <t>UMARALIYEV</t>
  </si>
  <si>
    <t>ABDULAZIZ</t>
  </si>
  <si>
    <t>XAYRULLAEV</t>
  </si>
  <si>
    <t>SALOXIDDIN</t>
  </si>
  <si>
    <t>IMOMALIYEVA</t>
  </si>
  <si>
    <t>ZOXIDOVA</t>
  </si>
  <si>
    <t>MAMURAXON</t>
  </si>
  <si>
    <t>ABDUXALILOV</t>
  </si>
  <si>
    <t>JAVKANOVA</t>
  </si>
  <si>
    <t>CHAROS</t>
  </si>
  <si>
    <t>HAYDAROVA</t>
  </si>
  <si>
    <t>LIANA</t>
  </si>
  <si>
    <t>GAPAROVA</t>
  </si>
  <si>
    <t>GULJAHON</t>
  </si>
  <si>
    <t>BEGIMOV</t>
  </si>
  <si>
    <t>SALIYEV</t>
  </si>
  <si>
    <t>TOXTAYEVA</t>
  </si>
  <si>
    <t>MARJONA</t>
  </si>
  <si>
    <t>ALIYOVA</t>
  </si>
  <si>
    <t>XUMORAXON</t>
  </si>
  <si>
    <t>BOTIROV</t>
  </si>
  <si>
    <t>JAMOLIDDIN</t>
  </si>
  <si>
    <t>IBRAGIM</t>
  </si>
  <si>
    <t>HAMDAMOVA</t>
  </si>
  <si>
    <t>SHAXODATBONU</t>
  </si>
  <si>
    <t>RAYIMOVA</t>
  </si>
  <si>
    <t>KHAMRAYEVA</t>
  </si>
  <si>
    <t>ABDURAHMON</t>
  </si>
  <si>
    <t>GULCHEXRAXON</t>
  </si>
  <si>
    <t>ZOXID</t>
  </si>
  <si>
    <t>ASLIYOVA</t>
  </si>
  <si>
    <t>SADIQOVA</t>
  </si>
  <si>
    <t>BUNYOD</t>
  </si>
  <si>
    <t>MIRASHILOVA</t>
  </si>
  <si>
    <t>MAXSUDA</t>
  </si>
  <si>
    <t>JUMABOYEV</t>
  </si>
  <si>
    <t>DAVLAT</t>
  </si>
  <si>
    <t>OBLAQULOV</t>
  </si>
  <si>
    <t>ISROFIL</t>
  </si>
  <si>
    <t>ELMIRA</t>
  </si>
  <si>
    <t>SHERJON</t>
  </si>
  <si>
    <t>SHOXRUX</t>
  </si>
  <si>
    <t>0011317</t>
  </si>
  <si>
    <t>BEGMAXATOV</t>
  </si>
  <si>
    <t>0103371</t>
  </si>
  <si>
    <t>0175329</t>
  </si>
  <si>
    <t>NUSRATULLAYEVA</t>
  </si>
  <si>
    <t>0267980</t>
  </si>
  <si>
    <t>MAMATOV</t>
  </si>
  <si>
    <t>KHUDASHUKUR</t>
  </si>
  <si>
    <t>0329710</t>
  </si>
  <si>
    <t>RUSTAMOV</t>
  </si>
  <si>
    <t>0375637</t>
  </si>
  <si>
    <t>BERDIMURADOV</t>
  </si>
  <si>
    <t>UMIDJON</t>
  </si>
  <si>
    <t>0414628</t>
  </si>
  <si>
    <t>AZAMAT</t>
  </si>
  <si>
    <t>0455135</t>
  </si>
  <si>
    <t>KARIMOVA</t>
  </si>
  <si>
    <t>PARIZOD</t>
  </si>
  <si>
    <t>0476354</t>
  </si>
  <si>
    <t>ISLOM</t>
  </si>
  <si>
    <t>0524852</t>
  </si>
  <si>
    <t>AKHMEDO</t>
  </si>
  <si>
    <t>0577975</t>
  </si>
  <si>
    <t>0580547</t>
  </si>
  <si>
    <t>JAVLONBEK</t>
  </si>
  <si>
    <t>0690019</t>
  </si>
  <si>
    <t>NURULLAEV</t>
  </si>
  <si>
    <t>0794033</t>
  </si>
  <si>
    <t>IBROXIMJONOV</t>
  </si>
  <si>
    <t>ABRORBEK</t>
  </si>
  <si>
    <t>0944018</t>
  </si>
  <si>
    <t>QULTOYEV</t>
  </si>
  <si>
    <t>JASURBEK</t>
  </si>
  <si>
    <t>1073966</t>
  </si>
  <si>
    <t>ASROROV</t>
  </si>
  <si>
    <t>ZOKIR</t>
  </si>
  <si>
    <t>1231452</t>
  </si>
  <si>
    <t>RAXMATULLAYEV</t>
  </si>
  <si>
    <t>1253880</t>
  </si>
  <si>
    <t>KHAYDAROV</t>
  </si>
  <si>
    <t>KUDRATILLA</t>
  </si>
  <si>
    <t>1284573</t>
  </si>
  <si>
    <t>BAXROMJON</t>
  </si>
  <si>
    <t>1356526</t>
  </si>
  <si>
    <t>TURGUNOVA</t>
  </si>
  <si>
    <t>1380428</t>
  </si>
  <si>
    <t>MIRAYEVA</t>
  </si>
  <si>
    <t>GULJAXON</t>
  </si>
  <si>
    <t>1561138</t>
  </si>
  <si>
    <t>MUHABBATXON</t>
  </si>
  <si>
    <t>1802830</t>
  </si>
  <si>
    <t>XAMRAKULOVA</t>
  </si>
  <si>
    <t>1803047</t>
  </si>
  <si>
    <t>2107823</t>
  </si>
  <si>
    <t>ABDURAIMOVA</t>
  </si>
  <si>
    <t>2145842</t>
  </si>
  <si>
    <t>IBODULLA</t>
  </si>
  <si>
    <t>2384167</t>
  </si>
  <si>
    <t>KUCHKAROV</t>
  </si>
  <si>
    <t>SOTIMBOY</t>
  </si>
  <si>
    <t>2384517</t>
  </si>
  <si>
    <t>SULTANOV</t>
  </si>
  <si>
    <t>MUSULMONQUL</t>
  </si>
  <si>
    <t>2413805</t>
  </si>
  <si>
    <t>2429325</t>
  </si>
  <si>
    <t>SHAGULYAMOVA</t>
  </si>
  <si>
    <t>2431557</t>
  </si>
  <si>
    <t>KATTABEKOVA</t>
  </si>
  <si>
    <t>AMINA</t>
  </si>
  <si>
    <t>2495824</t>
  </si>
  <si>
    <t>SAYIDALIBEKOVA</t>
  </si>
  <si>
    <t>2499540</t>
  </si>
  <si>
    <t>LEYLA</t>
  </si>
  <si>
    <t>2579793</t>
  </si>
  <si>
    <t>BOTABOYEVA</t>
  </si>
  <si>
    <t>MATLUBAXON</t>
  </si>
  <si>
    <t>2712309</t>
  </si>
  <si>
    <t>MADALIMOVA</t>
  </si>
  <si>
    <t>HALIMA</t>
  </si>
  <si>
    <t>2847479</t>
  </si>
  <si>
    <t>MUSTAFAEV</t>
  </si>
  <si>
    <t>2909834</t>
  </si>
  <si>
    <t>XAYDAROVA</t>
  </si>
  <si>
    <t>2996067</t>
  </si>
  <si>
    <t>KHODJAYEV</t>
  </si>
  <si>
    <t>3081392</t>
  </si>
  <si>
    <t>MAMASADIKOV</t>
  </si>
  <si>
    <t>SHUHRAT</t>
  </si>
  <si>
    <t>3225637</t>
  </si>
  <si>
    <t>JURAYEVA</t>
  </si>
  <si>
    <t>3358766</t>
  </si>
  <si>
    <t>JAVLON</t>
  </si>
  <si>
    <t>3410564</t>
  </si>
  <si>
    <t>HOLNAZAROV</t>
  </si>
  <si>
    <t>ASHIR</t>
  </si>
  <si>
    <t>3417250</t>
  </si>
  <si>
    <t>GAPUROVA</t>
  </si>
  <si>
    <t>SANAVARHON</t>
  </si>
  <si>
    <t>3763335</t>
  </si>
  <si>
    <t>3763336</t>
  </si>
  <si>
    <t>3888126</t>
  </si>
  <si>
    <t>ABDURASHIDOV</t>
  </si>
  <si>
    <t>DILUROD</t>
  </si>
  <si>
    <t>3988985</t>
  </si>
  <si>
    <t>HOLISHON</t>
  </si>
  <si>
    <t>4074062</t>
  </si>
  <si>
    <t>OHUNOVA</t>
  </si>
  <si>
    <t>4125116</t>
  </si>
  <si>
    <t>ELMURADOV</t>
  </si>
  <si>
    <t>UMIDJAN</t>
  </si>
  <si>
    <t>4165357</t>
  </si>
  <si>
    <t>4217195</t>
  </si>
  <si>
    <t>BOQIYEVA</t>
  </si>
  <si>
    <t>4319102</t>
  </si>
  <si>
    <t>INOBAT</t>
  </si>
  <si>
    <t>4390632</t>
  </si>
  <si>
    <t>JORABAEVA</t>
  </si>
  <si>
    <t>MUNAVAR</t>
  </si>
  <si>
    <t>4437475</t>
  </si>
  <si>
    <t>JURAYEV</t>
  </si>
  <si>
    <t>HUSAN</t>
  </si>
  <si>
    <t>4465849</t>
  </si>
  <si>
    <t>RAHMATULLAYEVA</t>
  </si>
  <si>
    <t>4541232</t>
  </si>
  <si>
    <t>4551231</t>
  </si>
  <si>
    <t>AKRAMOV</t>
  </si>
  <si>
    <t>4578850</t>
  </si>
  <si>
    <t>DJANGBOEVA</t>
  </si>
  <si>
    <t>4578941</t>
  </si>
  <si>
    <t>4578962</t>
  </si>
  <si>
    <t>MIRKOMIL</t>
  </si>
  <si>
    <t>4592280</t>
  </si>
  <si>
    <t>HUDOYBERDIEV</t>
  </si>
  <si>
    <t>4877994</t>
  </si>
  <si>
    <t>4878895</t>
  </si>
  <si>
    <t>MAHMUDHOJIZODA</t>
  </si>
  <si>
    <t>NIGOR</t>
  </si>
  <si>
    <t>5281081</t>
  </si>
  <si>
    <t>AHMADALIYEVA</t>
  </si>
  <si>
    <t>5330524</t>
  </si>
  <si>
    <t>OZODA</t>
  </si>
  <si>
    <t>5410195</t>
  </si>
  <si>
    <t>SHOISOQUVA</t>
  </si>
  <si>
    <t>5455210</t>
  </si>
  <si>
    <t>5462843</t>
  </si>
  <si>
    <t>KAMBAROVA</t>
  </si>
  <si>
    <t>ZULKHUMOR</t>
  </si>
  <si>
    <t>5528391</t>
  </si>
  <si>
    <t>DILSHODJON</t>
  </si>
  <si>
    <t>5566232</t>
  </si>
  <si>
    <t>QABULOVA</t>
  </si>
  <si>
    <t>SHARIPA</t>
  </si>
  <si>
    <t>5863745</t>
  </si>
  <si>
    <t>SAIDGAINIEV</t>
  </si>
  <si>
    <t>5988492</t>
  </si>
  <si>
    <t>MİRUSMONOV</t>
  </si>
  <si>
    <t>6233302</t>
  </si>
  <si>
    <t>ALIEVA</t>
  </si>
  <si>
    <t>SHAKHLO</t>
  </si>
  <si>
    <t>6381720</t>
  </si>
  <si>
    <t>6414650</t>
  </si>
  <si>
    <t>BOYQOBILOVA</t>
  </si>
  <si>
    <t>LOBAR</t>
  </si>
  <si>
    <t>6608582</t>
  </si>
  <si>
    <t>JABBOROVA</t>
  </si>
  <si>
    <t>6608583</t>
  </si>
  <si>
    <t>6608584</t>
  </si>
  <si>
    <t>6608585</t>
  </si>
  <si>
    <t>7013534</t>
  </si>
  <si>
    <t>SADRIDDINOV</t>
  </si>
  <si>
    <t>7093879</t>
  </si>
  <si>
    <t>KULDASHEVA</t>
  </si>
  <si>
    <t>7158041</t>
  </si>
  <si>
    <t>7778369</t>
  </si>
  <si>
    <t>DJANMATOVA</t>
  </si>
  <si>
    <t>SHAXODAT</t>
  </si>
  <si>
    <t>8084608</t>
  </si>
  <si>
    <t>MIRZABAEVA</t>
  </si>
  <si>
    <t>NAIMA</t>
  </si>
  <si>
    <t>8124132</t>
  </si>
  <si>
    <t>MILIBOEVA</t>
  </si>
  <si>
    <t>ROZMATOVA</t>
  </si>
  <si>
    <t>8308770</t>
  </si>
  <si>
    <t>AHUNBABAYEVA</t>
  </si>
  <si>
    <t>8593525</t>
  </si>
  <si>
    <t>MASUROVA</t>
  </si>
  <si>
    <t>IGMBERDIEV</t>
  </si>
  <si>
    <t>NECHMAT</t>
  </si>
  <si>
    <t>9089311</t>
  </si>
  <si>
    <t>QAMBAROVA</t>
  </si>
  <si>
    <t>KOSIMOVA</t>
  </si>
  <si>
    <t>OGILOY</t>
  </si>
  <si>
    <t>DOSTON</t>
  </si>
  <si>
    <t>NARGIZAXON</t>
  </si>
  <si>
    <t>RAXMADJON</t>
  </si>
  <si>
    <t>OIDJANOVA</t>
  </si>
  <si>
    <t>MSUMAHON</t>
  </si>
  <si>
    <t>MADRAHIMOVA</t>
  </si>
  <si>
    <t>ANARAHON</t>
  </si>
  <si>
    <t>SHARAPOT</t>
  </si>
  <si>
    <t>RAXMONOV</t>
  </si>
  <si>
    <t>NASRIDDINOV</t>
  </si>
  <si>
    <t>JAVLOM</t>
  </si>
  <si>
    <t>OMONQULOV</t>
  </si>
  <si>
    <t>RAXMATULLAEV</t>
  </si>
  <si>
    <t>JAVOXIRBEK</t>
  </si>
  <si>
    <t>AXMEDJANOV</t>
  </si>
  <si>
    <t>KOMILA</t>
  </si>
  <si>
    <t>TOLHATOV</t>
  </si>
  <si>
    <t>OTABEK</t>
  </si>
  <si>
    <t>TULYAGANOVA</t>
  </si>
  <si>
    <t>ROBIYA</t>
  </si>
  <si>
    <t>JORAEVA</t>
  </si>
  <si>
    <t>RISLOLAT</t>
  </si>
  <si>
    <t>BILOLIDINOVA</t>
  </si>
  <si>
    <t>VAZIRA</t>
  </si>
  <si>
    <t>MAHSUDOV</t>
  </si>
  <si>
    <t>SOLIJON</t>
  </si>
  <si>
    <t>TUXTABAEVA</t>
  </si>
  <si>
    <t>KNYAZEVA</t>
  </si>
  <si>
    <t>ANNA</t>
  </si>
  <si>
    <t>SODIQOV</t>
  </si>
  <si>
    <t>9376338</t>
  </si>
  <si>
    <t>NAMOZOVA</t>
  </si>
  <si>
    <t>0036882</t>
  </si>
  <si>
    <t>ZOHID</t>
  </si>
  <si>
    <t>2128707</t>
  </si>
  <si>
    <t>OLIMQUL</t>
  </si>
  <si>
    <t>1403836</t>
  </si>
  <si>
    <t>3713349</t>
  </si>
  <si>
    <t>XAZRATKULOV</t>
  </si>
  <si>
    <t>QAXRAMONJON</t>
  </si>
  <si>
    <t>2519131</t>
  </si>
  <si>
    <t>ABDUJANONOV</t>
  </si>
  <si>
    <t>KOMIL</t>
  </si>
  <si>
    <t>5883579</t>
  </si>
  <si>
    <t>MUSTAFOYEV</t>
  </si>
  <si>
    <t>JAXONGIR</t>
  </si>
  <si>
    <t>0880719</t>
  </si>
  <si>
    <t>ORINBOYEVA</t>
  </si>
  <si>
    <t>LOLAXON</t>
  </si>
  <si>
    <t>1762326</t>
  </si>
  <si>
    <t>7251264</t>
  </si>
  <si>
    <t>MEXRIBONU</t>
  </si>
  <si>
    <t>6149705</t>
  </si>
  <si>
    <t>8200582</t>
  </si>
  <si>
    <t>ASLIYEVA</t>
  </si>
  <si>
    <t>4021137</t>
  </si>
  <si>
    <t>XAYDAROV</t>
  </si>
  <si>
    <t>SANJAR</t>
  </si>
  <si>
    <t>9801274</t>
  </si>
  <si>
    <t>PRIMQULOV</t>
  </si>
  <si>
    <t>DAVRON</t>
  </si>
  <si>
    <t>4249925</t>
  </si>
  <si>
    <t>MUXAMMADIYEV</t>
  </si>
  <si>
    <t>OKTAMJON</t>
  </si>
  <si>
    <t>7761584</t>
  </si>
  <si>
    <t>MAXMUDOVA</t>
  </si>
  <si>
    <t>MUXLISA</t>
  </si>
  <si>
    <t>1313586</t>
  </si>
  <si>
    <t>RADAKOVA</t>
  </si>
  <si>
    <t>BEKAJON</t>
  </si>
  <si>
    <t>6279110</t>
  </si>
  <si>
    <t>MIRSADIKOVA</t>
  </si>
  <si>
    <t>MUNIRA</t>
  </si>
  <si>
    <t>0376570</t>
  </si>
  <si>
    <t>XURSHIDA</t>
  </si>
  <si>
    <t>0366471</t>
  </si>
  <si>
    <t>ASANOV</t>
  </si>
  <si>
    <t>KUYSER</t>
  </si>
  <si>
    <t>9485872</t>
  </si>
  <si>
    <t>BERDIYEVA</t>
  </si>
  <si>
    <t>0215899</t>
  </si>
  <si>
    <t>HUSAYINOVA</t>
  </si>
  <si>
    <t>3017680</t>
  </si>
  <si>
    <t>1990027</t>
  </si>
  <si>
    <t>ISMATULLAYEV</t>
  </si>
  <si>
    <t>4200857</t>
  </si>
  <si>
    <t>HOSHIMOV</t>
  </si>
  <si>
    <t>BEKZODBEK</t>
  </si>
  <si>
    <t>5834548</t>
  </si>
  <si>
    <t>ABDUMUTAL</t>
  </si>
  <si>
    <t>0835388</t>
  </si>
  <si>
    <t>KHODJAYEVA</t>
  </si>
  <si>
    <t>6822979</t>
  </si>
  <si>
    <t>HOLIKNAZAROV</t>
  </si>
  <si>
    <t>9391034</t>
  </si>
  <si>
    <t>JUMAGUL</t>
  </si>
  <si>
    <t>7434976</t>
  </si>
  <si>
    <t>FAYZIYEV</t>
  </si>
  <si>
    <t>GAYRAT</t>
  </si>
  <si>
    <t>7748456</t>
  </si>
  <si>
    <t>1265949</t>
  </si>
  <si>
    <t>1446559</t>
  </si>
  <si>
    <t>ARTIQOV</t>
  </si>
  <si>
    <t>5385589</t>
  </si>
  <si>
    <t>ATABAEVA</t>
  </si>
  <si>
    <t>5393977</t>
  </si>
  <si>
    <t>SAIDALIBEKOV</t>
  </si>
  <si>
    <t>6816804</t>
  </si>
  <si>
    <t>TOSHEV</t>
  </si>
  <si>
    <t>KHABIB</t>
  </si>
  <si>
    <t>4482193</t>
  </si>
  <si>
    <t>5671674</t>
  </si>
  <si>
    <t>ABDINABIEV</t>
  </si>
  <si>
    <t>JAHONGIRMIRZO</t>
  </si>
  <si>
    <t>4545421</t>
  </si>
  <si>
    <t>HAKIMJON</t>
  </si>
  <si>
    <t>5028198</t>
  </si>
  <si>
    <t>NEMATILLA</t>
  </si>
  <si>
    <t>5058140</t>
  </si>
  <si>
    <t>NIMATOVA</t>
  </si>
  <si>
    <t>ZAMIRA</t>
  </si>
  <si>
    <t>8669175</t>
  </si>
  <si>
    <t>JALOLOVA</t>
  </si>
  <si>
    <t>FIRDAVSXON</t>
  </si>
  <si>
    <t>0528129</t>
  </si>
  <si>
    <t>MAKHMUDA</t>
  </si>
  <si>
    <t>4578952</t>
  </si>
  <si>
    <t>UZAQOV</t>
  </si>
  <si>
    <t>HAMIDJON</t>
  </si>
  <si>
    <t>1470420</t>
  </si>
  <si>
    <t>RAMAZANOV</t>
  </si>
  <si>
    <t>MYHAMMADAMIN</t>
  </si>
  <si>
    <t>4585632</t>
  </si>
  <si>
    <t>RASHIDOV</t>
  </si>
  <si>
    <t>3146520</t>
  </si>
  <si>
    <t>BEGMURADOVA</t>
  </si>
  <si>
    <t>4542320</t>
  </si>
  <si>
    <t>1263546</t>
  </si>
  <si>
    <t>MAHMUDHOJI</t>
  </si>
  <si>
    <t>8375323</t>
  </si>
  <si>
    <t>UMARALIYEVA</t>
  </si>
  <si>
    <t>7203796</t>
  </si>
  <si>
    <t>MUHLISA</t>
  </si>
  <si>
    <t>3425995</t>
  </si>
  <si>
    <t>SUNNATOV</t>
  </si>
  <si>
    <t>LAZIZJON</t>
  </si>
  <si>
    <t>4583994</t>
  </si>
  <si>
    <t>GANIEVA</t>
  </si>
  <si>
    <t>8591967</t>
  </si>
  <si>
    <t>YOLDOSHEVA</t>
  </si>
  <si>
    <t>ZAIYODA</t>
  </si>
  <si>
    <t>RAKHMATULLAYEV</t>
  </si>
  <si>
    <t>0769166</t>
  </si>
  <si>
    <t>SADAF</t>
  </si>
  <si>
    <t>7942053</t>
  </si>
  <si>
    <t>LAZIZBEK</t>
  </si>
  <si>
    <t>6769138</t>
  </si>
  <si>
    <t>ABIDOVA</t>
  </si>
  <si>
    <t>5129789</t>
  </si>
  <si>
    <t>SALOHIDDIN</t>
  </si>
  <si>
    <t>9355660</t>
  </si>
  <si>
    <t>6763231</t>
  </si>
  <si>
    <t>SHAVKAT</t>
  </si>
  <si>
    <t>6167967</t>
  </si>
  <si>
    <t>UQULOVA</t>
  </si>
  <si>
    <t>SARVINOZ</t>
  </si>
  <si>
    <t>6506480</t>
  </si>
  <si>
    <t>SHOZISTA</t>
  </si>
  <si>
    <t>2859473</t>
  </si>
  <si>
    <t>QOILOVA</t>
  </si>
  <si>
    <t>2872620</t>
  </si>
  <si>
    <t>SHIRINKULOV</t>
  </si>
  <si>
    <t>ABROR</t>
  </si>
  <si>
    <t>9663525</t>
  </si>
  <si>
    <t>ISANOVA</t>
  </si>
  <si>
    <t>9932279</t>
  </si>
  <si>
    <t>DJANABAEVA</t>
  </si>
  <si>
    <t>5860575</t>
  </si>
  <si>
    <t>LIQURBONOVA</t>
  </si>
  <si>
    <t>1612286</t>
  </si>
  <si>
    <t>ZOKIRJONOVA</t>
  </si>
  <si>
    <t>NOZIMABONU</t>
  </si>
  <si>
    <t>2910824</t>
  </si>
  <si>
    <t>JALOLIDINOVA</t>
  </si>
  <si>
    <t>MALIKXON</t>
  </si>
  <si>
    <t>2994189</t>
  </si>
  <si>
    <t>XAMROEV</t>
  </si>
  <si>
    <t>XUDOYBERDI</t>
  </si>
  <si>
    <t>5285208</t>
  </si>
  <si>
    <t>MASHRAPOVA</t>
  </si>
  <si>
    <t>6473686</t>
  </si>
  <si>
    <t>8798210</t>
  </si>
  <si>
    <t>ISAMOVA</t>
  </si>
  <si>
    <t>MOXINUR</t>
  </si>
  <si>
    <t>1721618</t>
  </si>
  <si>
    <t>6758955</t>
  </si>
  <si>
    <t>JASMINA</t>
  </si>
  <si>
    <t>0741575</t>
  </si>
  <si>
    <t>AKBAROVA</t>
  </si>
  <si>
    <t>6881488</t>
  </si>
  <si>
    <t>2112736</t>
  </si>
  <si>
    <t>XALIKOV</t>
  </si>
  <si>
    <t>ABDUMAJID</t>
  </si>
  <si>
    <t>2433102</t>
  </si>
  <si>
    <t>NABIEV</t>
  </si>
  <si>
    <t>NURALI</t>
  </si>
  <si>
    <t>9282007</t>
  </si>
  <si>
    <t>AVEZMETOV</t>
  </si>
  <si>
    <t>2039211</t>
  </si>
  <si>
    <t>ABDUGANI</t>
  </si>
  <si>
    <t>1622931</t>
  </si>
  <si>
    <t>ABULOVA</t>
  </si>
  <si>
    <t>SHARIF</t>
  </si>
  <si>
    <t>2647011</t>
  </si>
  <si>
    <t>MAMADIYAROVA</t>
  </si>
  <si>
    <t>JAMILA</t>
  </si>
  <si>
    <t>3149252</t>
  </si>
  <si>
    <t>ABDUVAHOB</t>
  </si>
  <si>
    <t>4683005</t>
  </si>
  <si>
    <t>ASAL</t>
  </si>
  <si>
    <t>5594288</t>
  </si>
  <si>
    <t>1947920</t>
  </si>
  <si>
    <t>YOLCHIYEVA</t>
  </si>
  <si>
    <t>UMUTXON</t>
  </si>
  <si>
    <t>4386785</t>
  </si>
  <si>
    <t>SHERNAZAROVA</t>
  </si>
  <si>
    <t>KANDIYA</t>
  </si>
  <si>
    <t>2052768</t>
  </si>
  <si>
    <t>SAIDA</t>
  </si>
  <si>
    <t>4093230</t>
  </si>
  <si>
    <t>KARAYEVA</t>
  </si>
  <si>
    <t>SOHIBA</t>
  </si>
  <si>
    <t>SHERBEKOVA</t>
  </si>
  <si>
    <t>SOJIDA</t>
  </si>
  <si>
    <t>OLLOYOROV</t>
  </si>
  <si>
    <t>DAVLATYOR</t>
  </si>
  <si>
    <t>SHERZODOV</t>
  </si>
  <si>
    <t>QUVONCHBEK</t>
  </si>
  <si>
    <t>BARCHINOY</t>
  </si>
  <si>
    <t>MAVLONOV</t>
  </si>
  <si>
    <t>0148833</t>
  </si>
  <si>
    <t>0202051</t>
  </si>
  <si>
    <t>ORIQOV</t>
  </si>
  <si>
    <t>IHTIYOR</t>
  </si>
  <si>
    <t>0245796</t>
  </si>
  <si>
    <t>ABDURAXMANOVA</t>
  </si>
  <si>
    <t>0356407</t>
  </si>
  <si>
    <t>0363240</t>
  </si>
  <si>
    <t>AZEROVA</t>
  </si>
  <si>
    <t>0449243</t>
  </si>
  <si>
    <t>XOJAYEVA</t>
  </si>
  <si>
    <t>0451833</t>
  </si>
  <si>
    <t>0472252</t>
  </si>
  <si>
    <t>MIRZAUMIDOVA</t>
  </si>
  <si>
    <t>XAMIDA</t>
  </si>
  <si>
    <t>0510915</t>
  </si>
  <si>
    <t>SHEROVA</t>
  </si>
  <si>
    <t>KIMYO</t>
  </si>
  <si>
    <t>0511259</t>
  </si>
  <si>
    <t>MUHAMEDOVA</t>
  </si>
  <si>
    <t>0511260</t>
  </si>
  <si>
    <t>KURBONBOEV</t>
  </si>
  <si>
    <t>YOLDOSHBOY</t>
  </si>
  <si>
    <t>0544947</t>
  </si>
  <si>
    <t>DUSTMATOVA</t>
  </si>
  <si>
    <t>0726195</t>
  </si>
  <si>
    <t>MIRZAYEV</t>
  </si>
  <si>
    <t>0761315</t>
  </si>
  <si>
    <t>SOLIYEVA</t>
  </si>
  <si>
    <t>KOMILAXON</t>
  </si>
  <si>
    <t>0888547</t>
  </si>
  <si>
    <t>JONIEVA</t>
  </si>
  <si>
    <t>0901936</t>
  </si>
  <si>
    <t>BAJIGATOVA</t>
  </si>
  <si>
    <t>1361971</t>
  </si>
  <si>
    <t>ANORKHON</t>
  </si>
  <si>
    <t>1451698</t>
  </si>
  <si>
    <t>1453974</t>
  </si>
  <si>
    <t>RASULOV</t>
  </si>
  <si>
    <t>ISMAT</t>
  </si>
  <si>
    <t>2102336</t>
  </si>
  <si>
    <t>ESHONOV</t>
  </si>
  <si>
    <t>MANSURXON</t>
  </si>
  <si>
    <t>2338900</t>
  </si>
  <si>
    <t>ORTIKOVA</t>
  </si>
  <si>
    <t>2357511</t>
  </si>
  <si>
    <t>2544408</t>
  </si>
  <si>
    <t>KHAFIZXANOV</t>
  </si>
  <si>
    <t>MUKHAMADJON</t>
  </si>
  <si>
    <t>2938521</t>
  </si>
  <si>
    <t>XAKIMOV</t>
  </si>
  <si>
    <t>TIMUR</t>
  </si>
  <si>
    <t>NEMATOV</t>
  </si>
  <si>
    <t>GALIAKHMEDOVA</t>
  </si>
  <si>
    <t>SALIMA</t>
  </si>
  <si>
    <t>2475623</t>
  </si>
  <si>
    <t>SAPAYEVA</t>
  </si>
  <si>
    <t>SAODATJON</t>
  </si>
  <si>
    <t>1548620</t>
  </si>
  <si>
    <t>DJANGBAYEVA</t>
  </si>
  <si>
    <t>2511269</t>
  </si>
  <si>
    <t>MAMATKULOV</t>
  </si>
  <si>
    <t>MUKUM</t>
  </si>
  <si>
    <t>1453151</t>
  </si>
  <si>
    <t>1154456</t>
  </si>
  <si>
    <t>SETOROVA</t>
  </si>
  <si>
    <t>0613682</t>
  </si>
  <si>
    <t>SERIKBOEV</t>
  </si>
  <si>
    <t>MANSURBEK</t>
  </si>
  <si>
    <t>KA</t>
  </si>
  <si>
    <t>0681540</t>
  </si>
  <si>
    <t>HAYITJON</t>
  </si>
  <si>
    <t>0735411</t>
  </si>
  <si>
    <t>SOBUROVA</t>
  </si>
  <si>
    <t>YULDUZKHON</t>
  </si>
  <si>
    <t>1107752</t>
  </si>
  <si>
    <t>DAVLATBAYEVA</t>
  </si>
  <si>
    <t>0260265</t>
  </si>
  <si>
    <t>YULDASHEVA</t>
  </si>
  <si>
    <t>2820907</t>
  </si>
  <si>
    <t>MIRZAIROV</t>
  </si>
  <si>
    <t>5230772</t>
  </si>
  <si>
    <t>ABDUMAJIDOV</t>
  </si>
  <si>
    <t>SAIDAKBAR</t>
  </si>
  <si>
    <t>8011429</t>
  </si>
  <si>
    <t>MUXABBAT</t>
  </si>
  <si>
    <t>5877103</t>
  </si>
  <si>
    <t>MADRAXIMOVA</t>
  </si>
  <si>
    <t>2200148</t>
  </si>
  <si>
    <t>KUTMURODOV</t>
  </si>
  <si>
    <t>VOXIDJON</t>
  </si>
  <si>
    <t>4810034</t>
  </si>
  <si>
    <t>ALABERGANOVA</t>
  </si>
  <si>
    <t>9521346</t>
  </si>
  <si>
    <t>XUSANOVA</t>
  </si>
  <si>
    <t>9436447</t>
  </si>
  <si>
    <t>DOSTMURODOVA</t>
  </si>
  <si>
    <t>MASTURA</t>
  </si>
  <si>
    <t>2089264</t>
  </si>
  <si>
    <t>DARDAYEVA</t>
  </si>
  <si>
    <t>1372623</t>
  </si>
  <si>
    <t>SOBIRJANOVA</t>
  </si>
  <si>
    <t>6906454</t>
  </si>
  <si>
    <t>MUXAMEDOVA</t>
  </si>
  <si>
    <t>GOLIB</t>
  </si>
  <si>
    <t>8149190</t>
  </si>
  <si>
    <t>BARTOV</t>
  </si>
  <si>
    <t>MANSUR</t>
  </si>
  <si>
    <t>9247189</t>
  </si>
  <si>
    <t>MIRZAEV</t>
  </si>
  <si>
    <t>MUSULMON</t>
  </si>
  <si>
    <t>0890719</t>
  </si>
  <si>
    <t>4592323</t>
  </si>
  <si>
    <t>BURXONOVA</t>
  </si>
  <si>
    <t>RUKIYA</t>
  </si>
  <si>
    <t>0496886</t>
  </si>
  <si>
    <t>XUSAINOVA</t>
  </si>
  <si>
    <t>6614374</t>
  </si>
  <si>
    <t>MAMATKULOVA</t>
  </si>
  <si>
    <t>2198183</t>
  </si>
  <si>
    <t>DODAMATOVA</t>
  </si>
  <si>
    <t>6779110</t>
  </si>
  <si>
    <t>2374778</t>
  </si>
  <si>
    <t>KOZIBAYEVA</t>
  </si>
  <si>
    <t>6001006</t>
  </si>
  <si>
    <t>QOZAQOVA</t>
  </si>
  <si>
    <t>9251339</t>
  </si>
  <si>
    <t>ISMOILOVA</t>
  </si>
  <si>
    <t>AXMAD</t>
  </si>
  <si>
    <t>6943855</t>
  </si>
  <si>
    <t>TOJIDDINOVA</t>
  </si>
  <si>
    <t>5291329</t>
  </si>
  <si>
    <t>BOYMIRZAYEV</t>
  </si>
  <si>
    <t>7110470</t>
  </si>
  <si>
    <t>RAIMOV</t>
  </si>
  <si>
    <t>JOVLI</t>
  </si>
  <si>
    <t>7773505</t>
  </si>
  <si>
    <t>ORZIMURODOV</t>
  </si>
  <si>
    <t>SHARXOM</t>
  </si>
  <si>
    <t>4777448</t>
  </si>
  <si>
    <t>ISMANXODMA</t>
  </si>
  <si>
    <t>4797231</t>
  </si>
  <si>
    <t>ELERDIYEVA</t>
  </si>
  <si>
    <t>MAXBUBA</t>
  </si>
  <si>
    <t>6465482</t>
  </si>
  <si>
    <t>ASILYOR</t>
  </si>
  <si>
    <t>8764116</t>
  </si>
  <si>
    <t>ESHMIRZAYEVA</t>
  </si>
  <si>
    <t>IZZAT</t>
  </si>
  <si>
    <t>6105555</t>
  </si>
  <si>
    <t>8013057</t>
  </si>
  <si>
    <t>8784575</t>
  </si>
  <si>
    <t>XOJAKBAR</t>
  </si>
  <si>
    <t>9564799</t>
  </si>
  <si>
    <t>ORTIQOVA</t>
  </si>
  <si>
    <t>7156245</t>
  </si>
  <si>
    <t>EGANBERDIYEV</t>
  </si>
  <si>
    <t>0652706</t>
  </si>
  <si>
    <t>GULRABO</t>
  </si>
  <si>
    <t>1482044</t>
  </si>
  <si>
    <t>DJURAYEV</t>
  </si>
  <si>
    <t>ANVARJON</t>
  </si>
  <si>
    <t>1396868</t>
  </si>
  <si>
    <t>7698699</t>
  </si>
  <si>
    <t>IKROMOV</t>
  </si>
  <si>
    <t>ODILXON</t>
  </si>
  <si>
    <t>7302690</t>
  </si>
  <si>
    <t>BERDIYEV</t>
  </si>
  <si>
    <t>2241640</t>
  </si>
  <si>
    <t>BEKTERIMOV</t>
  </si>
  <si>
    <t>XURSHIDXON</t>
  </si>
  <si>
    <t>1619135</t>
  </si>
  <si>
    <t>QULMURODOV</t>
  </si>
  <si>
    <t>7491640</t>
  </si>
  <si>
    <t>ABAYQULOVA</t>
  </si>
  <si>
    <t>SURAYO</t>
  </si>
  <si>
    <t>9999603</t>
  </si>
  <si>
    <t>SODIQJON</t>
  </si>
  <si>
    <t>4579898</t>
  </si>
  <si>
    <t>DOSTMURODOV</t>
  </si>
  <si>
    <t>FURQAT</t>
  </si>
  <si>
    <t>6438277</t>
  </si>
  <si>
    <t>KARSHIBOYEVA</t>
  </si>
  <si>
    <t>TULAGANOY</t>
  </si>
  <si>
    <t>2451248</t>
  </si>
  <si>
    <t>JORABAYEVA</t>
  </si>
  <si>
    <t>9478717</t>
  </si>
  <si>
    <t>ESHMATOVA</t>
  </si>
  <si>
    <t>2464212</t>
  </si>
  <si>
    <t>MAXMUDJONOV</t>
  </si>
  <si>
    <t>5639217</t>
  </si>
  <si>
    <t>ABDURAXIMOVA</t>
  </si>
  <si>
    <t>0520589</t>
  </si>
  <si>
    <t>ABDURAZOQOVA</t>
  </si>
  <si>
    <t>XUSHNIDA</t>
  </si>
  <si>
    <t>2416262</t>
  </si>
  <si>
    <t>LATIPOVA</t>
  </si>
  <si>
    <t>8474235</t>
  </si>
  <si>
    <t>1903309</t>
  </si>
  <si>
    <t>SARDORBEK</t>
  </si>
  <si>
    <t>6047599</t>
  </si>
  <si>
    <t>BOLTAYEV</t>
  </si>
  <si>
    <t>6342930</t>
  </si>
  <si>
    <t>MUHAMMADRIZO</t>
  </si>
  <si>
    <t>5108629</t>
  </si>
  <si>
    <t>MANSURKHONOV</t>
  </si>
  <si>
    <t>MUZRABKHON</t>
  </si>
  <si>
    <t>6122427</t>
  </si>
  <si>
    <t>7012744</t>
  </si>
  <si>
    <t>BAYKULOV</t>
  </si>
  <si>
    <t>4747809</t>
  </si>
  <si>
    <t>HIKMATOV</t>
  </si>
  <si>
    <t>SHOMUROD</t>
  </si>
  <si>
    <t>1058833</t>
  </si>
  <si>
    <t>0917004</t>
  </si>
  <si>
    <t>RADJAPOV</t>
  </si>
  <si>
    <t>3945450</t>
  </si>
  <si>
    <t>GALATOVA</t>
  </si>
  <si>
    <t>SHUKRULLO</t>
  </si>
  <si>
    <t>4352229</t>
  </si>
  <si>
    <t>6933439</t>
  </si>
  <si>
    <t>BOTIROVA</t>
  </si>
  <si>
    <t>0751617</t>
  </si>
  <si>
    <t>5463262</t>
  </si>
  <si>
    <t>HAFIZA</t>
  </si>
  <si>
    <t>5324689</t>
  </si>
  <si>
    <t>0436429</t>
  </si>
  <si>
    <t>3185467</t>
  </si>
  <si>
    <t>SHADIBAYEVA</t>
  </si>
  <si>
    <t>9777275</t>
  </si>
  <si>
    <t>6037441</t>
  </si>
  <si>
    <t>KHASANOVA</t>
  </si>
  <si>
    <t>IKROMJON</t>
  </si>
  <si>
    <t>2554656</t>
  </si>
  <si>
    <t>MAMEDOVA</t>
  </si>
  <si>
    <t>ILYAS</t>
  </si>
  <si>
    <t>0970363</t>
  </si>
  <si>
    <t>HASHIMOVA</t>
  </si>
  <si>
    <t>2875540</t>
  </si>
  <si>
    <t>9809922</t>
  </si>
  <si>
    <t>SAMATOVA</t>
  </si>
  <si>
    <t>MAFTUNABONU</t>
  </si>
  <si>
    <t>3922120</t>
  </si>
  <si>
    <t>1823327</t>
  </si>
  <si>
    <t>MAMAQULOVA</t>
  </si>
  <si>
    <t>1290649</t>
  </si>
  <si>
    <t>ZAKHAROVA</t>
  </si>
  <si>
    <t>8714170</t>
  </si>
  <si>
    <t>FARXODOVA</t>
  </si>
  <si>
    <t>0091900</t>
  </si>
  <si>
    <t>XOLBEKOVA</t>
  </si>
  <si>
    <t>0266898</t>
  </si>
  <si>
    <t>XURSHID</t>
  </si>
  <si>
    <t>1315642</t>
  </si>
  <si>
    <t>HAKIMOV</t>
  </si>
  <si>
    <t>TEMIR</t>
  </si>
  <si>
    <t>9558905</t>
  </si>
  <si>
    <t>NORKUZIYEVA</t>
  </si>
  <si>
    <t>TURSUNOYHON</t>
  </si>
  <si>
    <t>0495735</t>
  </si>
  <si>
    <t>0037316</t>
  </si>
  <si>
    <t>ILHOMOVA</t>
  </si>
  <si>
    <t>4239019</t>
  </si>
  <si>
    <t>NAZIRKULOVA</t>
  </si>
  <si>
    <t>2085626</t>
  </si>
  <si>
    <t>5788192</t>
  </si>
  <si>
    <t>ABDURAHMANOV</t>
  </si>
  <si>
    <t>BAHROM</t>
  </si>
  <si>
    <t>0469903</t>
  </si>
  <si>
    <t>XAMDAMOV</t>
  </si>
  <si>
    <t>ZUHRIDDIN</t>
  </si>
  <si>
    <t>6376167</t>
  </si>
  <si>
    <t>9650743</t>
  </si>
  <si>
    <t>ELMUROD</t>
  </si>
  <si>
    <t>DAVLATYAROV</t>
  </si>
  <si>
    <t>4345302</t>
  </si>
  <si>
    <t>1229598</t>
  </si>
  <si>
    <t>BEKTEMIROV</t>
  </si>
  <si>
    <t>3234555</t>
  </si>
  <si>
    <t>4173879</t>
  </si>
  <si>
    <t>NODIROV</t>
  </si>
  <si>
    <t>4578520</t>
  </si>
  <si>
    <t>4565120</t>
  </si>
  <si>
    <t>4543250</t>
  </si>
  <si>
    <t>4541221</t>
  </si>
  <si>
    <t>5219016</t>
  </si>
  <si>
    <t>HISHONBOYEVA</t>
  </si>
  <si>
    <t>6770119</t>
  </si>
  <si>
    <t>KADIROV</t>
  </si>
  <si>
    <t>MAMIRJON</t>
  </si>
  <si>
    <t>9184518</t>
  </si>
  <si>
    <t>2145594</t>
  </si>
  <si>
    <t>MUHAMMAD</t>
  </si>
  <si>
    <t>9084160</t>
  </si>
  <si>
    <t>KAZAKBAEV</t>
  </si>
  <si>
    <t>7900451</t>
  </si>
  <si>
    <t>MIRZASOYIPOV</t>
  </si>
  <si>
    <t>ERGASHBOY</t>
  </si>
  <si>
    <t>1481290</t>
  </si>
  <si>
    <t>0672508</t>
  </si>
  <si>
    <t>OYDINOVA</t>
  </si>
  <si>
    <t>1275643</t>
  </si>
  <si>
    <t>TOHIROVA</t>
  </si>
  <si>
    <t>2356397</t>
  </si>
  <si>
    <t>KOTTABABAEVA</t>
  </si>
  <si>
    <t>7415112</t>
  </si>
  <si>
    <t>1476785</t>
  </si>
  <si>
    <t>HUDOYKULOV</t>
  </si>
  <si>
    <t>2226764</t>
  </si>
  <si>
    <t>ALIKULOVA</t>
  </si>
  <si>
    <t>KURBONOY</t>
  </si>
  <si>
    <t>3723037</t>
  </si>
  <si>
    <t>SHAYMANOV</t>
  </si>
  <si>
    <t>5605742</t>
  </si>
  <si>
    <t>NIYOZBABAEV</t>
  </si>
  <si>
    <t>6433323</t>
  </si>
  <si>
    <t>JIYANOV</t>
  </si>
  <si>
    <t>5776689</t>
  </si>
  <si>
    <t>TAXTAMAMEDOV</t>
  </si>
  <si>
    <t>SIROJIDDIN</t>
  </si>
  <si>
    <t>2847520</t>
  </si>
  <si>
    <t>ALIMKULOV</t>
  </si>
  <si>
    <t>OMADJON</t>
  </si>
  <si>
    <t>0024674</t>
  </si>
  <si>
    <t>MUSAEVA</t>
  </si>
  <si>
    <t>4143432</t>
  </si>
  <si>
    <t>MINASIPOVA</t>
  </si>
  <si>
    <t>9393196</t>
  </si>
  <si>
    <t>ORINBOYEV</t>
  </si>
  <si>
    <t>ABDUVALI</t>
  </si>
  <si>
    <t>4496781</t>
  </si>
  <si>
    <t>7927539</t>
  </si>
  <si>
    <t>SHOHISTA</t>
  </si>
  <si>
    <t>8746957</t>
  </si>
  <si>
    <t>JUMAEV</t>
  </si>
  <si>
    <t>KUDRAT</t>
  </si>
  <si>
    <t>2499684</t>
  </si>
  <si>
    <t>MAYAGUL</t>
  </si>
  <si>
    <t>5384449</t>
  </si>
  <si>
    <t>JUMANIYAZAROV</t>
  </si>
  <si>
    <t>MUTTABARXON</t>
  </si>
  <si>
    <t>7003571</t>
  </si>
  <si>
    <t>ISAMIDDINOVA</t>
  </si>
  <si>
    <t>NASIAKHON</t>
  </si>
  <si>
    <t>0328312</t>
  </si>
  <si>
    <t>JUMAKULOVA</t>
  </si>
  <si>
    <t>8280831</t>
  </si>
  <si>
    <t>ODILKHANOVA</t>
  </si>
  <si>
    <t>KHILOLOY</t>
  </si>
  <si>
    <t>4115279</t>
  </si>
  <si>
    <t>SAZIEVA</t>
  </si>
  <si>
    <t>VASILAKHON</t>
  </si>
  <si>
    <t>4307225</t>
  </si>
  <si>
    <t>UMEDOVA</t>
  </si>
  <si>
    <t>MOKHICEKHRA</t>
  </si>
  <si>
    <t>4975968</t>
  </si>
  <si>
    <t>7993951</t>
  </si>
  <si>
    <t>RAZILOVA</t>
  </si>
  <si>
    <t>0834296</t>
  </si>
  <si>
    <t>MUKHAMADJONOVA</t>
  </si>
  <si>
    <t>0834297</t>
  </si>
  <si>
    <t>0834298</t>
  </si>
  <si>
    <t>0834299</t>
  </si>
  <si>
    <t>0324514</t>
  </si>
  <si>
    <t>7612929</t>
  </si>
  <si>
    <t>ANNAKULOVA</t>
  </si>
  <si>
    <t>NAVBAKHOR</t>
  </si>
  <si>
    <t>0390042</t>
  </si>
  <si>
    <t>5315657</t>
  </si>
  <si>
    <t>KHAYRULLAYEVA</t>
  </si>
  <si>
    <t>7991255</t>
  </si>
  <si>
    <t>ABDULKHAKIMOV</t>
  </si>
  <si>
    <t>ABDULATIB</t>
  </si>
  <si>
    <t>0495149</t>
  </si>
  <si>
    <t>ERKABAYEVA</t>
  </si>
  <si>
    <t>7676068</t>
  </si>
  <si>
    <t>BUTAEV</t>
  </si>
  <si>
    <t>7661318</t>
  </si>
  <si>
    <t>TOGAEV</t>
  </si>
  <si>
    <t>UMIRZOD</t>
  </si>
  <si>
    <t>2395564</t>
  </si>
  <si>
    <t>LAYKA</t>
  </si>
  <si>
    <t>2033738</t>
  </si>
  <si>
    <t>SUYUMOV</t>
  </si>
  <si>
    <t>SHAXRUZ</t>
  </si>
  <si>
    <t>7061638</t>
  </si>
  <si>
    <t>GULSHAN</t>
  </si>
  <si>
    <t>8318690</t>
  </si>
  <si>
    <t>SHODMONOVA</t>
  </si>
  <si>
    <t>TURDIALI</t>
  </si>
  <si>
    <t>1354311</t>
  </si>
  <si>
    <t>UMIRZOKOVA</t>
  </si>
  <si>
    <t>2114109</t>
  </si>
  <si>
    <t>BOZOROV</t>
  </si>
  <si>
    <t>7150245</t>
  </si>
  <si>
    <t>EGAMBERDIEV</t>
  </si>
  <si>
    <t>SHUKUR</t>
  </si>
  <si>
    <t>2654797</t>
  </si>
  <si>
    <t>MAVLYANOVA</t>
  </si>
  <si>
    <t>8575201</t>
  </si>
  <si>
    <t>ERGAMOVA</t>
  </si>
  <si>
    <t>4175476</t>
  </si>
  <si>
    <t>3925952</t>
  </si>
  <si>
    <t>XUSHMATOV</t>
  </si>
  <si>
    <t>SIROJ</t>
  </si>
  <si>
    <t>4223600</t>
  </si>
  <si>
    <t>RISLIGAN</t>
  </si>
  <si>
    <t>8865704</t>
  </si>
  <si>
    <t>0523717</t>
  </si>
  <si>
    <t>XAKIMA</t>
  </si>
  <si>
    <t>0435102</t>
  </si>
  <si>
    <t>MADRAYIMOVA</t>
  </si>
  <si>
    <t>2544544</t>
  </si>
  <si>
    <t>3322184</t>
  </si>
  <si>
    <t>MAHKAMOV</t>
  </si>
  <si>
    <t>YOQUT</t>
  </si>
  <si>
    <t>9465157</t>
  </si>
  <si>
    <t>SHAXRIBONU</t>
  </si>
  <si>
    <t>0717602</t>
  </si>
  <si>
    <t>MAMANOV</t>
  </si>
  <si>
    <t>QUMRIDDIN</t>
  </si>
  <si>
    <t>4136871</t>
  </si>
  <si>
    <t>AZAMOVA</t>
  </si>
  <si>
    <t>KUBARO</t>
  </si>
  <si>
    <t>4509857</t>
  </si>
  <si>
    <t>MUKIMOVA</t>
  </si>
  <si>
    <t>SURAYYO</t>
  </si>
  <si>
    <t>2125496</t>
  </si>
  <si>
    <t>DJABBAROV</t>
  </si>
  <si>
    <t>5397732</t>
  </si>
  <si>
    <t>GAFURJANOVA</t>
  </si>
  <si>
    <t>6128056</t>
  </si>
  <si>
    <t>INOGAMJONOVA</t>
  </si>
  <si>
    <t>GULOMJON</t>
  </si>
  <si>
    <t>7626963</t>
  </si>
  <si>
    <t>HOJINAZAROVA</t>
  </si>
  <si>
    <t>1181005</t>
  </si>
  <si>
    <t>HUSANBOY</t>
  </si>
  <si>
    <t>9186723</t>
  </si>
  <si>
    <t>0015368</t>
  </si>
  <si>
    <t>ROZIYEVA</t>
  </si>
  <si>
    <t>0775220</t>
  </si>
  <si>
    <t>MIRSODIKOV</t>
  </si>
  <si>
    <t>AKBARJON</t>
  </si>
  <si>
    <t>7858514</t>
  </si>
  <si>
    <t>1195656</t>
  </si>
  <si>
    <t>TOSHMURODOV</t>
  </si>
  <si>
    <t>FURKAT</t>
  </si>
  <si>
    <t>4038982</t>
  </si>
  <si>
    <t>6958874</t>
  </si>
  <si>
    <t>KHAKIMOV</t>
  </si>
  <si>
    <t>0655288</t>
  </si>
  <si>
    <t>ALAYEVA</t>
  </si>
  <si>
    <t>7944530</t>
  </si>
  <si>
    <t>SALOMAT</t>
  </si>
  <si>
    <t>7963020</t>
  </si>
  <si>
    <t>MIKRAKBAROVA</t>
  </si>
  <si>
    <t>5695709</t>
  </si>
  <si>
    <t>XAMKAROV</t>
  </si>
  <si>
    <t>DJAMSHED</t>
  </si>
  <si>
    <t>3531915</t>
  </si>
  <si>
    <t>5637121</t>
  </si>
  <si>
    <t>MIRANSHAH</t>
  </si>
  <si>
    <t>1082595</t>
  </si>
  <si>
    <t>ARTIKBAEVA</t>
  </si>
  <si>
    <t>MUHABBAT</t>
  </si>
  <si>
    <t>8456769</t>
  </si>
  <si>
    <t>ABDULHAMIDOV</t>
  </si>
  <si>
    <t>0511006</t>
  </si>
  <si>
    <t>KENJABAYEV</t>
  </si>
  <si>
    <t>ILDAR</t>
  </si>
  <si>
    <t>1060005</t>
  </si>
  <si>
    <t>ABDUGAFUROVA</t>
  </si>
  <si>
    <t>SHAHLO</t>
  </si>
  <si>
    <t>1621690</t>
  </si>
  <si>
    <t>SNISHANBAYEVA</t>
  </si>
  <si>
    <t>TURSINAY</t>
  </si>
  <si>
    <t>0250752</t>
  </si>
  <si>
    <t>4317219</t>
  </si>
  <si>
    <t>SHONASIROVA</t>
  </si>
  <si>
    <t>8981301</t>
  </si>
  <si>
    <t>ANNAHASANOVA</t>
  </si>
  <si>
    <t>DINARA</t>
  </si>
  <si>
    <t>0956151</t>
  </si>
  <si>
    <t>MALOVA</t>
  </si>
  <si>
    <t>OLGA</t>
  </si>
  <si>
    <t>0366420</t>
  </si>
  <si>
    <t>0272910</t>
  </si>
  <si>
    <t>3911608</t>
  </si>
  <si>
    <t>SUNNATULAYEVA</t>
  </si>
  <si>
    <t>3874646</t>
  </si>
  <si>
    <t>ALIMJANOVA</t>
  </si>
  <si>
    <t>ZILOLAHON</t>
  </si>
  <si>
    <t>2919016</t>
  </si>
  <si>
    <t>MAYRE</t>
  </si>
  <si>
    <t>0210672</t>
  </si>
  <si>
    <t>KAMILA</t>
  </si>
  <si>
    <t>4149211</t>
  </si>
  <si>
    <t>2018299</t>
  </si>
  <si>
    <t>0042330</t>
  </si>
  <si>
    <t>HALIMOV</t>
  </si>
  <si>
    <t>2511999</t>
  </si>
  <si>
    <t>MUHRANSKIY</t>
  </si>
  <si>
    <t>UMARBEK</t>
  </si>
  <si>
    <t>8227189</t>
  </si>
  <si>
    <t>ILYASOV</t>
  </si>
  <si>
    <t>TURSUNBOY</t>
  </si>
  <si>
    <t>5164694</t>
  </si>
  <si>
    <t>ROMASHEVSKAYA</t>
  </si>
  <si>
    <t>TATYANA</t>
  </si>
  <si>
    <t>3985303</t>
  </si>
  <si>
    <t>BELOUSOVA</t>
  </si>
  <si>
    <t>OKSANA</t>
  </si>
  <si>
    <t>5723245</t>
  </si>
  <si>
    <t>ISAKOVA</t>
  </si>
  <si>
    <t>4176420</t>
  </si>
  <si>
    <t>HUSANOV</t>
  </si>
  <si>
    <t>IBROHIM</t>
  </si>
  <si>
    <t>1859179</t>
  </si>
  <si>
    <t>1962431</t>
  </si>
  <si>
    <t>JALOLOV</t>
  </si>
  <si>
    <t>ABBOS</t>
  </si>
  <si>
    <t>3296460</t>
  </si>
  <si>
    <t>ABILOVA</t>
  </si>
  <si>
    <t>GUZAL</t>
  </si>
  <si>
    <t>1366510</t>
  </si>
  <si>
    <t>RIZAEVA</t>
  </si>
  <si>
    <t>1987960</t>
  </si>
  <si>
    <t>AZIZXOJA</t>
  </si>
  <si>
    <t>2387893</t>
  </si>
  <si>
    <t>9295630</t>
  </si>
  <si>
    <t>RUZIBOEV</t>
  </si>
  <si>
    <t>DOSTONBEK</t>
  </si>
  <si>
    <t>0661927</t>
  </si>
  <si>
    <t>BEKTEMIROVA</t>
  </si>
  <si>
    <t>2533163</t>
  </si>
  <si>
    <t>5541181</t>
  </si>
  <si>
    <t>BAYRAMOVA</t>
  </si>
  <si>
    <t>0729306</t>
  </si>
  <si>
    <t>MERZARAXIMOV</t>
  </si>
  <si>
    <t>6181221</t>
  </si>
  <si>
    <t>XURSANOVA</t>
  </si>
  <si>
    <t>MAFTUBA</t>
  </si>
  <si>
    <t>3732974</t>
  </si>
  <si>
    <t>6295972</t>
  </si>
  <si>
    <t>MANSUROVA</t>
  </si>
  <si>
    <t>5133980</t>
  </si>
  <si>
    <t>ALLAMBERGANOVA</t>
  </si>
  <si>
    <t>DIYORA</t>
  </si>
  <si>
    <t>9169011</t>
  </si>
  <si>
    <t>1945592</t>
  </si>
  <si>
    <t>GRIGOREYEVA</t>
  </si>
  <si>
    <t>7003825</t>
  </si>
  <si>
    <t>MUXAMMADUMAR</t>
  </si>
  <si>
    <t>0236911</t>
  </si>
  <si>
    <t>AGZAM</t>
  </si>
  <si>
    <t>5986679</t>
  </si>
  <si>
    <t>ESONOVA</t>
  </si>
  <si>
    <t>3905432</t>
  </si>
  <si>
    <t>GULASA</t>
  </si>
  <si>
    <t>BOSTONOVA</t>
  </si>
  <si>
    <t>1966373</t>
  </si>
  <si>
    <t>YUN</t>
  </si>
  <si>
    <t>FLORIDA</t>
  </si>
  <si>
    <t>0497608</t>
  </si>
  <si>
    <t>KARABAEVA</t>
  </si>
  <si>
    <t>NATASHA</t>
  </si>
  <si>
    <t>8118949</t>
  </si>
  <si>
    <t>SHERBINA</t>
  </si>
  <si>
    <t>MARGARITA</t>
  </si>
  <si>
    <t>3858260</t>
  </si>
  <si>
    <t>POGADAEVA</t>
  </si>
  <si>
    <t>0291353</t>
  </si>
  <si>
    <t>ULDAULET</t>
  </si>
  <si>
    <t>4925433</t>
  </si>
  <si>
    <t>ABDUKARIMOV</t>
  </si>
  <si>
    <t>4766868</t>
  </si>
  <si>
    <t>BAHRIYEV</t>
  </si>
  <si>
    <t>2052633</t>
  </si>
  <si>
    <t>NIZOMJON</t>
  </si>
  <si>
    <t>3955303</t>
  </si>
  <si>
    <t>BELAUSOVA</t>
  </si>
  <si>
    <t>4749692</t>
  </si>
  <si>
    <t>ISHANHANOVA</t>
  </si>
  <si>
    <t>6454712</t>
  </si>
  <si>
    <t>BAYMURADOVA</t>
  </si>
  <si>
    <t>SAFARGUL</t>
  </si>
  <si>
    <t>7411368</t>
  </si>
  <si>
    <t>MUXAMMETOV</t>
  </si>
  <si>
    <t>0775943</t>
  </si>
  <si>
    <t>4220524</t>
  </si>
  <si>
    <t>3951300</t>
  </si>
  <si>
    <t>SAMIEV</t>
  </si>
  <si>
    <t>RASHIDJON</t>
  </si>
  <si>
    <t>0448445</t>
  </si>
  <si>
    <t>0338656</t>
  </si>
  <si>
    <t>RASHID</t>
  </si>
  <si>
    <t>1284596</t>
  </si>
  <si>
    <t>SAMIEVA</t>
  </si>
  <si>
    <t>SHAXLO</t>
  </si>
  <si>
    <t>1576049</t>
  </si>
  <si>
    <t>EGAMBERDIYEVA</t>
  </si>
  <si>
    <t>6490091</t>
  </si>
  <si>
    <t>MAHFUZA</t>
  </si>
  <si>
    <t>8174601</t>
  </si>
  <si>
    <t>QOZIBOEV</t>
  </si>
  <si>
    <t>NOSIRJON</t>
  </si>
  <si>
    <t>5797968</t>
  </si>
  <si>
    <t>5080244</t>
  </si>
  <si>
    <t>QAHOROVA</t>
  </si>
  <si>
    <t>MUHABBATHON</t>
  </si>
  <si>
    <t>3996588</t>
  </si>
  <si>
    <t>MATKARIMOVA</t>
  </si>
  <si>
    <t>QAHRAMON</t>
  </si>
  <si>
    <t>6588360</t>
  </si>
  <si>
    <t>ABDUKARIMOVA</t>
  </si>
  <si>
    <t>4642223</t>
  </si>
  <si>
    <t>QUTFIDDINOV</t>
  </si>
  <si>
    <t>2137648</t>
  </si>
  <si>
    <t>1069566</t>
  </si>
  <si>
    <t>SHERQOZI</t>
  </si>
  <si>
    <t>4222509</t>
  </si>
  <si>
    <t>MURIDDINOV</t>
  </si>
  <si>
    <t>0999033</t>
  </si>
  <si>
    <t>ULIBAYEVA</t>
  </si>
  <si>
    <t>0166200</t>
  </si>
  <si>
    <t>BVALIEVA</t>
  </si>
  <si>
    <t>9345884</t>
  </si>
  <si>
    <t>URUNBOEV</t>
  </si>
  <si>
    <t>NARGIZ</t>
  </si>
  <si>
    <t>7256526</t>
  </si>
  <si>
    <t>PARDAEVA</t>
  </si>
  <si>
    <t>7610936</t>
  </si>
  <si>
    <t>NOSIROVA</t>
  </si>
  <si>
    <t>MEHRINISO</t>
  </si>
  <si>
    <t>7731835</t>
  </si>
  <si>
    <t>ISAKOV</t>
  </si>
  <si>
    <t>ALIKSEY</t>
  </si>
  <si>
    <t>5034032</t>
  </si>
  <si>
    <t>ABDUHAKIMOV</t>
  </si>
  <si>
    <t>2578044</t>
  </si>
  <si>
    <t>RAMATULLAEV</t>
  </si>
  <si>
    <t>1800573</t>
  </si>
  <si>
    <t>0350431</t>
  </si>
  <si>
    <t>3727462</t>
  </si>
  <si>
    <t>0115094</t>
  </si>
  <si>
    <t>OLOEVA</t>
  </si>
  <si>
    <t>INOBAD</t>
  </si>
  <si>
    <t>7898709</t>
  </si>
  <si>
    <t>TEMIROV</t>
  </si>
  <si>
    <t>MARYAMHON</t>
  </si>
  <si>
    <t>0157424</t>
  </si>
  <si>
    <t>5722363</t>
  </si>
  <si>
    <t>SAIDOV</t>
  </si>
  <si>
    <t>YOKUBJON</t>
  </si>
  <si>
    <t>1290548</t>
  </si>
  <si>
    <t>ASTANKULOVA</t>
  </si>
  <si>
    <t>ALBINA</t>
  </si>
  <si>
    <t>1174019</t>
  </si>
  <si>
    <t>JOBIR</t>
  </si>
  <si>
    <t>6195429</t>
  </si>
  <si>
    <t>JAVOKHIROVA</t>
  </si>
  <si>
    <t>2628594</t>
  </si>
  <si>
    <t>SAIDISLOMOV</t>
  </si>
  <si>
    <t>5246634</t>
  </si>
  <si>
    <t>AKHBERDIYEVA</t>
  </si>
  <si>
    <t>AKMARAL</t>
  </si>
  <si>
    <t>9046423</t>
  </si>
  <si>
    <t>NIGMATJANOV</t>
  </si>
  <si>
    <t>1042150</t>
  </si>
  <si>
    <t>IKROMOVA</t>
  </si>
  <si>
    <t>5710029</t>
  </si>
  <si>
    <t>NURIEVA</t>
  </si>
  <si>
    <t>MAVLYUDAKHON</t>
  </si>
  <si>
    <t>4820200</t>
  </si>
  <si>
    <t>KHADICHAKHON</t>
  </si>
  <si>
    <t>9645444</t>
  </si>
  <si>
    <t>AZMIDDINKHONOV</t>
  </si>
  <si>
    <t>UMIDAKHON</t>
  </si>
  <si>
    <t>5399249</t>
  </si>
  <si>
    <t>0497192</t>
  </si>
  <si>
    <t>SOLIEV</t>
  </si>
  <si>
    <t>0011089</t>
  </si>
  <si>
    <t>BAKHODIR</t>
  </si>
  <si>
    <t>3526961</t>
  </si>
  <si>
    <t>BAKHTIYOROVA</t>
  </si>
  <si>
    <t>KUNDUZ</t>
  </si>
  <si>
    <t>1279535</t>
  </si>
  <si>
    <t>SAFAROVA</t>
  </si>
  <si>
    <t>3231488</t>
  </si>
  <si>
    <t>AKOBIROVA</t>
  </si>
  <si>
    <t>3311885</t>
  </si>
  <si>
    <t>NORMIRZAEV</t>
  </si>
  <si>
    <t>3357739</t>
  </si>
  <si>
    <t>VOHIDJONOV</t>
  </si>
  <si>
    <t>3021058</t>
  </si>
  <si>
    <t>ABDIRAXMONOV</t>
  </si>
  <si>
    <t>XAKBERDI</t>
  </si>
  <si>
    <t>7588361</t>
  </si>
  <si>
    <t>KARIMDJANOVA</t>
  </si>
  <si>
    <t>1290036</t>
  </si>
  <si>
    <t>2333464</t>
  </si>
  <si>
    <t>ABDUGANIYEV</t>
  </si>
  <si>
    <t>FARRUH</t>
  </si>
  <si>
    <t>1547281</t>
  </si>
  <si>
    <t>2824375</t>
  </si>
  <si>
    <t>TALUAS</t>
  </si>
  <si>
    <t>0390853</t>
  </si>
  <si>
    <t>6900195</t>
  </si>
  <si>
    <t>YEVSTIGNEEVA</t>
  </si>
  <si>
    <t>ALENA</t>
  </si>
  <si>
    <t>0301215</t>
  </si>
  <si>
    <t>0483146</t>
  </si>
  <si>
    <t>AVAZOVA</t>
  </si>
  <si>
    <t>5714782</t>
  </si>
  <si>
    <t>AIDA</t>
  </si>
  <si>
    <t>1353856</t>
  </si>
  <si>
    <t>KRUSHENITSKAYA</t>
  </si>
  <si>
    <t>NATALYA</t>
  </si>
  <si>
    <t>6916794</t>
  </si>
  <si>
    <t>9900697</t>
  </si>
  <si>
    <t>TALATHUJAEVA</t>
  </si>
  <si>
    <t>KSENIYA</t>
  </si>
  <si>
    <t>0184898</t>
  </si>
  <si>
    <t>6442022</t>
  </si>
  <si>
    <t>NIGMATULINA</t>
  </si>
  <si>
    <t>8568213</t>
  </si>
  <si>
    <t>BAYDULLAYEV</t>
  </si>
  <si>
    <t>6792390</t>
  </si>
  <si>
    <t>4641356</t>
  </si>
  <si>
    <t>XOMEDOV</t>
  </si>
  <si>
    <t>1456545</t>
  </si>
  <si>
    <t>ISHONKULOV</t>
  </si>
  <si>
    <t>OZODJON</t>
  </si>
  <si>
    <t>5567086</t>
  </si>
  <si>
    <t>ASHRAPOV</t>
  </si>
  <si>
    <t>KAMOLIDDIN</t>
  </si>
  <si>
    <t>0745741</t>
  </si>
  <si>
    <t>4514098</t>
  </si>
  <si>
    <t>SHUKUROV</t>
  </si>
  <si>
    <t>MUXSINJON</t>
  </si>
  <si>
    <t>5126076</t>
  </si>
  <si>
    <t>HAMINJANOVA</t>
  </si>
  <si>
    <t>1093801</t>
  </si>
  <si>
    <t>ABRAXANOV</t>
  </si>
  <si>
    <t>0388438</t>
  </si>
  <si>
    <t>MAVLUDA</t>
  </si>
  <si>
    <t>1158456</t>
  </si>
  <si>
    <t>SABIROV</t>
  </si>
  <si>
    <t>MAHSAD</t>
  </si>
  <si>
    <t>1836107</t>
  </si>
  <si>
    <t>ORTIQBOYEVA</t>
  </si>
  <si>
    <t>7988788</t>
  </si>
  <si>
    <t>RAMZIDDINOV</t>
  </si>
  <si>
    <t>TIRKASHEV</t>
  </si>
  <si>
    <t>2425551</t>
  </si>
  <si>
    <t>SALAHIDDINOVA</t>
  </si>
  <si>
    <t>8466433</t>
  </si>
  <si>
    <t>MIRZAKARIMOVA</t>
  </si>
  <si>
    <t>7249584</t>
  </si>
  <si>
    <t>ARTIKNAZAROV</t>
  </si>
  <si>
    <t>8890187</t>
  </si>
  <si>
    <t>GOIPOVA</t>
  </si>
  <si>
    <t>MARXABO</t>
  </si>
  <si>
    <t>0144070</t>
  </si>
  <si>
    <t>4128380</t>
  </si>
  <si>
    <t>SAXIB</t>
  </si>
  <si>
    <t>8986945</t>
  </si>
  <si>
    <t>3042534</t>
  </si>
  <si>
    <t>MURATOVA</t>
  </si>
  <si>
    <t>2148270</t>
  </si>
  <si>
    <t>5928960</t>
  </si>
  <si>
    <t>4545456</t>
  </si>
  <si>
    <t>XAITOV</t>
  </si>
  <si>
    <t>1798742</t>
  </si>
  <si>
    <t>2216157</t>
  </si>
  <si>
    <t>BEGMATOV</t>
  </si>
  <si>
    <t>9696002</t>
  </si>
  <si>
    <t>4622487</t>
  </si>
  <si>
    <t>ZUKHRIDDIN</t>
  </si>
  <si>
    <t>6355540</t>
  </si>
  <si>
    <t>MUHBURAT</t>
  </si>
  <si>
    <t>7894827</t>
  </si>
  <si>
    <t>SHAMAEVA</t>
  </si>
  <si>
    <t>9025665</t>
  </si>
  <si>
    <t>TOJIBOYEVA</t>
  </si>
  <si>
    <t>3928128</t>
  </si>
  <si>
    <t>7834272</t>
  </si>
  <si>
    <t>JAKHONGIROVA</t>
  </si>
  <si>
    <t>MASTURAKHON</t>
  </si>
  <si>
    <t>0338476</t>
  </si>
  <si>
    <t>SODIQOVA</t>
  </si>
  <si>
    <t>6635302</t>
  </si>
  <si>
    <t>KAYUMOVA</t>
  </si>
  <si>
    <t>GULANDONXON</t>
  </si>
  <si>
    <t>4545310</t>
  </si>
  <si>
    <t>XOJIMATOVA</t>
  </si>
  <si>
    <t>4456585</t>
  </si>
  <si>
    <t>ROZIEYEV</t>
  </si>
  <si>
    <t>GANI</t>
  </si>
  <si>
    <t>0120601</t>
  </si>
  <si>
    <t>ABDULAYEV</t>
  </si>
  <si>
    <t>AVAZ</t>
  </si>
  <si>
    <t>4582655</t>
  </si>
  <si>
    <t>MOYITIVA</t>
  </si>
  <si>
    <t>5867066</t>
  </si>
  <si>
    <t>TORAYEV</t>
  </si>
  <si>
    <t>SHOXRIDDIN</t>
  </si>
  <si>
    <t>8168922</t>
  </si>
  <si>
    <t>YULDUZXON</t>
  </si>
  <si>
    <t>9070093</t>
  </si>
  <si>
    <t>XUSHANOVA</t>
  </si>
  <si>
    <t>GULRUX</t>
  </si>
  <si>
    <t>9240085</t>
  </si>
  <si>
    <t>IHLOSBEK</t>
  </si>
  <si>
    <t>2635247</t>
  </si>
  <si>
    <t>3106915</t>
  </si>
  <si>
    <t>DUSHANOV</t>
  </si>
  <si>
    <t>HAMIDULLO</t>
  </si>
  <si>
    <t>1844325</t>
  </si>
  <si>
    <t>8066646</t>
  </si>
  <si>
    <t>SAIDMAHMUDOV</t>
  </si>
  <si>
    <t>9900033</t>
  </si>
  <si>
    <t>OROQOV</t>
  </si>
  <si>
    <t>SHAXRIYOR</t>
  </si>
  <si>
    <t>3774216</t>
  </si>
  <si>
    <t>OMONOV</t>
  </si>
  <si>
    <t>NURMUHAMMAD</t>
  </si>
  <si>
    <t>8385753</t>
  </si>
  <si>
    <t>HABIBOVA</t>
  </si>
  <si>
    <t>3659634</t>
  </si>
  <si>
    <t>USMONALIEVA</t>
  </si>
  <si>
    <t>0470452</t>
  </si>
  <si>
    <t>MATQOSIMOV</t>
  </si>
  <si>
    <t>NODIR</t>
  </si>
  <si>
    <t>4880321</t>
  </si>
  <si>
    <t>SHOKIROVA</t>
  </si>
  <si>
    <t>5976779</t>
  </si>
  <si>
    <t>4922884</t>
  </si>
  <si>
    <t>ZAFAR</t>
  </si>
  <si>
    <t>0197294</t>
  </si>
  <si>
    <t>XAKIMJONOV</t>
  </si>
  <si>
    <t>6837509</t>
  </si>
  <si>
    <t>ABDULLAEV</t>
  </si>
  <si>
    <t>6393144</t>
  </si>
  <si>
    <t>7977222</t>
  </si>
  <si>
    <t>ABDUSALOMOV</t>
  </si>
  <si>
    <t>AVAZBEK</t>
  </si>
  <si>
    <t>6290264</t>
  </si>
  <si>
    <t>YADGOROVA</t>
  </si>
  <si>
    <t>SABOHAT</t>
  </si>
  <si>
    <t>5636941</t>
  </si>
  <si>
    <t>XADIROVA</t>
  </si>
  <si>
    <t>1708711</t>
  </si>
  <si>
    <t>MIYLIEV</t>
  </si>
  <si>
    <t>URALJON</t>
  </si>
  <si>
    <t>6563084</t>
  </si>
  <si>
    <t>MADINABONU</t>
  </si>
  <si>
    <t>3468969</t>
  </si>
  <si>
    <t>XOJIAXMAD</t>
  </si>
  <si>
    <t>2674902</t>
  </si>
  <si>
    <t>8629433</t>
  </si>
  <si>
    <t>YOLDASHEVA</t>
  </si>
  <si>
    <t>MUQADDAS</t>
  </si>
  <si>
    <t>7279757</t>
  </si>
  <si>
    <t>1673966</t>
  </si>
  <si>
    <t>NURIYMONA</t>
  </si>
  <si>
    <t>6841530</t>
  </si>
  <si>
    <t>4546233</t>
  </si>
  <si>
    <t>VORONSOV</t>
  </si>
  <si>
    <t>GENNADIY</t>
  </si>
  <si>
    <t>7452863</t>
  </si>
  <si>
    <t>MARAPATXON</t>
  </si>
  <si>
    <t>1008302</t>
  </si>
  <si>
    <t>ISMAILOV</t>
  </si>
  <si>
    <t>3628123</t>
  </si>
  <si>
    <t>DILNOZAXON</t>
  </si>
  <si>
    <t>1671665</t>
  </si>
  <si>
    <t>MUXAMMEDOVA</t>
  </si>
  <si>
    <t>VILOYAT</t>
  </si>
  <si>
    <t>0958050</t>
  </si>
  <si>
    <t>0399272</t>
  </si>
  <si>
    <t>NARIMA</t>
  </si>
  <si>
    <t>SHAXIDA</t>
  </si>
  <si>
    <t>3444815</t>
  </si>
  <si>
    <t>HAMEDULLAEVA</t>
  </si>
  <si>
    <t>2611755</t>
  </si>
  <si>
    <t>TURAQULOVA</t>
  </si>
  <si>
    <t>6575375</t>
  </si>
  <si>
    <t>SAITKULOVA</t>
  </si>
  <si>
    <t>9453502</t>
  </si>
  <si>
    <t>0403642</t>
  </si>
  <si>
    <t>3441538</t>
  </si>
  <si>
    <t>4709624</t>
  </si>
  <si>
    <t>IMOMKULOVA</t>
  </si>
  <si>
    <t>SHUGRUNISO</t>
  </si>
  <si>
    <t>6290062</t>
  </si>
  <si>
    <t>MUSAYEVA</t>
  </si>
  <si>
    <t>SHAXNOZAXON</t>
  </si>
  <si>
    <t>1765353</t>
  </si>
  <si>
    <t>BAYMETOVA</t>
  </si>
  <si>
    <t>5372375</t>
  </si>
  <si>
    <t>ZIKOROVA</t>
  </si>
  <si>
    <t>SHOXSANAM</t>
  </si>
  <si>
    <t>4706732</t>
  </si>
  <si>
    <t>5655595</t>
  </si>
  <si>
    <t>DAURONBEK</t>
  </si>
  <si>
    <t>2656641</t>
  </si>
  <si>
    <t>8458950</t>
  </si>
  <si>
    <t>MAMANAZAROV</t>
  </si>
  <si>
    <t>ERGASH</t>
  </si>
  <si>
    <t>4578223</t>
  </si>
  <si>
    <t>4587530</t>
  </si>
  <si>
    <t>DJALILOVA</t>
  </si>
  <si>
    <t>7050146</t>
  </si>
  <si>
    <t>OTANAZAROVA</t>
  </si>
  <si>
    <t>1374275</t>
  </si>
  <si>
    <t>0550361</t>
  </si>
  <si>
    <t>HURSANOV</t>
  </si>
  <si>
    <t>HURSHIDJON</t>
  </si>
  <si>
    <t>2199048</t>
  </si>
  <si>
    <t>ULUGHOJAYEVA</t>
  </si>
  <si>
    <t>ISOMIDDIN</t>
  </si>
  <si>
    <t>9803338</t>
  </si>
  <si>
    <t>OZODOV</t>
  </si>
  <si>
    <t>8779496</t>
  </si>
  <si>
    <t>OMINA</t>
  </si>
  <si>
    <t>9077589</t>
  </si>
  <si>
    <t>SALAMOV</t>
  </si>
  <si>
    <t>ABDUFFATOH</t>
  </si>
  <si>
    <t>9213955</t>
  </si>
  <si>
    <t>0893841</t>
  </si>
  <si>
    <t>4411847</t>
  </si>
  <si>
    <t>ZARIF</t>
  </si>
  <si>
    <t>1553410</t>
  </si>
  <si>
    <t>SHARIPOV</t>
  </si>
  <si>
    <t>1991658</t>
  </si>
  <si>
    <t>MAMATMURODOV</t>
  </si>
  <si>
    <t>ILHOMJON</t>
  </si>
  <si>
    <t>5383935</t>
  </si>
  <si>
    <t>KHAMRAEVA</t>
  </si>
  <si>
    <t>0640507</t>
  </si>
  <si>
    <t>NAZARMURODOV</t>
  </si>
  <si>
    <t>9773196</t>
  </si>
  <si>
    <t>AXMATOVA</t>
  </si>
  <si>
    <t>0064740</t>
  </si>
  <si>
    <t>7583315</t>
  </si>
  <si>
    <t>MUBISHIROV</t>
  </si>
  <si>
    <t>4147889</t>
  </si>
  <si>
    <t>8362934</t>
  </si>
  <si>
    <t>1550065</t>
  </si>
  <si>
    <t>YANGIBAYEVA</t>
  </si>
  <si>
    <t>6888183</t>
  </si>
  <si>
    <t>0341517</t>
  </si>
  <si>
    <t>0195226</t>
  </si>
  <si>
    <t>2815928</t>
  </si>
  <si>
    <t>OZOD</t>
  </si>
  <si>
    <t>8910978</t>
  </si>
  <si>
    <t>5178104</t>
  </si>
  <si>
    <t>8710978</t>
  </si>
  <si>
    <t>ARZIXOL</t>
  </si>
  <si>
    <t>1249034</t>
  </si>
  <si>
    <t>3789490</t>
  </si>
  <si>
    <t>HALIKOVA</t>
  </si>
  <si>
    <t>MOVJUDA</t>
  </si>
  <si>
    <t>6567333</t>
  </si>
  <si>
    <t>GOFUROV</t>
  </si>
  <si>
    <t>ABBOSXON</t>
  </si>
  <si>
    <t>4021115</t>
  </si>
  <si>
    <t>BAXRIDDINOVA</t>
  </si>
  <si>
    <t>0411952</t>
  </si>
  <si>
    <t>MUXAMMADIYEVA</t>
  </si>
  <si>
    <t>5022491</t>
  </si>
  <si>
    <t>2534041</t>
  </si>
  <si>
    <t>YUNUSOV</t>
  </si>
  <si>
    <t>TEMURBEK</t>
  </si>
  <si>
    <t>2211057</t>
  </si>
  <si>
    <t>TURAKULOVA</t>
  </si>
  <si>
    <t>4725095</t>
  </si>
  <si>
    <t>EGAMOV</t>
  </si>
  <si>
    <t>3441848</t>
  </si>
  <si>
    <t>XUDOYBERDIEVA</t>
  </si>
  <si>
    <t>0377018</t>
  </si>
  <si>
    <t>AMRIDDONOV</t>
  </si>
  <si>
    <t>BEHZOD</t>
  </si>
  <si>
    <t>1411028</t>
  </si>
  <si>
    <t>3923400</t>
  </si>
  <si>
    <t>KUBAYEVA</t>
  </si>
  <si>
    <t>KAMOL</t>
  </si>
  <si>
    <t>0096081</t>
  </si>
  <si>
    <t>FAZILAT</t>
  </si>
  <si>
    <t>1246063</t>
  </si>
  <si>
    <t>XOLMIRZAEV</t>
  </si>
  <si>
    <t>ISMATILLA</t>
  </si>
  <si>
    <t>5848246</t>
  </si>
  <si>
    <t>SAIDAXMEDOVA</t>
  </si>
  <si>
    <t>XHAROS</t>
  </si>
  <si>
    <t>7772038</t>
  </si>
  <si>
    <t>TUXTAYEV</t>
  </si>
  <si>
    <t>ZIYADULLO</t>
  </si>
  <si>
    <t>5033628</t>
  </si>
  <si>
    <t>EJBAEVA</t>
  </si>
  <si>
    <t>1296121</t>
  </si>
  <si>
    <t>ZARIFJON</t>
  </si>
  <si>
    <t>5054772</t>
  </si>
  <si>
    <t>IMAMALIEVA</t>
  </si>
  <si>
    <t>ADOLAT</t>
  </si>
  <si>
    <t>1033123</t>
  </si>
  <si>
    <t>MARHABXON</t>
  </si>
  <si>
    <t>1095226</t>
  </si>
  <si>
    <t>6341684</t>
  </si>
  <si>
    <t>MADRAXIMOV</t>
  </si>
  <si>
    <t>DAVRONBEK</t>
  </si>
  <si>
    <t>1347074</t>
  </si>
  <si>
    <t>XOJAYEV</t>
  </si>
  <si>
    <t>2864542</t>
  </si>
  <si>
    <t>MUBASHIROVA</t>
  </si>
  <si>
    <t>5041250</t>
  </si>
  <si>
    <t>AMIROVA</t>
  </si>
  <si>
    <t>ATIRGUL</t>
  </si>
  <si>
    <t>6680374</t>
  </si>
  <si>
    <t>IKRAMOV</t>
  </si>
  <si>
    <t>ZAVQIDDIN</t>
  </si>
  <si>
    <t>0606372</t>
  </si>
  <si>
    <t>KUNDUZXON</t>
  </si>
  <si>
    <t>7186957</t>
  </si>
  <si>
    <t>MAVLONOVA</t>
  </si>
  <si>
    <t>SULTON</t>
  </si>
  <si>
    <t>5275464</t>
  </si>
  <si>
    <t>7186357</t>
  </si>
  <si>
    <t>TOLQIN</t>
  </si>
  <si>
    <t>5740101</t>
  </si>
  <si>
    <t>ABUBAKIROVA</t>
  </si>
  <si>
    <t>7197697</t>
  </si>
  <si>
    <t>MALLAXONOVA</t>
  </si>
  <si>
    <t>0292161</t>
  </si>
  <si>
    <t>2162251</t>
  </si>
  <si>
    <t>2331263</t>
  </si>
  <si>
    <t>ZAIDOVA</t>
  </si>
  <si>
    <t>3001889</t>
  </si>
  <si>
    <t>2464214</t>
  </si>
  <si>
    <t>7788051</t>
  </si>
  <si>
    <t>3065183</t>
  </si>
  <si>
    <t>KARIMJON</t>
  </si>
  <si>
    <t>passportlar soni</t>
  </si>
  <si>
    <t>NEVRESIM TAKIM</t>
  </si>
  <si>
    <t>TOVARLAR:</t>
  </si>
  <si>
    <r>
      <t>Name</t>
    </r>
    <r>
      <rPr>
        <b/>
        <sz val="13"/>
        <color rgb="FF000000"/>
        <rFont val="Calibri"/>
        <family val="2"/>
        <scheme val="minor"/>
      </rPr>
      <t xml:space="preserve"> of documents in cargo manifest/Перечень сведений, указываемых в манифесте</t>
    </r>
  </si>
  <si>
    <t>Waybill name/Номер транспортной накладной:</t>
  </si>
  <si>
    <t>№</t>
  </si>
  <si>
    <t>Invoice numbers/Номера инвойсов</t>
  </si>
  <si>
    <t>Receiver’s name/Ф.И.О. получателей:</t>
  </si>
  <si>
    <t>Passport number/ Серия и номер паспортов получателей</t>
  </si>
  <si>
    <t>Gross weight/Вес брутто посылки</t>
  </si>
  <si>
    <t>Total price/Цена посылки</t>
  </si>
  <si>
    <t>ABDULLAJONOV</t>
  </si>
  <si>
    <t>NASIBJON</t>
  </si>
  <si>
    <t>9487141</t>
  </si>
  <si>
    <t>3413729</t>
  </si>
  <si>
    <t>NAZIRAHON</t>
  </si>
  <si>
    <t>6259977</t>
  </si>
  <si>
    <t>0025528</t>
  </si>
  <si>
    <t>ABDUBAKIEV</t>
  </si>
  <si>
    <t>HAMID</t>
  </si>
  <si>
    <t>6918837</t>
  </si>
  <si>
    <t>JUMABAYEV</t>
  </si>
  <si>
    <t>ABDUSALIM</t>
  </si>
  <si>
    <t>1302288</t>
  </si>
  <si>
    <t>AMANOV</t>
  </si>
  <si>
    <t>3274948</t>
  </si>
  <si>
    <t>NARMURATOVA</t>
  </si>
  <si>
    <t>0973111</t>
  </si>
  <si>
    <t>KIRIMOV</t>
  </si>
  <si>
    <t>3781688</t>
  </si>
  <si>
    <t>AHRALOVA</t>
  </si>
  <si>
    <t>2195013</t>
  </si>
  <si>
    <t>0839096</t>
  </si>
  <si>
    <t>GULAMOV</t>
  </si>
  <si>
    <t>IBROHIMJON</t>
  </si>
  <si>
    <t>7492649</t>
  </si>
  <si>
    <t>KARSHIBOV</t>
  </si>
  <si>
    <t>8715133</t>
  </si>
  <si>
    <t>OTABAEVA</t>
  </si>
  <si>
    <t>OYSHA</t>
  </si>
  <si>
    <t>6017447</t>
  </si>
  <si>
    <t>DUSIYOROV</t>
  </si>
  <si>
    <t>BOYNAZAR</t>
  </si>
  <si>
    <t>9745857</t>
  </si>
  <si>
    <t>DILSHAD</t>
  </si>
  <si>
    <t>6157005</t>
  </si>
  <si>
    <t>SHUKHRAT</t>
  </si>
  <si>
    <t>7837654</t>
  </si>
  <si>
    <t>SATTAROVA</t>
  </si>
  <si>
    <t>6724091</t>
  </si>
  <si>
    <t>0604975</t>
  </si>
  <si>
    <t>0241880</t>
  </si>
  <si>
    <t>NURMATOV</t>
  </si>
  <si>
    <t>0319006</t>
  </si>
  <si>
    <t>MUAZZAMHON</t>
  </si>
  <si>
    <t>3528831</t>
  </si>
  <si>
    <t>6371848</t>
  </si>
  <si>
    <t>YUZBAEVA</t>
  </si>
  <si>
    <t>HURSHIDA</t>
  </si>
  <si>
    <t>4936617</t>
  </si>
  <si>
    <t>ZAKHIDA</t>
  </si>
  <si>
    <t>4277903</t>
  </si>
  <si>
    <t>ISMANOVA</t>
  </si>
  <si>
    <t>2778523</t>
  </si>
  <si>
    <t>MATCHANOV</t>
  </si>
  <si>
    <t>9028421</t>
  </si>
  <si>
    <t>BAHTIYORJON</t>
  </si>
  <si>
    <t>8418170</t>
  </si>
  <si>
    <t>0843183</t>
  </si>
  <si>
    <t>BOYMURODOV</t>
  </si>
  <si>
    <t>8471245</t>
  </si>
  <si>
    <t>DALIYEVA</t>
  </si>
  <si>
    <t>KHURMATOY</t>
  </si>
  <si>
    <t>5732825</t>
  </si>
  <si>
    <t>URATOV</t>
  </si>
  <si>
    <t>5182461</t>
  </si>
  <si>
    <t>1220145</t>
  </si>
  <si>
    <t>GUZALHON</t>
  </si>
  <si>
    <t>3876304</t>
  </si>
  <si>
    <t>HOLISA</t>
  </si>
  <si>
    <t>7925877</t>
  </si>
  <si>
    <t>MAKHAMOV</t>
  </si>
  <si>
    <t>7808772</t>
  </si>
  <si>
    <t>XALIKOVA</t>
  </si>
  <si>
    <t>4366496</t>
  </si>
  <si>
    <t>4217471</t>
  </si>
  <si>
    <t>NAMAZOV</t>
  </si>
  <si>
    <t>2692584</t>
  </si>
  <si>
    <t>RADJABOV</t>
  </si>
  <si>
    <t>9221497</t>
  </si>
  <si>
    <t>NUROVA</t>
  </si>
  <si>
    <t>GAVHAR</t>
  </si>
  <si>
    <t>1891346</t>
  </si>
  <si>
    <t>MIRZABAHRAMOVA</t>
  </si>
  <si>
    <t>MUATTARXON</t>
  </si>
  <si>
    <t>9663454</t>
  </si>
  <si>
    <t>MAMATOVA</t>
  </si>
  <si>
    <t>6038449</t>
  </si>
  <si>
    <t>0610628</t>
  </si>
  <si>
    <t>5713977</t>
  </si>
  <si>
    <t>DYOMIN</t>
  </si>
  <si>
    <t>ROMAN</t>
  </si>
  <si>
    <t>8975461</t>
  </si>
  <si>
    <t>3892565</t>
  </si>
  <si>
    <t>MARDONOV</t>
  </si>
  <si>
    <t>ZOHIDJON</t>
  </si>
  <si>
    <t>4931342</t>
  </si>
  <si>
    <t>SPARTIVKA JEN</t>
  </si>
  <si>
    <t>RAYXONA</t>
  </si>
  <si>
    <t>PAKRIVAL</t>
  </si>
  <si>
    <t>6066752</t>
  </si>
  <si>
    <t>KUVATOVA</t>
  </si>
  <si>
    <t>MADAMINOV</t>
  </si>
  <si>
    <t>SIVITIR</t>
  </si>
  <si>
    <t>AKBARALIYEV</t>
  </si>
  <si>
    <t>RAJABOVA</t>
  </si>
  <si>
    <t>MUNISA</t>
  </si>
  <si>
    <t>ROMOL</t>
  </si>
  <si>
    <t>KRASOFKA</t>
  </si>
  <si>
    <t>MADJIDOVA</t>
  </si>
  <si>
    <t>FERATOV</t>
  </si>
  <si>
    <t>EDEM</t>
  </si>
  <si>
    <t>TURSUNKULOVA</t>
  </si>
  <si>
    <t>XAITMURODOV</t>
  </si>
  <si>
    <t>TEMURJON</t>
  </si>
  <si>
    <t>BOBONOROVA</t>
  </si>
  <si>
    <t>BAYCHURAYEVA</t>
  </si>
  <si>
    <t>DJAMILA</t>
  </si>
  <si>
    <t>SULTONQULOVA</t>
  </si>
  <si>
    <t>0823285</t>
  </si>
  <si>
    <t>TULABOYEV</t>
  </si>
  <si>
    <t>XAMIDOVA</t>
  </si>
  <si>
    <t>RAHMONBERGANOVA</t>
  </si>
  <si>
    <t>OYGUL</t>
  </si>
  <si>
    <t>MUSIRMANQUL</t>
  </si>
  <si>
    <t>G‘APPAROV</t>
  </si>
  <si>
    <t>ELYORJON</t>
  </si>
  <si>
    <t>ERGASHBOYEV</t>
  </si>
  <si>
    <t>AXMADJON</t>
  </si>
  <si>
    <t>O‘MIRZAQOVA</t>
  </si>
  <si>
    <t>JO‘RAYEV</t>
  </si>
  <si>
    <t>SAPARBAYEVA</t>
  </si>
  <si>
    <t>GULZIRA</t>
  </si>
  <si>
    <t>0944904</t>
  </si>
  <si>
    <t>ZAKIROVA</t>
  </si>
  <si>
    <t>KUZIYEVA</t>
  </si>
  <si>
    <t>NARBOYEV</t>
  </si>
  <si>
    <t>ILG‘OR</t>
  </si>
  <si>
    <t>A’ZAMXONOV</t>
  </si>
  <si>
    <t>JAVOXIRXON</t>
  </si>
  <si>
    <t>ANNAZAROVA</t>
  </si>
  <si>
    <t>XUDOYNAZAROVA</t>
  </si>
  <si>
    <t>SARIMSOQOV</t>
  </si>
  <si>
    <t>XUMOYUN</t>
  </si>
  <si>
    <t>ISXAKOVA</t>
  </si>
  <si>
    <t>FERUZAXON</t>
  </si>
  <si>
    <t>MUBORAK</t>
  </si>
  <si>
    <t>MAXSUD</t>
  </si>
  <si>
    <t>PAXOMOVA</t>
  </si>
  <si>
    <t>XUDARGANOVA</t>
  </si>
  <si>
    <t>BAHROMOV</t>
  </si>
  <si>
    <t>G‘OLIBJON</t>
  </si>
  <si>
    <t>0809104</t>
  </si>
  <si>
    <t>DANO</t>
  </si>
  <si>
    <t>0711377</t>
  </si>
  <si>
    <t>USMONOV</t>
  </si>
  <si>
    <t>0903447</t>
  </si>
  <si>
    <t>0411244</t>
  </si>
  <si>
    <t>TANGIROVA</t>
  </si>
  <si>
    <t>MAMASOATOVA</t>
  </si>
  <si>
    <t>GO‘ZAL</t>
  </si>
  <si>
    <t>SHARIFOVA</t>
  </si>
  <si>
    <t>NUSRATILLOYEVA</t>
  </si>
  <si>
    <t>FERANGIZ</t>
  </si>
  <si>
    <t>ODINAXON</t>
  </si>
  <si>
    <t>G‘ULOMOVA</t>
  </si>
  <si>
    <t>SHAMSUTDINOV</t>
  </si>
  <si>
    <t>BEKMURATOV</t>
  </si>
  <si>
    <t>QUCHQOROV</t>
  </si>
  <si>
    <t>MAXMARAJAB</t>
  </si>
  <si>
    <t>SAITXANOV</t>
  </si>
  <si>
    <t>MARDONBEK</t>
  </si>
  <si>
    <t>BAHODIROV</t>
  </si>
  <si>
    <t>MOHIRJON</t>
  </si>
  <si>
    <t>TADJIYEVA</t>
  </si>
  <si>
    <t>SOLIYEV</t>
  </si>
  <si>
    <t>QOSIMJON</t>
  </si>
  <si>
    <t>YAHYOYEV</t>
  </si>
  <si>
    <t>SHAHZOD</t>
  </si>
  <si>
    <t>BEKBOYEV</t>
  </si>
  <si>
    <t>ABDALIM</t>
  </si>
  <si>
    <t>QULBOSHOVA</t>
  </si>
  <si>
    <t>MURODOV</t>
  </si>
  <si>
    <t>RABBONA</t>
  </si>
  <si>
    <t>KARAYEV</t>
  </si>
  <si>
    <t>MA’RUF</t>
  </si>
  <si>
    <t>0163617</t>
  </si>
  <si>
    <t>NOZIMJON</t>
  </si>
  <si>
    <t>JO‘RABOYEV</t>
  </si>
  <si>
    <t>AYNA</t>
  </si>
  <si>
    <t>TINCHEROVA</t>
  </si>
  <si>
    <t>JAVOXIR</t>
  </si>
  <si>
    <t>KARSHIBAYEV</t>
  </si>
  <si>
    <t>KUSHBAKOV</t>
  </si>
  <si>
    <t>ZOIRJON</t>
  </si>
  <si>
    <t>ALLABERDI</t>
  </si>
  <si>
    <t>MAMATALIYEVA</t>
  </si>
  <si>
    <t>QULDASHEVA</t>
  </si>
  <si>
    <t>MARXOBOXON</t>
  </si>
  <si>
    <t>NORBO‘TAYEVA</t>
  </si>
  <si>
    <t>ZARIMA</t>
  </si>
  <si>
    <t>DO‘LTAYEV</t>
  </si>
  <si>
    <t>KORYAG‘DIYEV</t>
  </si>
  <si>
    <t>ATAJAN</t>
  </si>
  <si>
    <t>XUJAMKULOV</t>
  </si>
  <si>
    <t>XATAMKUL</t>
  </si>
  <si>
    <t>SHAMSUTDINOVA</t>
  </si>
  <si>
    <t>AYSILU</t>
  </si>
  <si>
    <t>VOXIDOV</t>
  </si>
  <si>
    <t>MAXAMATOV</t>
  </si>
  <si>
    <t>UMAR</t>
  </si>
  <si>
    <t>QO‘ZIBOYEVA</t>
  </si>
  <si>
    <t>NE’MATOV</t>
  </si>
  <si>
    <t>0938080</t>
  </si>
  <si>
    <t>TURSUNXODJAYEVA</t>
  </si>
  <si>
    <t>MUKADDAS</t>
  </si>
  <si>
    <t>XAMZAYEV</t>
  </si>
  <si>
    <t>0596575</t>
  </si>
  <si>
    <t>ABDULLOH</t>
  </si>
  <si>
    <t>TAXTAMURODOV</t>
  </si>
  <si>
    <t>AZXAR</t>
  </si>
  <si>
    <t>MAXINISA</t>
  </si>
  <si>
    <t>MAMASODIKOV</t>
  </si>
  <si>
    <t>YIGITALIYEV</t>
  </si>
  <si>
    <t>MAMADJONOV</t>
  </si>
  <si>
    <t>MIRZOMUHAMMAD</t>
  </si>
  <si>
    <t>ILXOMOV</t>
  </si>
  <si>
    <t>ZUBAYDOV</t>
  </si>
  <si>
    <t>SOBIR</t>
  </si>
  <si>
    <t>DJUMAKULOVA</t>
  </si>
  <si>
    <t>YO‘LDASHOV</t>
  </si>
  <si>
    <t>MATCHONOVA</t>
  </si>
  <si>
    <t>DINORA</t>
  </si>
  <si>
    <t>SULTANOVA</t>
  </si>
  <si>
    <t>RA’NO</t>
  </si>
  <si>
    <t>XALILOV</t>
  </si>
  <si>
    <t>ABDUXAMID</t>
  </si>
  <si>
    <t>SHUKURILLAYEVA</t>
  </si>
  <si>
    <t>XUDAYBERDIYEV</t>
  </si>
  <si>
    <t>SHOVKATJON</t>
  </si>
  <si>
    <t>ABDUQODIR</t>
  </si>
  <si>
    <t>0686394</t>
  </si>
  <si>
    <t>XOLDOROVA</t>
  </si>
  <si>
    <t>ABDURAZAKOV</t>
  </si>
  <si>
    <t>NARXODJAYEVA</t>
  </si>
  <si>
    <t>ISRAYILXODJAYEVA</t>
  </si>
  <si>
    <t>ARTIKBAYEV</t>
  </si>
  <si>
    <t>ANZOR</t>
  </si>
  <si>
    <t>0262787</t>
  </si>
  <si>
    <t>SHAROFIDDIN</t>
  </si>
  <si>
    <t>BOKIYEVA</t>
  </si>
  <si>
    <t>BOZAROVA</t>
  </si>
  <si>
    <t>DILAFRO‘Z</t>
  </si>
  <si>
    <t>MAXAMMATOV</t>
  </si>
  <si>
    <t>INAMOV</t>
  </si>
  <si>
    <t>ADXAM</t>
  </si>
  <si>
    <t>TO‘XTASHEVA</t>
  </si>
  <si>
    <t>MAVLUDAXON</t>
  </si>
  <si>
    <t>SANGINOVA</t>
  </si>
  <si>
    <t>QARSHIYEV</t>
  </si>
  <si>
    <t>ISOMIDIN</t>
  </si>
  <si>
    <t>XODJAYEVA</t>
  </si>
  <si>
    <t>MADJITOV</t>
  </si>
  <si>
    <t>XAZRATQULOV</t>
  </si>
  <si>
    <t>RASULJON</t>
  </si>
  <si>
    <t>YAXSHIBAYEV</t>
  </si>
  <si>
    <t>YUSUF</t>
  </si>
  <si>
    <t>BAYMIRZAYEVA</t>
  </si>
  <si>
    <t>0163223</t>
  </si>
  <si>
    <t>AZIZAXON</t>
  </si>
  <si>
    <t>SALIXOVA</t>
  </si>
  <si>
    <t>XALIMOV</t>
  </si>
  <si>
    <t>ALIXON</t>
  </si>
  <si>
    <t>YO‘LDOSHEVA</t>
  </si>
  <si>
    <t>BABAYAN</t>
  </si>
  <si>
    <t>ARDEN</t>
  </si>
  <si>
    <t>MUSTAFAYEVA</t>
  </si>
  <si>
    <t>0278910</t>
  </si>
  <si>
    <t>YEKUBOV</t>
  </si>
  <si>
    <t>ISOMJON</t>
  </si>
  <si>
    <t>DADAMUXAMEDOVA</t>
  </si>
  <si>
    <t>QO‘YLANOV</t>
  </si>
  <si>
    <t>SHAROF</t>
  </si>
  <si>
    <t>KARABAYEV</t>
  </si>
  <si>
    <t>DJUMATAYEVA</t>
  </si>
  <si>
    <t>NIYATQULOV</t>
  </si>
  <si>
    <t>USMONOVA</t>
  </si>
  <si>
    <t>ABDUG‘APPOROVA</t>
  </si>
  <si>
    <t>DUDKO</t>
  </si>
  <si>
    <t>MARINA</t>
  </si>
  <si>
    <t>MAMUKADZE</t>
  </si>
  <si>
    <t>XAMITOVA</t>
  </si>
  <si>
    <t>XIKMATOVA</t>
  </si>
  <si>
    <t>0585110</t>
  </si>
  <si>
    <t>LUKMANOVA</t>
  </si>
  <si>
    <t>AZALIYA</t>
  </si>
  <si>
    <t>KULMATOVA</t>
  </si>
  <si>
    <t>KOXOROV</t>
  </si>
  <si>
    <t>BAXTIYAR</t>
  </si>
  <si>
    <t>XUSNIDDINOVA</t>
  </si>
  <si>
    <t>SHAKAROV</t>
  </si>
  <si>
    <t>FARRUX</t>
  </si>
  <si>
    <t>XABIBULLAYEV</t>
  </si>
  <si>
    <t>SAVINOVA</t>
  </si>
  <si>
    <t>ALEKSANDRA</t>
  </si>
  <si>
    <t>XUSANOV</t>
  </si>
  <si>
    <t>INOYATOVA</t>
  </si>
  <si>
    <t>TURATOVA</t>
  </si>
  <si>
    <t>GABBASOV</t>
  </si>
  <si>
    <t>G‘AFUROVA</t>
  </si>
  <si>
    <t>ALLABERGANOVA</t>
  </si>
  <si>
    <t>SADOKAT</t>
  </si>
  <si>
    <t>FAYZIYEVA</t>
  </si>
  <si>
    <t>BOGDANOVA</t>
  </si>
  <si>
    <t>0216679</t>
  </si>
  <si>
    <t>SULTONOVA</t>
  </si>
  <si>
    <t>0276187</t>
  </si>
  <si>
    <t>ZARIPOVA</t>
  </si>
  <si>
    <t>MINIGUL</t>
  </si>
  <si>
    <t>NORXO‘JAYEV</t>
  </si>
  <si>
    <t>ANYAZOV</t>
  </si>
  <si>
    <t>ALIJON</t>
  </si>
  <si>
    <t>AXMEDJANOVA</t>
  </si>
  <si>
    <t>LOLITA</t>
  </si>
  <si>
    <t>ISMIRA</t>
  </si>
  <si>
    <t>SOXIBOVA</t>
  </si>
  <si>
    <t>GAYSAROVA</t>
  </si>
  <si>
    <t>LILIYA</t>
  </si>
  <si>
    <t>RA’NOXON</t>
  </si>
  <si>
    <t>BAGDALMIRZAYEV</t>
  </si>
  <si>
    <t>O‘TKIROVA</t>
  </si>
  <si>
    <t>YULCHIYEVA</t>
  </si>
  <si>
    <t>MIRNIYAZOV</t>
  </si>
  <si>
    <t>MIRAKBAROVA</t>
  </si>
  <si>
    <t>Shapka</t>
  </si>
  <si>
    <t>Palto</t>
  </si>
  <si>
    <t>Shim</t>
  </si>
  <si>
    <t>Jemper</t>
  </si>
  <si>
    <t>Koylak</t>
  </si>
  <si>
    <t>Dvoyka</t>
  </si>
  <si>
    <t>Nijnee Bele</t>
  </si>
  <si>
    <t>Tunika</t>
  </si>
  <si>
    <t>Sumka</t>
  </si>
  <si>
    <t>Svitshot</t>
  </si>
  <si>
    <t>Obuv</t>
  </si>
  <si>
    <t>3 D printer</t>
  </si>
  <si>
    <t>Plastmassa</t>
  </si>
  <si>
    <t>8144212</t>
  </si>
  <si>
    <t>Korpa</t>
  </si>
  <si>
    <t>Postel bele</t>
  </si>
  <si>
    <t>Salfetka</t>
  </si>
  <si>
    <t>Banniy Sochiq</t>
  </si>
  <si>
    <t>Yuz sochiq</t>
  </si>
  <si>
    <t>Qol sochiq</t>
  </si>
  <si>
    <t>ISLOMOV</t>
  </si>
  <si>
    <t>0696153</t>
  </si>
  <si>
    <t>Sochiq</t>
  </si>
  <si>
    <t>Odeyalo</t>
  </si>
  <si>
    <t>Yostiq</t>
  </si>
  <si>
    <t>SAIPOV</t>
  </si>
  <si>
    <t>7042350</t>
  </si>
  <si>
    <t>Sochiq qol</t>
  </si>
  <si>
    <t>tolstovka</t>
  </si>
  <si>
    <t>Futbolka</t>
  </si>
  <si>
    <t>Jinsi</t>
  </si>
  <si>
    <t>Tolstovka</t>
  </si>
  <si>
    <t>Sportivka</t>
  </si>
  <si>
    <t>Kurtka</t>
  </si>
  <si>
    <t>4745756</t>
  </si>
  <si>
    <t>korpa</t>
  </si>
  <si>
    <t>Postel</t>
  </si>
  <si>
    <t>Salfetki</t>
  </si>
  <si>
    <t>Banny sochiq</t>
  </si>
  <si>
    <t>Triko</t>
  </si>
  <si>
    <t>Nijnee bele</t>
  </si>
  <si>
    <t>Postel b/u</t>
  </si>
  <si>
    <t>Dets shuba</t>
  </si>
  <si>
    <t>Sviter</t>
  </si>
  <si>
    <t>Vodolazka</t>
  </si>
  <si>
    <t>Koftochka</t>
  </si>
  <si>
    <t>Butilka</t>
  </si>
  <si>
    <t>kopyushonka</t>
  </si>
  <si>
    <t>Suvenir</t>
  </si>
  <si>
    <t>Sarafan</t>
  </si>
  <si>
    <t>Tester</t>
  </si>
  <si>
    <t>parfyum</t>
  </si>
  <si>
    <t>Platya</t>
  </si>
  <si>
    <t>Parfyum</t>
  </si>
  <si>
    <t>Souvenir</t>
  </si>
  <si>
    <t>Kofta</t>
  </si>
  <si>
    <t>Kopyushonka</t>
  </si>
  <si>
    <t>BONDAREVA</t>
  </si>
  <si>
    <t>0276814</t>
  </si>
  <si>
    <t>Nakidka</t>
  </si>
  <si>
    <t>tester</t>
  </si>
  <si>
    <t>BAYNIYAZOVA</t>
  </si>
  <si>
    <t>0625354</t>
  </si>
  <si>
    <t>Rubashka</t>
  </si>
  <si>
    <t>tunika</t>
  </si>
  <si>
    <t>jemper</t>
  </si>
  <si>
    <t>Bryuki</t>
  </si>
  <si>
    <t>Sport kostyum</t>
  </si>
  <si>
    <t>QORAQALPOQ VILOYATI</t>
  </si>
  <si>
    <t>Kofta yubka</t>
  </si>
  <si>
    <t>Pidjak</t>
  </si>
  <si>
    <t>REIMOVA</t>
  </si>
  <si>
    <t>SARBINAZ</t>
  </si>
  <si>
    <t>0065668</t>
  </si>
  <si>
    <t>Finka</t>
  </si>
  <si>
    <t>Jins kurtka</t>
  </si>
  <si>
    <t>Dvoyka dets</t>
  </si>
  <si>
    <t>Dets trusi</t>
  </si>
  <si>
    <t>Nochnushka</t>
  </si>
  <si>
    <t>Pijamka</t>
  </si>
  <si>
    <t>8125990</t>
  </si>
  <si>
    <t>ADIZOVA</t>
  </si>
  <si>
    <t>9840266</t>
  </si>
  <si>
    <t>Dets dvoyka</t>
  </si>
  <si>
    <t>Krosovka</t>
  </si>
  <si>
    <t>1573269</t>
  </si>
  <si>
    <t>Bluzka</t>
  </si>
  <si>
    <t>Sapogi</t>
  </si>
  <si>
    <t>Yubka</t>
  </si>
  <si>
    <t>Masajorka</t>
  </si>
  <si>
    <t>Filtr pilesosa</t>
  </si>
  <si>
    <t>Posuda dlya speci</t>
  </si>
  <si>
    <t>Dets kofta</t>
  </si>
  <si>
    <t>Dets tunika</t>
  </si>
  <si>
    <t>Trusi</t>
  </si>
  <si>
    <t>Platya dets</t>
  </si>
  <si>
    <t>Avokado frukta</t>
  </si>
  <si>
    <t>Tyorka</t>
  </si>
  <si>
    <t>Chistka morkovki</t>
  </si>
  <si>
    <t>Mayka</t>
  </si>
  <si>
    <t>Shtani</t>
  </si>
  <si>
    <t>Emblema mashini</t>
  </si>
  <si>
    <t>BELOVA</t>
  </si>
  <si>
    <t>6855588</t>
  </si>
  <si>
    <t>Posuda dlya chaya</t>
  </si>
  <si>
    <t>Lojka</t>
  </si>
  <si>
    <t>Dets krosovki</t>
  </si>
  <si>
    <t>Basanoshka</t>
  </si>
  <si>
    <t>Pribor kuhni</t>
  </si>
  <si>
    <t>Rezinka dlya nog</t>
  </si>
  <si>
    <t>Plastm posuda</t>
  </si>
  <si>
    <t>Skatert</t>
  </si>
  <si>
    <t>Dets mayki</t>
  </si>
  <si>
    <t>Zakolki</t>
  </si>
  <si>
    <t>Tasbih</t>
  </si>
  <si>
    <t>Yashik</t>
  </si>
  <si>
    <t>Noski</t>
  </si>
  <si>
    <t>Makasin</t>
  </si>
  <si>
    <t>Jens tufli</t>
  </si>
  <si>
    <t>9927608</t>
  </si>
  <si>
    <t>1280109</t>
  </si>
  <si>
    <t>Kostyum</t>
  </si>
  <si>
    <t>Kofta bryuki</t>
  </si>
  <si>
    <t>ESANOVA</t>
  </si>
  <si>
    <t>Trusi mujs</t>
  </si>
  <si>
    <t>Trusi jenskie</t>
  </si>
  <si>
    <t>Dets nijnee bele</t>
  </si>
  <si>
    <t>Mujs trusi</t>
  </si>
  <si>
    <t>0860854</t>
  </si>
  <si>
    <t>Jens bryuki</t>
  </si>
  <si>
    <t>Ochki</t>
  </si>
  <si>
    <t>Chasi</t>
  </si>
  <si>
    <t>Zubn pasta</t>
  </si>
  <si>
    <t>Basanoshki</t>
  </si>
  <si>
    <t>Tufli</t>
  </si>
  <si>
    <t>Jens kofta</t>
  </si>
  <si>
    <t>Dets palto</t>
  </si>
  <si>
    <t>Kombinzon</t>
  </si>
  <si>
    <t>Ryukzak</t>
  </si>
  <si>
    <t>Shorti</t>
  </si>
  <si>
    <t>Dets bryuki</t>
  </si>
  <si>
    <t>Vetrovka</t>
  </si>
  <si>
    <t>Kolgotki</t>
  </si>
  <si>
    <t>SHANASIROVA</t>
  </si>
  <si>
    <t>Posuda komplekt</t>
  </si>
  <si>
    <t>8706936</t>
  </si>
  <si>
    <t>Mujs tapochka</t>
  </si>
  <si>
    <t>Jens tapki</t>
  </si>
  <si>
    <t>Baletka</t>
  </si>
  <si>
    <t>ISAMATOVA</t>
  </si>
  <si>
    <t>2086171</t>
  </si>
  <si>
    <t>Tapki jens</t>
  </si>
  <si>
    <t>Dasturxon</t>
  </si>
  <si>
    <t>Mujs tapochki</t>
  </si>
  <si>
    <t>Maxsi</t>
  </si>
  <si>
    <t>Koyne</t>
  </si>
  <si>
    <t>BAYMATOVA</t>
  </si>
  <si>
    <t>0324322</t>
  </si>
  <si>
    <t>Pasta shokolad</t>
  </si>
  <si>
    <t>Sirop</t>
  </si>
  <si>
    <t>Pribor zamochki</t>
  </si>
  <si>
    <t>Dets platye</t>
  </si>
  <si>
    <t>Kolgotka</t>
  </si>
  <si>
    <t>Dets sarafan</t>
  </si>
  <si>
    <t>Kofta dets</t>
  </si>
  <si>
    <t>Dets stul</t>
  </si>
  <si>
    <t>Dets polzunki</t>
  </si>
  <si>
    <t>Bezrukavka</t>
  </si>
  <si>
    <t>Sviter mujs</t>
  </si>
  <si>
    <t>Kardigan</t>
  </si>
  <si>
    <t>b/u jens krosovki</t>
  </si>
  <si>
    <t>b/u jens sapogi</t>
  </si>
  <si>
    <t>Dets shtani</t>
  </si>
  <si>
    <t>Dets rubashka</t>
  </si>
  <si>
    <t>Obodok</t>
  </si>
  <si>
    <t>Dets vetrovka</t>
  </si>
  <si>
    <t>b/u  sumka jens</t>
  </si>
  <si>
    <t>Dets pinetki</t>
  </si>
  <si>
    <t>Dets bezrukavka</t>
  </si>
  <si>
    <t>Dets bodi</t>
  </si>
  <si>
    <t>dets mayka</t>
  </si>
  <si>
    <t>Jens jinsi</t>
  </si>
  <si>
    <t>b/u krosovka</t>
  </si>
  <si>
    <t>b/u tapki dom</t>
  </si>
  <si>
    <t>b/u sapogi</t>
  </si>
  <si>
    <t>b/u makasin</t>
  </si>
  <si>
    <t>b/u sumka</t>
  </si>
  <si>
    <t>Disk</t>
  </si>
  <si>
    <t>b/u kofta</t>
  </si>
  <si>
    <t>b/u shim</t>
  </si>
  <si>
    <t>b/u mayka</t>
  </si>
  <si>
    <t>b/u skatert</t>
  </si>
  <si>
    <t>b/u Tolstovka</t>
  </si>
  <si>
    <t>b/u Sochiq</t>
  </si>
  <si>
    <t>b/u Sharf</t>
  </si>
  <si>
    <t>b/u Bluzka</t>
  </si>
  <si>
    <t>b/u Xalat</t>
  </si>
  <si>
    <t>b/u Rubashka</t>
  </si>
  <si>
    <t>b/u Kurtka</t>
  </si>
  <si>
    <t>6791220</t>
  </si>
  <si>
    <t>b/u platya</t>
  </si>
  <si>
    <t>b/u nakidka</t>
  </si>
  <si>
    <t>b/u tunika</t>
  </si>
  <si>
    <t>b/u sarafan</t>
  </si>
  <si>
    <t>b/u sharf</t>
  </si>
  <si>
    <t>b/u nochnushka</t>
  </si>
  <si>
    <t>b/u palto</t>
  </si>
  <si>
    <t>Dets jemper</t>
  </si>
  <si>
    <t>Dets sviter</t>
  </si>
  <si>
    <t>Xalat</t>
  </si>
  <si>
    <t>Jens dvoyka</t>
  </si>
  <si>
    <t>Dets sportivka</t>
  </si>
  <si>
    <t>Dets kombinzon</t>
  </si>
  <si>
    <t>5370945</t>
  </si>
  <si>
    <t>Igrushka dets</t>
  </si>
  <si>
    <t>Najdachka pyatki</t>
  </si>
  <si>
    <t>Sladosti</t>
  </si>
  <si>
    <t>Brinza</t>
  </si>
  <si>
    <t>Olivki</t>
  </si>
  <si>
    <t>Sir</t>
  </si>
  <si>
    <t>Krem</t>
  </si>
  <si>
    <t>Dets obodok</t>
  </si>
  <si>
    <t>Tufli jens</t>
  </si>
  <si>
    <t>Kraska volod</t>
  </si>
  <si>
    <t>Dipilyasiya volos</t>
  </si>
  <si>
    <t>Botinka</t>
  </si>
  <si>
    <t>Dets kurtka</t>
  </si>
  <si>
    <t>Polupalto</t>
  </si>
  <si>
    <t>Mujs futbolka</t>
  </si>
  <si>
    <t>Chasi dets</t>
  </si>
  <si>
    <t>2056824</t>
  </si>
  <si>
    <t>Banniy Polotence</t>
  </si>
  <si>
    <t>Licevoy sochiq</t>
  </si>
  <si>
    <t>Koshelek</t>
  </si>
  <si>
    <t>Bijuteriya</t>
  </si>
  <si>
    <t>Jens polusapojki</t>
  </si>
  <si>
    <t>Krosovki jens</t>
  </si>
  <si>
    <t>Jens tolstovka</t>
  </si>
  <si>
    <t>Mujs jemper</t>
  </si>
  <si>
    <t>Jens botinka</t>
  </si>
  <si>
    <t>Mujs sviter</t>
  </si>
  <si>
    <t>Jens platye</t>
  </si>
  <si>
    <t>Sharf</t>
  </si>
  <si>
    <t>Jens tunika</t>
  </si>
  <si>
    <t>Jens yubka</t>
  </si>
  <si>
    <t>Kofta jens</t>
  </si>
  <si>
    <t>Romol</t>
  </si>
  <si>
    <t>Filtr</t>
  </si>
  <si>
    <t>Remen</t>
  </si>
  <si>
    <t>Cheshka</t>
  </si>
  <si>
    <t>Girlyandi</t>
  </si>
  <si>
    <t>Shokolad</t>
  </si>
  <si>
    <t>Jinsi dets</t>
  </si>
  <si>
    <t>Bryuki mujs</t>
  </si>
  <si>
    <t>Tarelka</t>
  </si>
  <si>
    <t>1341656</t>
  </si>
  <si>
    <t>XASANOV</t>
  </si>
  <si>
    <t>6387259</t>
  </si>
  <si>
    <t>Jens Trusi</t>
  </si>
  <si>
    <t>Mujs noski</t>
  </si>
  <si>
    <t>Podmatrasnik</t>
  </si>
  <si>
    <t>Navolochka</t>
  </si>
  <si>
    <t>Dets futbolka</t>
  </si>
  <si>
    <t>Kombinzon dets</t>
  </si>
  <si>
    <t>Joy namoz</t>
  </si>
  <si>
    <t>Maska</t>
  </si>
  <si>
    <t>Jens bele</t>
  </si>
  <si>
    <t>Dets kolgotki</t>
  </si>
  <si>
    <t>Mujs rubashka</t>
  </si>
  <si>
    <t>jens futbolka</t>
  </si>
  <si>
    <t>jens pijamka</t>
  </si>
  <si>
    <t>Miska dets</t>
  </si>
  <si>
    <t>Pribor gigieni</t>
  </si>
  <si>
    <t>Pribor dlya milo</t>
  </si>
  <si>
    <t>Jens byuzgalter</t>
  </si>
  <si>
    <t>Mujs krosovki</t>
  </si>
  <si>
    <t>Jens makasin</t>
  </si>
  <si>
    <t>Sumka dets</t>
  </si>
  <si>
    <t>Polusapogi</t>
  </si>
  <si>
    <t>Shampun</t>
  </si>
  <si>
    <t>Schetka</t>
  </si>
  <si>
    <t>Lak</t>
  </si>
  <si>
    <t>masajor</t>
  </si>
  <si>
    <t>ROZUMBETOVA</t>
  </si>
  <si>
    <t>8110253</t>
  </si>
  <si>
    <t>Sport kostum</t>
  </si>
  <si>
    <t>Baniy halat</t>
  </si>
  <si>
    <t>Saposhka</t>
  </si>
  <si>
    <t>Saat</t>
  </si>
  <si>
    <t>Kalgotki</t>
  </si>
  <si>
    <t>Postel belyo</t>
  </si>
  <si>
    <t>MUMTOZBEGIM</t>
  </si>
  <si>
    <t>TILLABOYEVA</t>
  </si>
  <si>
    <t>9906145</t>
  </si>
  <si>
    <t>Muj pajama</t>
  </si>
  <si>
    <t>Jens pajama</t>
  </si>
  <si>
    <t>Jens bezrukavka</t>
  </si>
  <si>
    <t>Jens kolgotki</t>
  </si>
  <si>
    <t>Dom tapochki</t>
  </si>
  <si>
    <t>ZULXUMOR</t>
  </si>
  <si>
    <t>Jens kolgotka</t>
  </si>
  <si>
    <t>Dom tapochka</t>
  </si>
  <si>
    <t>Jens kurtka</t>
  </si>
  <si>
    <t>Dets uggi</t>
  </si>
  <si>
    <t>Jens nijnee bele</t>
  </si>
  <si>
    <t>Barsetka</t>
  </si>
  <si>
    <t>Jens shtani</t>
  </si>
  <si>
    <t>Jens trusi</t>
  </si>
  <si>
    <t>Jens kupalnik</t>
  </si>
  <si>
    <t>Jens prokladka</t>
  </si>
  <si>
    <t>Klach</t>
  </si>
  <si>
    <t>2749758</t>
  </si>
  <si>
    <t>Jens balonka</t>
  </si>
  <si>
    <t>Mujs kurtka</t>
  </si>
  <si>
    <t>Palto jens</t>
  </si>
  <si>
    <t>Nakidka jens</t>
  </si>
  <si>
    <t>Dets serejki</t>
  </si>
  <si>
    <t>Gel dlya ruk</t>
  </si>
  <si>
    <t>Zakolka</t>
  </si>
  <si>
    <t>Jivachki</t>
  </si>
  <si>
    <t>Naushnik</t>
  </si>
  <si>
    <t>Pincet</t>
  </si>
  <si>
    <t>Leykaplaster</t>
  </si>
  <si>
    <t>Jen pajama</t>
  </si>
  <si>
    <t>Jen kolgotka</t>
  </si>
  <si>
    <t>Sumka jens</t>
  </si>
  <si>
    <t>Prokladka</t>
  </si>
  <si>
    <t>Krosovki</t>
  </si>
  <si>
    <t>botinka jens</t>
  </si>
  <si>
    <t>Kofe</t>
  </si>
  <si>
    <t>Salet</t>
  </si>
  <si>
    <t>Cheshki</t>
  </si>
  <si>
    <t>Jens krosovki</t>
  </si>
  <si>
    <t>Maski</t>
  </si>
  <si>
    <t>Gamash</t>
  </si>
  <si>
    <t>Lasina</t>
  </si>
  <si>
    <t>Mujs kolson</t>
  </si>
  <si>
    <t>KUDRATULLAYEV</t>
  </si>
  <si>
    <t>LUTFULLA</t>
  </si>
  <si>
    <t>2978397</t>
  </si>
  <si>
    <t>7380213</t>
  </si>
  <si>
    <t>7687041</t>
  </si>
  <si>
    <t>6255569</t>
  </si>
  <si>
    <t>8066086</t>
  </si>
  <si>
    <t>Stakan</t>
  </si>
  <si>
    <t>LILIANA</t>
  </si>
  <si>
    <t>9188207</t>
  </si>
  <si>
    <t>Fartuk</t>
  </si>
  <si>
    <t>ROZA</t>
  </si>
  <si>
    <t>6371991</t>
  </si>
  <si>
    <t>COCIK</t>
  </si>
  <si>
    <t>FGUTBOLKA</t>
  </si>
  <si>
    <t>SVITIR</t>
  </si>
  <si>
    <t>1024291</t>
  </si>
  <si>
    <t>BANNIY HALAT</t>
  </si>
  <si>
    <t>PIUCAMA</t>
  </si>
  <si>
    <t>FUTBOLKA</t>
  </si>
  <si>
    <t>1716695</t>
  </si>
  <si>
    <t>2443232</t>
  </si>
  <si>
    <t>PAKRIVA'</t>
  </si>
  <si>
    <t>TOPICHKA</t>
  </si>
  <si>
    <t>JOYNOMOZ</t>
  </si>
  <si>
    <t>TAPOCKA</t>
  </si>
  <si>
    <t>TRIKO DETSKY</t>
  </si>
  <si>
    <t>DAMASHNI TAPOCKA</t>
  </si>
  <si>
    <t>MURSKOY SPARTIFKA</t>
  </si>
  <si>
    <t>JEMPIR</t>
  </si>
  <si>
    <t>ALIMPIKA</t>
  </si>
  <si>
    <t>JENSI SPARTIFKA</t>
  </si>
  <si>
    <t>MURSKOY JEMPIR</t>
  </si>
  <si>
    <t>BANKA</t>
  </si>
  <si>
    <t>KUTU</t>
  </si>
  <si>
    <t>5885759</t>
  </si>
  <si>
    <t>ALEMPIKA</t>
  </si>
  <si>
    <t>6253348</t>
  </si>
  <si>
    <t>7537741</t>
  </si>
  <si>
    <t>4676231</t>
  </si>
  <si>
    <t>1009974</t>
  </si>
  <si>
    <t>ADYOL</t>
  </si>
  <si>
    <t>HICOP</t>
  </si>
  <si>
    <t>2417727</t>
  </si>
  <si>
    <t>4804562</t>
  </si>
  <si>
    <t>7858719</t>
  </si>
  <si>
    <t>5486533</t>
  </si>
  <si>
    <t>235ISL77988470</t>
  </si>
  <si>
    <t>YEKATERINA</t>
  </si>
  <si>
    <t>O‘TKIR</t>
  </si>
  <si>
    <t>NILUFARXON</t>
  </si>
  <si>
    <t>AKMALBEK</t>
  </si>
  <si>
    <t>NAVRO‘ZGUL</t>
  </si>
  <si>
    <t>ABBAS</t>
  </si>
  <si>
    <t>DILORAM</t>
  </si>
  <si>
    <t>SABRINA</t>
  </si>
  <si>
    <t>IBROXIM</t>
  </si>
  <si>
    <t>ZAXRO</t>
  </si>
  <si>
    <t>ABSALOM</t>
  </si>
  <si>
    <t>ABDURAXMON</t>
  </si>
  <si>
    <t>DAURANBEK</t>
  </si>
  <si>
    <t>ILXOM</t>
  </si>
  <si>
    <t>MAGMURA</t>
  </si>
  <si>
    <t>FIRUZA</t>
  </si>
  <si>
    <t>IXLOSBEK</t>
  </si>
  <si>
    <t>ABDUVAXAB</t>
  </si>
  <si>
    <t>SABOXAT</t>
  </si>
  <si>
    <t>YELENA</t>
  </si>
  <si>
    <t>ABDUVAXIT</t>
  </si>
  <si>
    <t>DJASUR</t>
  </si>
  <si>
    <t>SHAXRIZADA</t>
  </si>
  <si>
    <t>KURBANALIYEVA</t>
  </si>
  <si>
    <t>TO‘RAYEVA</t>
  </si>
  <si>
    <t>SAYIDOVA</t>
  </si>
  <si>
    <t>SOY</t>
  </si>
  <si>
    <t>PO‘LATOV</t>
  </si>
  <si>
    <t>ROZIKOVA</t>
  </si>
  <si>
    <t>SAMIYEVA</t>
  </si>
  <si>
    <t>QORAYEVA</t>
  </si>
  <si>
    <t>NISHANBAYEVA</t>
  </si>
  <si>
    <t>DJALALOV</t>
  </si>
  <si>
    <t>ABDUVOHIDOVA</t>
  </si>
  <si>
    <t>XUDAYKULOVA</t>
  </si>
  <si>
    <t>TULYAYEVA</t>
  </si>
  <si>
    <t>MUXRANSKIY</t>
  </si>
  <si>
    <t>KADIROVA</t>
  </si>
  <si>
    <t>ABDALIYEVA</t>
  </si>
  <si>
    <t>FARMANOV</t>
  </si>
  <si>
    <t>TASHKENBAYEVA</t>
  </si>
  <si>
    <t>ISHANXANOVA</t>
  </si>
  <si>
    <t>ABDUXAKIMOV</t>
  </si>
  <si>
    <t>TO‘YCHIYEV</t>
  </si>
  <si>
    <t>IBROGIMOV</t>
  </si>
  <si>
    <t>KARABOYEV</t>
  </si>
  <si>
    <t>ABDURAXIMOV</t>
  </si>
  <si>
    <t>NIZOMOV</t>
  </si>
  <si>
    <t>XAMDAMOVA</t>
  </si>
  <si>
    <t>DEXKANOVA</t>
  </si>
  <si>
    <t>ANNAXASANOVA</t>
  </si>
  <si>
    <t>TADJIBAYEVA</t>
  </si>
  <si>
    <t>SULEYMANOVA</t>
  </si>
  <si>
    <t>URINBOYEVA</t>
  </si>
  <si>
    <t>MIRXONOVA</t>
  </si>
  <si>
    <t>ZAIROV</t>
  </si>
  <si>
    <t>BO‘STANOVA</t>
  </si>
  <si>
    <t>HAMROYEVA</t>
  </si>
  <si>
    <t>BILOLDINOVA</t>
  </si>
  <si>
    <t>ATAJONOVA</t>
  </si>
  <si>
    <t>XAMRAYEVA</t>
  </si>
  <si>
    <t>SODIKOV</t>
  </si>
  <si>
    <t>SHADMANOV</t>
  </si>
  <si>
    <t>URUNBAYEV</t>
  </si>
  <si>
    <t>BERDIMURODOVA</t>
  </si>
  <si>
    <t>XALMATOVA</t>
  </si>
  <si>
    <t>INAQOVA</t>
  </si>
  <si>
    <t>235ISL77566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</si>
</sst>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[$-409]m/d/yy\ h:mm\ AM/PM;@"/>
  </numFmts>
  <fonts count="2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4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sz val="10"/>
      <color indexed="8"/>
      <name val="Arial"/>
      <family val="2"/>
    </font>
    <font>
      <sz val="16"/>
      <color theme="1"/>
      <name val="Calibri"/>
      <family val="2"/>
      <scheme val="minor"/>
    </font>
    <font>
      <b/>
      <sz val="28"/>
      <color rgb="FFFF0000"/>
      <name val="Baskerville Old Face"/>
      <family val="1"/>
    </font>
    <font>
      <b/>
      <sz val="2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i/>
      <sz val="18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rgb="FF000000"/>
      <name val="Calibri"/>
      <family val="2"/>
      <scheme val="minor"/>
    </font>
    <font>
      <sz val="8"/>
      <color theme="1"/>
      <name val="Calibri"/>
      <family val="2"/>
    </font>
    <font>
      <sz val="11"/>
      <color theme="1"/>
      <name val="Calibr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4" fillId="0" borderId="0"/>
    <xf numFmtId="0" fontId="6" fillId="0" borderId="0"/>
    <xf numFmtId="0" fontId="16" fillId="0" borderId="0"/>
  </cellStyleXfs>
  <cellXfs count="120">
    <xf numFmtId="0" fontId="0" fillId="0" borderId="0" xfId="0"/>
    <xf numFmtId="0" fontId="0" fillId="0" borderId="0" xfId="0" applyProtection="1"/>
    <xf numFmtId="0" fontId="7" fillId="0" borderId="0" xfId="0" applyFont="1" applyAlignment="1">
      <alignment horizontal="center" vertical="center"/>
    </xf>
    <xf numFmtId="0" fontId="0" fillId="0" borderId="0" xfId="0" applyNumberFormat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0" xfId="0" applyNumberFormat="1" applyFont="1" applyAlignment="1" applyProtection="1"/>
    <xf numFmtId="0" fontId="13" fillId="0" borderId="0" xfId="0" applyNumberFormat="1" applyFont="1" applyAlignment="1" applyProtection="1"/>
    <xf numFmtId="0" fontId="0" fillId="0" borderId="0" xfId="0" applyNumberFormat="1" applyFont="1" applyProtection="1"/>
    <xf numFmtId="0" fontId="10" fillId="0" borderId="0" xfId="0" applyNumberFormat="1" applyFont="1" applyAlignment="1" applyProtection="1">
      <alignment horizontal="center" vertical="center"/>
    </xf>
    <xf numFmtId="0" fontId="0" fillId="0" borderId="0" xfId="0" applyNumberFormat="1" applyProtection="1"/>
    <xf numFmtId="0" fontId="13" fillId="0" borderId="0" xfId="0" applyNumberFormat="1" applyFont="1" applyBorder="1" applyAlignment="1" applyProtection="1"/>
    <xf numFmtId="0" fontId="0" fillId="0" borderId="0" xfId="0" applyNumberFormat="1" applyFont="1" applyBorder="1" applyAlignment="1" applyProtection="1"/>
    <xf numFmtId="0" fontId="10" fillId="0" borderId="0" xfId="0" applyNumberFormat="1" applyFont="1" applyBorder="1" applyAlignment="1" applyProtection="1"/>
    <xf numFmtId="0" fontId="0" fillId="0" borderId="0" xfId="0" applyNumberFormat="1" applyBorder="1" applyAlignment="1" applyProtection="1">
      <alignment vertical="center"/>
    </xf>
    <xf numFmtId="0" fontId="10" fillId="0" borderId="1" xfId="0" applyNumberFormat="1" applyFont="1" applyBorder="1" applyAlignment="1" applyProtection="1">
      <alignment horizontal="center" vertical="center"/>
      <protection locked="0"/>
    </xf>
    <xf numFmtId="0" fontId="2" fillId="0" borderId="0" xfId="0" applyNumberFormat="1" applyFont="1" applyProtection="1"/>
    <xf numFmtId="0" fontId="2" fillId="0" borderId="0" xfId="0" applyNumberFormat="1" applyFont="1" applyAlignment="1" applyProtection="1">
      <alignment wrapText="1"/>
    </xf>
    <xf numFmtId="0" fontId="10" fillId="0" borderId="0" xfId="0" applyNumberFormat="1" applyFont="1" applyProtection="1">
      <protection locked="0"/>
    </xf>
    <xf numFmtId="0" fontId="10" fillId="0" borderId="0" xfId="0" applyNumberFormat="1" applyFont="1" applyBorder="1" applyProtection="1"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right" vertical="center"/>
      <protection locked="0"/>
    </xf>
    <xf numFmtId="0" fontId="10" fillId="0" borderId="0" xfId="0" applyNumberFormat="1" applyFont="1" applyBorder="1" applyAlignment="1" applyProtection="1">
      <alignment horizontal="right" vertical="center"/>
      <protection locked="0"/>
    </xf>
    <xf numFmtId="0" fontId="10" fillId="0" borderId="0" xfId="0" applyNumberFormat="1" applyFont="1" applyFill="1" applyBorder="1" applyAlignment="1" applyProtection="1">
      <alignment horizontal="right" vertical="center"/>
      <protection locked="0"/>
    </xf>
    <xf numFmtId="0" fontId="11" fillId="0" borderId="0" xfId="1" applyNumberFormat="1" applyFont="1" applyFill="1" applyBorder="1" applyAlignment="1" applyProtection="1">
      <alignment horizontal="right" vertical="center" wrapText="1"/>
      <protection locked="0"/>
    </xf>
    <xf numFmtId="0" fontId="11" fillId="0" borderId="1" xfId="1" applyNumberFormat="1" applyFont="1" applyFill="1" applyBorder="1" applyAlignment="1" applyProtection="1">
      <alignment horizontal="right" vertical="center" wrapText="1"/>
      <protection locked="0"/>
    </xf>
    <xf numFmtId="0" fontId="11" fillId="0" borderId="1" xfId="2" applyNumberFormat="1" applyFont="1" applyFill="1" applyBorder="1" applyAlignment="1" applyProtection="1">
      <alignment horizontal="right" vertical="center" wrapText="1"/>
      <protection locked="0"/>
    </xf>
    <xf numFmtId="0" fontId="10" fillId="0" borderId="3" xfId="0" applyNumberFormat="1" applyFont="1" applyBorder="1" applyAlignment="1" applyProtection="1">
      <alignment horizontal="right" vertical="center"/>
      <protection locked="0"/>
    </xf>
    <xf numFmtId="0" fontId="11" fillId="0" borderId="1" xfId="2" applyNumberFormat="1" applyFont="1" applyFill="1" applyBorder="1" applyAlignment="1" applyProtection="1">
      <alignment wrapText="1"/>
      <protection locked="0"/>
    </xf>
    <xf numFmtId="0" fontId="12" fillId="0" borderId="1" xfId="0" applyNumberFormat="1" applyFont="1" applyBorder="1" applyAlignment="1" applyProtection="1">
      <alignment horizontal="center" vertical="center"/>
      <protection locked="0"/>
    </xf>
    <xf numFmtId="14" fontId="11" fillId="0" borderId="1" xfId="2" applyNumberFormat="1" applyFont="1" applyFill="1" applyBorder="1" applyAlignment="1" applyProtection="1">
      <alignment horizontal="right" vertical="center" wrapText="1"/>
      <protection locked="0"/>
    </xf>
    <xf numFmtId="0" fontId="14" fillId="0" borderId="0" xfId="0" applyNumberFormat="1" applyFont="1" applyBorder="1" applyAlignment="1" applyProtection="1">
      <alignment wrapText="1"/>
    </xf>
    <xf numFmtId="0" fontId="0" fillId="0" borderId="0" xfId="0" applyNumberFormat="1" applyFont="1" applyAlignment="1" applyProtection="1">
      <alignment horizontal="right"/>
    </xf>
    <xf numFmtId="0" fontId="0" fillId="0" borderId="0" xfId="0" applyNumberFormat="1" applyFont="1" applyBorder="1" applyAlignment="1" applyProtection="1">
      <alignment horizontal="right"/>
    </xf>
    <xf numFmtId="0" fontId="15" fillId="0" borderId="0" xfId="1" applyNumberFormat="1" applyFont="1" applyFill="1" applyBorder="1" applyAlignment="1" applyProtection="1">
      <alignment wrapText="1"/>
    </xf>
    <xf numFmtId="0" fontId="0" fillId="0" borderId="1" xfId="2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49" fontId="10" fillId="0" borderId="1" xfId="0" applyNumberFormat="1" applyFont="1" applyBorder="1" applyAlignment="1" applyProtection="1">
      <alignment horizontal="right" vertical="center"/>
      <protection locked="0"/>
    </xf>
    <xf numFmtId="0" fontId="0" fillId="0" borderId="0" xfId="0" applyNumberFormat="1" applyFont="1" applyAlignment="1" applyProtection="1">
      <alignment horizontal="center" vertical="center"/>
    </xf>
    <xf numFmtId="0" fontId="0" fillId="0" borderId="0" xfId="0" applyNumberFormat="1" applyFont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1" fillId="0" borderId="6" xfId="0" applyNumberFormat="1" applyFont="1" applyBorder="1" applyAlignment="1" applyProtection="1">
      <alignment horizontal="center" vertical="center" wrapText="1"/>
    </xf>
    <xf numFmtId="0" fontId="20" fillId="0" borderId="7" xfId="0" applyNumberFormat="1" applyFont="1" applyBorder="1" applyAlignment="1" applyProtection="1">
      <alignment horizontal="center" vertical="center" wrapText="1"/>
    </xf>
    <xf numFmtId="0" fontId="10" fillId="0" borderId="0" xfId="0" applyNumberFormat="1" applyFont="1" applyProtection="1"/>
    <xf numFmtId="0" fontId="10" fillId="0" borderId="0" xfId="0" applyNumberFormat="1" applyFont="1" applyBorder="1" applyProtection="1"/>
    <xf numFmtId="0" fontId="10" fillId="0" borderId="0" xfId="0" applyNumberFormat="1" applyFont="1" applyFill="1" applyBorder="1" applyProtection="1"/>
    <xf numFmtId="0" fontId="11" fillId="0" borderId="0" xfId="1" applyNumberFormat="1" applyFont="1" applyFill="1" applyBorder="1" applyAlignment="1" applyProtection="1">
      <alignment wrapText="1"/>
    </xf>
    <xf numFmtId="0" fontId="11" fillId="0" borderId="0" xfId="2" applyNumberFormat="1" applyFont="1" applyFill="1" applyBorder="1" applyAlignment="1" applyProtection="1">
      <alignment wrapText="1"/>
    </xf>
    <xf numFmtId="0" fontId="1" fillId="0" borderId="6" xfId="0" applyNumberFormat="1" applyFont="1" applyBorder="1" applyAlignment="1" applyProtection="1">
      <alignment horizontal="center" vertical="center" wrapText="1"/>
      <protection locked="0"/>
    </xf>
    <xf numFmtId="0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Font="1" applyBorder="1" applyAlignment="1" applyProtection="1">
      <alignment horizontal="right"/>
      <protection locked="0"/>
    </xf>
    <xf numFmtId="0" fontId="0" fillId="0" borderId="0" xfId="0" applyNumberFormat="1" applyProtection="1">
      <protection locked="0"/>
    </xf>
    <xf numFmtId="0" fontId="0" fillId="0" borderId="1" xfId="0" applyNumberFormat="1" applyFont="1" applyBorder="1" applyAlignment="1" applyProtection="1">
      <alignment horizontal="center" vertical="center"/>
      <protection locked="0"/>
    </xf>
    <xf numFmtId="14" fontId="0" fillId="0" borderId="1" xfId="0" applyNumberFormat="1" applyFont="1" applyBorder="1" applyAlignment="1" applyProtection="1">
      <alignment horizontal="right"/>
      <protection locked="0"/>
    </xf>
    <xf numFmtId="22" fontId="0" fillId="0" borderId="1" xfId="0" applyNumberFormat="1" applyFont="1" applyBorder="1" applyAlignment="1" applyProtection="1">
      <alignment horizontal="right"/>
      <protection locked="0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Alignment="1" applyProtection="1">
      <alignment horizontal="right"/>
      <protection locked="0"/>
    </xf>
    <xf numFmtId="0" fontId="0" fillId="0" borderId="0" xfId="0" applyNumberFormat="1" applyFont="1" applyProtection="1">
      <protection locked="0"/>
    </xf>
    <xf numFmtId="0" fontId="17" fillId="0" borderId="0" xfId="0" applyFont="1"/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2" fontId="17" fillId="0" borderId="0" xfId="0" applyNumberFormat="1" applyFont="1" applyAlignment="1">
      <alignment horizontal="center"/>
    </xf>
    <xf numFmtId="164" fontId="17" fillId="0" borderId="0" xfId="0" applyNumberFormat="1" applyFont="1" applyAlignment="1">
      <alignment horizontal="center"/>
    </xf>
    <xf numFmtId="0" fontId="17" fillId="0" borderId="1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 wrapText="1"/>
    </xf>
    <xf numFmtId="2" fontId="17" fillId="0" borderId="1" xfId="0" applyNumberFormat="1" applyFont="1" applyBorder="1" applyAlignment="1">
      <alignment horizontal="center" vertical="center" wrapText="1"/>
    </xf>
    <xf numFmtId="164" fontId="17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left" vertical="center"/>
    </xf>
    <xf numFmtId="165" fontId="0" fillId="0" borderId="1" xfId="0" applyNumberFormat="1" applyBorder="1"/>
    <xf numFmtId="0" fontId="1" fillId="0" borderId="1" xfId="0" applyNumberFormat="1" applyFont="1" applyBorder="1" applyAlignment="1" applyProtection="1">
      <alignment horizontal="center" vertical="center" wrapText="1"/>
    </xf>
    <xf numFmtId="0" fontId="1" fillId="0" borderId="8" xfId="0" applyNumberFormat="1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vertical="center" wrapText="1"/>
      <protection locked="0"/>
    </xf>
    <xf numFmtId="0" fontId="1" fillId="0" borderId="1" xfId="0" applyNumberFormat="1" applyFont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>
      <alignment vertical="center" wrapText="1"/>
    </xf>
    <xf numFmtId="0" fontId="1" fillId="0" borderId="2" xfId="0" applyNumberFormat="1" applyFont="1" applyBorder="1" applyAlignment="1" applyProtection="1">
      <alignment horizontal="center" vertical="center" wrapText="1"/>
    </xf>
    <xf numFmtId="0" fontId="0" fillId="0" borderId="1" xfId="0" applyBorder="1"/>
    <xf numFmtId="0" fontId="23" fillId="0" borderId="1" xfId="0" applyFont="1" applyBorder="1" applyAlignment="1">
      <alignment vertical="center" wrapText="1"/>
    </xf>
    <xf numFmtId="14" fontId="0" fillId="0" borderId="1" xfId="0" applyNumberFormat="1" applyBorder="1"/>
    <xf numFmtId="0" fontId="23" fillId="0" borderId="9" xfId="0" applyFont="1" applyBorder="1" applyAlignment="1">
      <alignment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17" fillId="0" borderId="1" xfId="0" applyFont="1" applyBorder="1"/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164" fontId="17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17" fillId="0" borderId="6" xfId="0" applyFont="1" applyBorder="1"/>
    <xf numFmtId="0" fontId="17" fillId="0" borderId="6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/>
    </xf>
    <xf numFmtId="0" fontId="17" fillId="0" borderId="0" xfId="0" applyFont="1" applyBorder="1"/>
    <xf numFmtId="0" fontId="17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/>
    </xf>
    <xf numFmtId="0" fontId="24" fillId="0" borderId="10" xfId="0" applyFont="1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" xfId="0" applyNumberFormat="1" applyFont="1" applyBorder="1" applyAlignment="1" applyProtection="1">
      <alignment horizontal="center"/>
    </xf>
    <xf numFmtId="49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1" xfId="0" applyNumberFormat="1" applyFont="1" applyBorder="1" applyAlignment="1" applyProtection="1">
      <alignment horizontal="center" vertical="center" wrapText="1"/>
    </xf>
    <xf numFmtId="0" fontId="2" fillId="2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2" xfId="0" applyNumberFormat="1" applyFont="1" applyBorder="1" applyAlignment="1" applyProtection="1">
      <alignment horizontal="center"/>
    </xf>
    <xf numFmtId="0" fontId="1" fillId="0" borderId="3" xfId="0" applyNumberFormat="1" applyFont="1" applyBorder="1" applyAlignment="1" applyProtection="1">
      <alignment horizontal="center"/>
    </xf>
    <xf numFmtId="0" fontId="10" fillId="0" borderId="0" xfId="0" applyNumberFormat="1" applyFont="1" applyBorder="1" applyAlignment="1" applyProtection="1">
      <alignment horizontal="center"/>
    </xf>
    <xf numFmtId="0" fontId="9" fillId="0" borderId="1" xfId="0" applyNumberFormat="1" applyFont="1" applyBorder="1" applyAlignment="1" applyProtection="1">
      <alignment horizontal="center" vertical="center"/>
    </xf>
    <xf numFmtId="0" fontId="8" fillId="2" borderId="1" xfId="0" applyNumberFormat="1" applyFont="1" applyFill="1" applyBorder="1" applyAlignment="1" applyProtection="1">
      <alignment horizontal="center" vertical="center"/>
      <protection locked="0"/>
    </xf>
    <xf numFmtId="0" fontId="21" fillId="3" borderId="1" xfId="0" applyFont="1" applyFill="1" applyBorder="1" applyAlignment="1">
      <alignment horizontal="center" vertical="center" wrapText="1"/>
    </xf>
    <xf numFmtId="0" fontId="22" fillId="4" borderId="1" xfId="0" applyFont="1" applyFill="1" applyBorder="1" applyAlignment="1">
      <alignment horizontal="center" vertical="center" wrapText="1"/>
    </xf>
  </cellXfs>
  <cellStyles count="4">
    <cellStyle name="Normal" xfId="0" builtinId="0"/>
    <cellStyle name="Normal 2" xfId="3" xr:uid="{D4EE56E7-709E-4AF5-8F66-F7B9960A4BF5}"/>
    <cellStyle name="Normal_invoice" xfId="1" xr:uid="{838E54F4-6D32-4B60-8D6B-32D1ECDF9752}"/>
    <cellStyle name="Normal_invoice_1" xfId="2" xr:uid="{3F7608A7-80EA-471E-ADD6-5A3CAE0E807A}"/>
  </cellStyles>
  <dxfs count="0"/>
  <tableStyles count="0" defaultTableStyle="TableStyleMedium2" defaultPivotStyle="PivotStyleLight16"/>
  <colors>
    <mruColors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666750</xdr:colOff>
      <xdr:row>1</xdr:row>
      <xdr:rowOff>51289</xdr:rowOff>
    </xdr:from>
    <xdr:to>
      <xdr:col>20</xdr:col>
      <xdr:colOff>73269</xdr:colOff>
      <xdr:row>3</xdr:row>
      <xdr:rowOff>95250</xdr:rowOff>
    </xdr:to>
    <xdr:sp macro="[0]!Sheet1.full" textlink="">
      <xdr:nvSpPr>
        <xdr:cNvPr id="2" name="Oval 1">
          <a:extLst>
            <a:ext uri="{FF2B5EF4-FFF2-40B4-BE49-F238E27FC236}">
              <a16:creationId xmlns:a16="http://schemas.microsoft.com/office/drawing/2014/main" id="{4623BBDA-66B2-4AC5-B1FE-2302AFCD9D80}"/>
            </a:ext>
          </a:extLst>
        </xdr:cNvPr>
        <xdr:cNvSpPr/>
      </xdr:nvSpPr>
      <xdr:spPr>
        <a:xfrm>
          <a:off x="9341827" y="51289"/>
          <a:ext cx="1003788" cy="43961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FULL</a:t>
          </a:r>
        </a:p>
      </xdr:txBody>
    </xdr:sp>
    <xdr:clientData/>
  </xdr:twoCellAnchor>
  <xdr:twoCellAnchor>
    <xdr:from>
      <xdr:col>6</xdr:col>
      <xdr:colOff>196455</xdr:colOff>
      <xdr:row>1</xdr:row>
      <xdr:rowOff>71438</xdr:rowOff>
    </xdr:from>
    <xdr:to>
      <xdr:col>18</xdr:col>
      <xdr:colOff>559596</xdr:colOff>
      <xdr:row>3</xdr:row>
      <xdr:rowOff>23812</xdr:rowOff>
    </xdr:to>
    <xdr:sp macro="[0]!Sheet1.clear" textlink="">
      <xdr:nvSpPr>
        <xdr:cNvPr id="3" name="Rectangle 2">
          <a:extLst>
            <a:ext uri="{FF2B5EF4-FFF2-40B4-BE49-F238E27FC236}">
              <a16:creationId xmlns:a16="http://schemas.microsoft.com/office/drawing/2014/main" id="{A06F22A7-9433-4B14-B598-CE28B5DCCFED}"/>
            </a:ext>
          </a:extLst>
        </xdr:cNvPr>
        <xdr:cNvSpPr/>
      </xdr:nvSpPr>
      <xdr:spPr>
        <a:xfrm>
          <a:off x="8370096" y="71438"/>
          <a:ext cx="869156" cy="35123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CLEAN</a:t>
          </a:r>
        </a:p>
      </xdr:txBody>
    </xdr:sp>
    <xdr:clientData/>
  </xdr:twoCellAnchor>
  <xdr:twoCellAnchor>
    <xdr:from>
      <xdr:col>6</xdr:col>
      <xdr:colOff>386952</xdr:colOff>
      <xdr:row>4</xdr:row>
      <xdr:rowOff>208361</xdr:rowOff>
    </xdr:from>
    <xdr:to>
      <xdr:col>19</xdr:col>
      <xdr:colOff>333374</xdr:colOff>
      <xdr:row>8</xdr:row>
      <xdr:rowOff>95250</xdr:rowOff>
    </xdr:to>
    <xdr:sp macro="[0]!Sheet1.new_list" textlink="">
      <xdr:nvSpPr>
        <xdr:cNvPr id="4" name="Rectangle 3">
          <a:extLst>
            <a:ext uri="{FF2B5EF4-FFF2-40B4-BE49-F238E27FC236}">
              <a16:creationId xmlns:a16="http://schemas.microsoft.com/office/drawing/2014/main" id="{E3C17260-9651-4ECB-B17A-1BA23FCA7F76}"/>
            </a:ext>
          </a:extLst>
        </xdr:cNvPr>
        <xdr:cNvSpPr/>
      </xdr:nvSpPr>
      <xdr:spPr>
        <a:xfrm>
          <a:off x="8560593" y="827486"/>
          <a:ext cx="1708547" cy="76795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YOZIDIR</a:t>
          </a:r>
        </a:p>
        <a:p>
          <a:pPr algn="ctr"/>
          <a:endParaRPr lang="en-US" sz="2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229331</xdr:colOff>
      <xdr:row>0</xdr:row>
      <xdr:rowOff>83526</xdr:rowOff>
    </xdr:from>
    <xdr:to>
      <xdr:col>2</xdr:col>
      <xdr:colOff>2000982</xdr:colOff>
      <xdr:row>0</xdr:row>
      <xdr:rowOff>864577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8425D6F7-AED3-4CBC-8AFA-02E37B3F8062}"/>
            </a:ext>
          </a:extLst>
        </xdr:cNvPr>
        <xdr:cNvSpPr/>
      </xdr:nvSpPr>
      <xdr:spPr>
        <a:xfrm>
          <a:off x="229331" y="83526"/>
          <a:ext cx="2905126" cy="781051"/>
        </a:xfrm>
        <a:prstGeom prst="roundRect">
          <a:avLst/>
        </a:prstGeom>
        <a:noFill/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accent6">
                  <a:lumMod val="50000"/>
                </a:schemeClr>
              </a:solidFill>
            </a:rPr>
            <a:t>HAMKOR EXPRESS </a:t>
          </a:r>
          <a:r>
            <a:rPr lang="en-US" sz="1200">
              <a:solidFill>
                <a:sysClr val="windowText" lastClr="000000"/>
              </a:solidFill>
            </a:rPr>
            <a:t>VE ULUS TAS LTD STI OSMONAGA MAH SOGULCASME CAD BULVAR CARSISI </a:t>
          </a:r>
        </a:p>
        <a:p>
          <a:pPr algn="l"/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180975</xdr:colOff>
      <xdr:row>0</xdr:row>
      <xdr:rowOff>80596</xdr:rowOff>
    </xdr:from>
    <xdr:to>
      <xdr:col>5</xdr:col>
      <xdr:colOff>802298</xdr:colOff>
      <xdr:row>0</xdr:row>
      <xdr:rowOff>861646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6D5FE67F-BA81-4276-85B3-E075DC7716A1}"/>
            </a:ext>
          </a:extLst>
        </xdr:cNvPr>
        <xdr:cNvSpPr/>
      </xdr:nvSpPr>
      <xdr:spPr>
        <a:xfrm>
          <a:off x="3571875" y="80596"/>
          <a:ext cx="3202598" cy="781050"/>
        </a:xfrm>
        <a:prstGeom prst="roundRect">
          <a:avLst/>
        </a:prstGeom>
        <a:noFill/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US" sz="1400" b="1" baseline="0">
              <a:solidFill>
                <a:schemeClr val="accent6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BEST EXPRESS </a:t>
          </a:r>
          <a:r>
            <a:rPr lang="en-US" sz="12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TOSHKENT SHAXAR OLMAZOR TUMANI BERUNIY B-1 11/27</a:t>
          </a:r>
          <a:endParaRPr lang="en-US" sz="1200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algn="l"/>
          <a:endParaRPr lang="en-US" sz="1200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oneCellAnchor>
    <xdr:from>
      <xdr:col>2</xdr:col>
      <xdr:colOff>590550</xdr:colOff>
      <xdr:row>0</xdr:row>
      <xdr:rowOff>990600</xdr:rowOff>
    </xdr:from>
    <xdr:ext cx="3195683" cy="1469826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BF0A5F8-C4DC-4ACD-AA26-0103FAF505E5}"/>
            </a:ext>
          </a:extLst>
        </xdr:cNvPr>
        <xdr:cNvSpPr txBox="1"/>
      </xdr:nvSpPr>
      <xdr:spPr>
        <a:xfrm>
          <a:off x="1724025" y="990600"/>
          <a:ext cx="3195683" cy="14698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ru-RU" sz="2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CARGO MANIFEST</a:t>
          </a:r>
          <a:endParaRPr lang="en-US" sz="2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ru-RU" sz="2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ГРУЗОВОЙ МАНИФЕСТ</a:t>
          </a:r>
          <a:endParaRPr lang="en-US" sz="2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en-US" sz="40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 algn="l"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8D2B153-7727-4AA9-9B2F-E876F46D9C27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8463B099-C2B5-4442-B856-9027D68C1B49}">
  <we:reference id="wa200001673" version="1.0.0.4" store="en-US" storeType="OMEX"/>
  <we:alternateReferences>
    <we:reference id="wa200001673" version="1.0.0.4" store="WA20000167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X265"/>
  <sheetViews>
    <sheetView showGridLines="0" showRowColHeaders="0" tabSelected="1" topLeftCell="A2" zoomScale="107" zoomScaleNormal="145" zoomScaleSheetLayoutView="100" workbookViewId="0">
      <selection activeCell="D7" sqref="D7:F7"/>
    </sheetView>
  </sheetViews>
  <sheetFormatPr defaultRowHeight="15" x14ac:dyDescent="0.25"/>
  <cols>
    <col min="1" max="1" width="46.5703125" style="41" customWidth="1"/>
    <col min="2" max="2" width="3.5703125" style="3" customWidth="1"/>
    <col min="3" max="3" width="38.5703125" style="3" customWidth="1"/>
    <col min="4" max="4" width="13.5703125" style="3" customWidth="1"/>
    <col min="5" max="5" width="7.85546875" style="3" customWidth="1"/>
    <col min="6" max="6" width="12.42578125" style="10" customWidth="1"/>
    <col min="7" max="7" width="7.5703125" style="10" customWidth="1"/>
    <col min="8" max="8" width="18.28515625" style="7" hidden="1" customWidth="1"/>
    <col min="9" max="9" width="24.140625" style="8" hidden="1" customWidth="1"/>
    <col min="10" max="10" width="9.140625" style="9" hidden="1" customWidth="1"/>
    <col min="11" max="11" width="20.140625" style="10" hidden="1" customWidth="1"/>
    <col min="12" max="12" width="24.85546875" style="47" hidden="1" customWidth="1"/>
    <col min="13" max="13" width="15.140625" style="47" hidden="1" customWidth="1"/>
    <col min="14" max="14" width="9.140625" style="47" hidden="1" customWidth="1"/>
    <col min="15" max="15" width="9" style="47" hidden="1" customWidth="1"/>
    <col min="16" max="16" width="22.85546875" style="9" hidden="1" customWidth="1"/>
    <col min="17" max="17" width="22.42578125" style="33" hidden="1" customWidth="1"/>
    <col min="18" max="18" width="10.85546875" style="11" hidden="1" customWidth="1"/>
    <col min="19" max="19" width="18.85546875" style="44" bestFit="1" customWidth="1"/>
    <col min="20" max="20" width="5" style="1" customWidth="1"/>
    <col min="21" max="24" width="9.140625" style="1"/>
  </cols>
  <sheetData>
    <row r="1" spans="1:20" ht="13.5" hidden="1" customHeight="1" x14ac:dyDescent="0.25">
      <c r="C1" s="4"/>
      <c r="D1" s="4"/>
      <c r="E1" s="5"/>
      <c r="F1" s="5"/>
      <c r="G1" s="6"/>
    </row>
    <row r="2" spans="1:20" ht="18" customHeight="1" x14ac:dyDescent="0.25">
      <c r="B2" s="116" t="s">
        <v>67</v>
      </c>
      <c r="C2" s="116"/>
      <c r="D2" s="117">
        <v>718</v>
      </c>
      <c r="E2" s="117"/>
      <c r="F2" s="117"/>
      <c r="G2" s="6"/>
    </row>
    <row r="3" spans="1:20" ht="13.5" customHeight="1" x14ac:dyDescent="0.25">
      <c r="B3" s="116"/>
      <c r="C3" s="116"/>
      <c r="D3" s="117"/>
      <c r="E3" s="117"/>
      <c r="F3" s="117"/>
      <c r="I3" s="12"/>
    </row>
    <row r="4" spans="1:20" ht="17.25" customHeight="1" x14ac:dyDescent="0.25">
      <c r="B4" s="111" t="s">
        <v>74</v>
      </c>
      <c r="C4" s="111"/>
      <c r="D4" s="112" t="s">
        <v>2334</v>
      </c>
      <c r="E4" s="112"/>
      <c r="F4" s="112"/>
      <c r="I4" s="12"/>
      <c r="J4" s="13"/>
      <c r="K4" s="14"/>
      <c r="L4" s="14"/>
    </row>
    <row r="5" spans="1:20" ht="17.25" customHeight="1" x14ac:dyDescent="0.25">
      <c r="A5" s="42"/>
      <c r="B5" s="111" t="s">
        <v>75</v>
      </c>
      <c r="C5" s="111"/>
      <c r="D5" s="112" t="s">
        <v>2335</v>
      </c>
      <c r="E5" s="112"/>
      <c r="F5" s="112"/>
      <c r="J5" s="13"/>
      <c r="K5" s="115"/>
      <c r="L5" s="115"/>
    </row>
    <row r="6" spans="1:20" ht="17.25" customHeight="1" x14ac:dyDescent="0.25">
      <c r="A6" s="42"/>
      <c r="B6" s="107" t="s">
        <v>76</v>
      </c>
      <c r="C6" s="107"/>
      <c r="D6" s="112" t="s">
        <v>71</v>
      </c>
      <c r="E6" s="112"/>
      <c r="F6" s="112"/>
      <c r="J6" s="13"/>
      <c r="K6" s="14"/>
      <c r="L6" s="14"/>
    </row>
    <row r="7" spans="1:20" ht="17.25" customHeight="1" x14ac:dyDescent="0.25">
      <c r="A7" s="42"/>
      <c r="B7" s="113" t="s">
        <v>77</v>
      </c>
      <c r="C7" s="114"/>
      <c r="D7" s="108"/>
      <c r="E7" s="109"/>
      <c r="F7" s="110"/>
      <c r="J7" s="13"/>
      <c r="K7" s="14"/>
      <c r="L7" s="14"/>
    </row>
    <row r="8" spans="1:20" ht="17.25" customHeight="1" x14ac:dyDescent="0.25">
      <c r="A8" s="42"/>
      <c r="B8" s="107" t="s">
        <v>63</v>
      </c>
      <c r="C8" s="107"/>
      <c r="D8" s="103" t="s">
        <v>73</v>
      </c>
      <c r="E8" s="104"/>
      <c r="F8" s="105"/>
      <c r="H8" s="9"/>
      <c r="I8" s="9"/>
      <c r="J8" s="13"/>
      <c r="K8" s="14"/>
      <c r="L8" s="14"/>
    </row>
    <row r="9" spans="1:20" ht="21.75" customHeight="1" x14ac:dyDescent="0.25">
      <c r="A9" s="42"/>
      <c r="B9" s="113" t="s">
        <v>107</v>
      </c>
      <c r="C9" s="114"/>
      <c r="D9" s="103"/>
      <c r="E9" s="104"/>
      <c r="F9" s="105"/>
      <c r="H9" s="9"/>
      <c r="I9" s="9"/>
      <c r="J9" s="13"/>
      <c r="K9" s="14"/>
      <c r="L9" s="14"/>
    </row>
    <row r="10" spans="1:20" ht="27" customHeight="1" thickBot="1" x14ac:dyDescent="0.3">
      <c r="A10" s="42"/>
      <c r="B10" s="75" t="s">
        <v>0</v>
      </c>
      <c r="C10" s="45" t="s">
        <v>105</v>
      </c>
      <c r="D10" s="106">
        <v>5</v>
      </c>
      <c r="E10" s="106"/>
      <c r="F10" s="105"/>
      <c r="H10" s="9"/>
      <c r="I10" s="9"/>
      <c r="J10" s="13"/>
      <c r="K10" s="14"/>
      <c r="L10" s="14"/>
      <c r="M10" s="48"/>
      <c r="N10" s="49"/>
      <c r="O10" s="50"/>
      <c r="P10" s="35"/>
      <c r="Q10" s="34"/>
      <c r="S10" s="45" t="s">
        <v>2916</v>
      </c>
    </row>
    <row r="11" spans="1:20" ht="13.5" customHeight="1" thickBot="1" x14ac:dyDescent="0.3">
      <c r="A11" s="42"/>
      <c r="B11" s="79">
        <v>1</v>
      </c>
      <c r="C11" s="98" t="s">
        <v>81</v>
      </c>
      <c r="D11" s="99">
        <v>2</v>
      </c>
      <c r="E11" s="83">
        <v>2</v>
      </c>
      <c r="F11" s="74">
        <f t="shared" ref="F11:F25" si="0">E11*D11</f>
        <v>4</v>
      </c>
      <c r="H11" s="9"/>
      <c r="I11" s="9"/>
      <c r="J11" s="13"/>
      <c r="K11" s="21" t="s">
        <v>1</v>
      </c>
      <c r="L11" s="22">
        <f>D2</f>
        <v>718</v>
      </c>
      <c r="M11" s="23"/>
      <c r="N11" s="24"/>
      <c r="O11" s="25"/>
      <c r="P11" s="53" t="s">
        <v>1</v>
      </c>
      <c r="Q11" s="54" t="str">
        <f>SUBSTITUTE(L11," ","")</f>
        <v>718</v>
      </c>
      <c r="R11" s="55"/>
      <c r="S11" s="56" t="s">
        <v>100</v>
      </c>
      <c r="T11" s="72">
        <v>1</v>
      </c>
    </row>
    <row r="12" spans="1:20" ht="13.5" customHeight="1" thickBot="1" x14ac:dyDescent="0.3">
      <c r="A12" s="42"/>
      <c r="B12" s="79">
        <v>2</v>
      </c>
      <c r="C12" s="100" t="s">
        <v>95</v>
      </c>
      <c r="D12" s="101">
        <v>1</v>
      </c>
      <c r="E12" s="78">
        <v>1</v>
      </c>
      <c r="F12" s="74">
        <f>E12*D12</f>
        <v>1</v>
      </c>
      <c r="H12" s="9"/>
      <c r="I12" s="9"/>
      <c r="J12" s="13"/>
      <c r="K12" s="21"/>
      <c r="L12" s="22"/>
      <c r="M12" s="23"/>
      <c r="N12" s="24"/>
      <c r="O12" s="25"/>
      <c r="P12" s="53" t="s">
        <v>68</v>
      </c>
      <c r="Q12" s="57">
        <f ca="1">L25</f>
        <v>44381</v>
      </c>
      <c r="R12" s="55"/>
      <c r="S12" s="56" t="s">
        <v>209</v>
      </c>
      <c r="T12" s="72">
        <v>2</v>
      </c>
    </row>
    <row r="13" spans="1:20" ht="13.5" customHeight="1" thickBot="1" x14ac:dyDescent="0.3">
      <c r="A13" s="42"/>
      <c r="B13" s="79">
        <v>3</v>
      </c>
      <c r="C13" s="100" t="s">
        <v>89</v>
      </c>
      <c r="D13" s="101">
        <v>3</v>
      </c>
      <c r="E13" s="78">
        <v>1</v>
      </c>
      <c r="F13" s="74">
        <f>E13*D13</f>
        <v>3</v>
      </c>
      <c r="H13" s="9"/>
      <c r="I13" s="9"/>
      <c r="J13" s="13"/>
      <c r="K13" s="21"/>
      <c r="L13" s="22"/>
      <c r="M13" s="23"/>
      <c r="N13" s="24"/>
      <c r="O13" s="25"/>
      <c r="P13" s="53" t="s">
        <v>69</v>
      </c>
      <c r="Q13" s="58">
        <f ca="1">NOW()</f>
        <v>44381.925220717596</v>
      </c>
      <c r="R13" s="55"/>
      <c r="S13" s="56" t="s">
        <v>3021</v>
      </c>
      <c r="T13" s="72">
        <v>3</v>
      </c>
    </row>
    <row r="14" spans="1:20" ht="13.5" customHeight="1" thickBot="1" x14ac:dyDescent="0.3">
      <c r="A14" s="42"/>
      <c r="B14" s="79">
        <v>4</v>
      </c>
      <c r="C14" s="100" t="s">
        <v>93</v>
      </c>
      <c r="D14" s="101">
        <v>3</v>
      </c>
      <c r="E14" s="78">
        <v>2</v>
      </c>
      <c r="F14" s="74">
        <f t="shared" si="0"/>
        <v>6</v>
      </c>
      <c r="H14" s="9"/>
      <c r="I14" s="9"/>
      <c r="J14" s="13"/>
      <c r="K14" s="21"/>
      <c r="L14" s="22"/>
      <c r="M14" s="22" t="s">
        <v>61</v>
      </c>
      <c r="N14" s="23"/>
      <c r="O14" s="25"/>
      <c r="P14" s="53"/>
      <c r="Q14" s="54"/>
      <c r="R14" s="55"/>
      <c r="S14" s="56" t="s">
        <v>359</v>
      </c>
      <c r="T14" s="72">
        <v>4</v>
      </c>
    </row>
    <row r="15" spans="1:20" ht="13.5" customHeight="1" thickBot="1" x14ac:dyDescent="0.3">
      <c r="A15" s="42"/>
      <c r="B15" s="79">
        <v>5</v>
      </c>
      <c r="C15" s="102" t="s">
        <v>92</v>
      </c>
      <c r="D15" s="101">
        <v>3</v>
      </c>
      <c r="E15" s="78">
        <v>1</v>
      </c>
      <c r="F15" s="74">
        <f>E15*D15</f>
        <v>3</v>
      </c>
      <c r="H15" s="9"/>
      <c r="I15" s="9"/>
      <c r="J15" s="13"/>
      <c r="K15" s="21" t="s">
        <v>5</v>
      </c>
      <c r="L15" s="22" t="str">
        <f>D4</f>
        <v>ARTIKBAEVA</v>
      </c>
      <c r="M15" s="22" t="str">
        <f>UPPER(L15)</f>
        <v>ARTIKBAEVA</v>
      </c>
      <c r="N15" s="23"/>
      <c r="O15" s="25"/>
      <c r="P15" s="53" t="s">
        <v>5</v>
      </c>
      <c r="Q15" s="54" t="str">
        <f>SUBSTITUTE(M15," ","")</f>
        <v>ARTIKBAEVA</v>
      </c>
      <c r="R15" s="55"/>
      <c r="S15" s="56" t="s">
        <v>95</v>
      </c>
      <c r="T15" s="72">
        <v>5</v>
      </c>
    </row>
    <row r="16" spans="1:20" ht="13.5" customHeight="1" thickBot="1" x14ac:dyDescent="0.3">
      <c r="A16" s="42"/>
      <c r="B16" s="79">
        <v>6</v>
      </c>
      <c r="C16" s="100"/>
      <c r="D16" s="101"/>
      <c r="E16" s="78"/>
      <c r="F16" s="74">
        <f t="shared" si="0"/>
        <v>0</v>
      </c>
      <c r="H16" s="9"/>
      <c r="I16" s="9"/>
      <c r="J16" s="13"/>
      <c r="K16" s="21" t="s">
        <v>4</v>
      </c>
      <c r="L16" s="22" t="str">
        <f>D5</f>
        <v>MUHABBAT</v>
      </c>
      <c r="M16" s="22" t="str">
        <f>UPPER(L16)</f>
        <v>MUHABBAT</v>
      </c>
      <c r="N16" s="23"/>
      <c r="O16" s="25"/>
      <c r="P16" s="53" t="s">
        <v>4</v>
      </c>
      <c r="Q16" s="54" t="str">
        <f>SUBSTITUTE(M16," ","")</f>
        <v>MUHABBAT</v>
      </c>
      <c r="R16" s="55"/>
      <c r="S16" s="56" t="s">
        <v>81</v>
      </c>
      <c r="T16" s="72">
        <v>6</v>
      </c>
    </row>
    <row r="17" spans="1:20" ht="13.5" customHeight="1" thickBot="1" x14ac:dyDescent="0.3">
      <c r="A17" s="42"/>
      <c r="B17" s="79">
        <v>7</v>
      </c>
      <c r="C17" s="102"/>
      <c r="D17" s="101"/>
      <c r="E17" s="78"/>
      <c r="F17" s="74">
        <f t="shared" si="0"/>
        <v>0</v>
      </c>
      <c r="H17" s="32"/>
      <c r="J17" s="13"/>
      <c r="K17" s="21" t="s">
        <v>6</v>
      </c>
      <c r="L17" s="22" t="str">
        <f>D6</f>
        <v>AA</v>
      </c>
      <c r="M17" s="22" t="str">
        <f>UPPER(L17)</f>
        <v>AA</v>
      </c>
      <c r="N17" s="23"/>
      <c r="O17" s="25"/>
      <c r="P17" s="53" t="s">
        <v>6</v>
      </c>
      <c r="Q17" s="54" t="str">
        <f>SUBSTITUTE(M17," ","")</f>
        <v>AA</v>
      </c>
      <c r="R17" s="55"/>
      <c r="S17" s="56" t="s">
        <v>89</v>
      </c>
      <c r="T17" s="72">
        <v>7</v>
      </c>
    </row>
    <row r="18" spans="1:20" ht="13.5" customHeight="1" thickBot="1" x14ac:dyDescent="0.3">
      <c r="A18" s="42"/>
      <c r="B18" s="79">
        <v>8</v>
      </c>
      <c r="C18" s="100"/>
      <c r="D18" s="101"/>
      <c r="E18" s="78"/>
      <c r="F18" s="74">
        <f>E18*D18</f>
        <v>0</v>
      </c>
      <c r="H18" s="14"/>
      <c r="I18" s="12"/>
      <c r="J18" s="13"/>
      <c r="K18" s="21" t="s">
        <v>7</v>
      </c>
      <c r="L18" s="40">
        <f>D7</f>
        <v>0</v>
      </c>
      <c r="M18" s="23" t="s">
        <v>12</v>
      </c>
      <c r="N18" s="23" t="s">
        <v>58</v>
      </c>
      <c r="O18" s="25" t="s">
        <v>57</v>
      </c>
      <c r="P18" s="53" t="s">
        <v>7</v>
      </c>
      <c r="Q18" s="54" t="str">
        <f>SUBSTITUTE(L18," ","")</f>
        <v>0</v>
      </c>
      <c r="R18" s="55"/>
      <c r="S18" s="56" t="s">
        <v>232</v>
      </c>
      <c r="T18" s="72">
        <v>8</v>
      </c>
    </row>
    <row r="19" spans="1:20" ht="13.5" customHeight="1" thickBot="1" x14ac:dyDescent="0.3">
      <c r="A19" s="42"/>
      <c r="B19" s="79">
        <v>9</v>
      </c>
      <c r="C19" s="100"/>
      <c r="D19" s="101"/>
      <c r="E19" s="78"/>
      <c r="F19" s="74">
        <f t="shared" si="0"/>
        <v>0</v>
      </c>
      <c r="H19" s="14"/>
      <c r="I19" s="12"/>
      <c r="J19" s="13"/>
      <c r="K19" s="21" t="s">
        <v>8</v>
      </c>
      <c r="L19" s="22" t="str">
        <f>D8</f>
        <v>TOSHKENT</v>
      </c>
      <c r="M19" s="22">
        <f>VLOOKUP(L19,K44:L57,2,0)</f>
        <v>727</v>
      </c>
      <c r="N19" s="22" t="str">
        <f ca="1">M19&amp;O19</f>
        <v>7271</v>
      </c>
      <c r="O19" s="26">
        <f ca="1">RANDBETWEEN(1,8)</f>
        <v>1</v>
      </c>
      <c r="P19" s="53" t="s">
        <v>8</v>
      </c>
      <c r="Q19" s="54">
        <f>M19</f>
        <v>727</v>
      </c>
      <c r="R19" s="55"/>
      <c r="S19" s="56" t="s">
        <v>90</v>
      </c>
      <c r="T19" s="72">
        <v>9</v>
      </c>
    </row>
    <row r="20" spans="1:20" ht="13.5" customHeight="1" thickBot="1" x14ac:dyDescent="0.35">
      <c r="A20" s="42"/>
      <c r="B20" s="79">
        <v>10</v>
      </c>
      <c r="C20" s="100"/>
      <c r="D20" s="101"/>
      <c r="E20" s="78"/>
      <c r="F20" s="74">
        <f t="shared" si="0"/>
        <v>0</v>
      </c>
      <c r="J20" s="17"/>
      <c r="K20" s="16" t="s">
        <v>9</v>
      </c>
      <c r="L20" s="27" t="str">
        <f>D8&amp;" VILOYATI"</f>
        <v>TOSHKENT VILOYATI</v>
      </c>
      <c r="M20" s="23"/>
      <c r="N20" s="23"/>
      <c r="O20" s="25"/>
      <c r="P20" s="56" t="s">
        <v>64</v>
      </c>
      <c r="Q20" s="54" t="str">
        <f ca="1">N19</f>
        <v>7271</v>
      </c>
      <c r="R20" s="55"/>
      <c r="S20" s="56" t="s">
        <v>102</v>
      </c>
      <c r="T20" s="72">
        <v>10</v>
      </c>
    </row>
    <row r="21" spans="1:20" ht="13.5" customHeight="1" thickBot="1" x14ac:dyDescent="0.35">
      <c r="A21" s="42"/>
      <c r="B21" s="79">
        <v>11</v>
      </c>
      <c r="C21" s="100"/>
      <c r="D21" s="101"/>
      <c r="E21" s="78"/>
      <c r="F21" s="74">
        <f t="shared" si="0"/>
        <v>0</v>
      </c>
      <c r="J21" s="17"/>
      <c r="K21" s="16"/>
      <c r="L21" s="27"/>
      <c r="M21" s="23"/>
      <c r="N21" s="23"/>
      <c r="O21" s="23"/>
      <c r="P21" s="56" t="s">
        <v>9</v>
      </c>
      <c r="Q21" s="54" t="str">
        <f>L20</f>
        <v>TOSHKENT VILOYATI</v>
      </c>
      <c r="R21" s="55"/>
      <c r="S21" s="56" t="s">
        <v>102</v>
      </c>
      <c r="T21" s="72">
        <v>11</v>
      </c>
    </row>
    <row r="22" spans="1:20" ht="13.5" customHeight="1" thickBot="1" x14ac:dyDescent="0.35">
      <c r="A22" s="42"/>
      <c r="B22" s="79">
        <v>12</v>
      </c>
      <c r="C22" s="100"/>
      <c r="D22" s="101"/>
      <c r="E22" s="78"/>
      <c r="F22" s="74">
        <f t="shared" si="0"/>
        <v>0</v>
      </c>
      <c r="J22" s="18"/>
      <c r="K22" s="16"/>
      <c r="L22" s="27"/>
      <c r="M22" s="23"/>
      <c r="N22" s="23"/>
      <c r="O22" s="23"/>
      <c r="P22" s="56"/>
      <c r="Q22" s="54"/>
      <c r="R22" s="55"/>
      <c r="S22" s="56" t="s">
        <v>92</v>
      </c>
      <c r="T22" s="72">
        <v>12</v>
      </c>
    </row>
    <row r="23" spans="1:20" ht="13.5" customHeight="1" thickBot="1" x14ac:dyDescent="0.35">
      <c r="A23" s="43"/>
      <c r="B23" s="79">
        <v>13</v>
      </c>
      <c r="C23" s="100"/>
      <c r="D23" s="101"/>
      <c r="E23" s="78"/>
      <c r="F23" s="74">
        <f t="shared" si="0"/>
        <v>0</v>
      </c>
      <c r="J23" s="17"/>
      <c r="K23" s="16"/>
      <c r="L23" s="27"/>
      <c r="M23" s="23"/>
      <c r="N23" s="23"/>
      <c r="O23" s="23"/>
      <c r="P23" s="56" t="s">
        <v>2</v>
      </c>
      <c r="Q23" s="54"/>
      <c r="R23" s="55"/>
      <c r="S23" s="56" t="s">
        <v>96</v>
      </c>
      <c r="T23" s="72">
        <v>13</v>
      </c>
    </row>
    <row r="24" spans="1:20" ht="13.5" customHeight="1" thickBot="1" x14ac:dyDescent="0.35">
      <c r="A24" s="43"/>
      <c r="B24" s="79">
        <v>14</v>
      </c>
      <c r="C24" s="100"/>
      <c r="D24" s="101"/>
      <c r="E24" s="78"/>
      <c r="F24" s="74">
        <f t="shared" si="0"/>
        <v>0</v>
      </c>
      <c r="J24" s="17"/>
      <c r="K24" s="16"/>
      <c r="L24" s="27"/>
      <c r="M24" s="23"/>
      <c r="N24" s="23"/>
      <c r="O24" s="23"/>
      <c r="P24" s="56"/>
      <c r="Q24" s="54"/>
      <c r="R24" s="55"/>
      <c r="S24" s="56" t="s">
        <v>82</v>
      </c>
      <c r="T24" s="72">
        <v>14</v>
      </c>
    </row>
    <row r="25" spans="1:20" ht="12.75" customHeight="1" thickBot="1" x14ac:dyDescent="0.35">
      <c r="A25" s="42"/>
      <c r="B25" s="79">
        <v>15</v>
      </c>
      <c r="C25" s="100"/>
      <c r="D25" s="101"/>
      <c r="E25" s="80"/>
      <c r="F25" s="74">
        <f t="shared" si="0"/>
        <v>0</v>
      </c>
      <c r="J25" s="17"/>
      <c r="K25" s="16" t="s">
        <v>68</v>
      </c>
      <c r="L25" s="31">
        <f ca="1">TODAY()</f>
        <v>44381</v>
      </c>
      <c r="M25" s="23"/>
      <c r="N25" s="23"/>
      <c r="O25" s="23"/>
      <c r="P25" s="56" t="s">
        <v>65</v>
      </c>
      <c r="Q25" s="54">
        <f>N31*L31</f>
        <v>5</v>
      </c>
      <c r="R25" s="55"/>
      <c r="S25" s="56" t="s">
        <v>87</v>
      </c>
      <c r="T25" s="72">
        <v>15</v>
      </c>
    </row>
    <row r="26" spans="1:20" ht="13.5" customHeight="1" thickBot="1" x14ac:dyDescent="0.35">
      <c r="A26" s="42"/>
      <c r="B26" s="79">
        <v>16</v>
      </c>
      <c r="C26" s="100"/>
      <c r="D26" s="101"/>
      <c r="E26" s="81"/>
      <c r="F26" s="74">
        <f>E26*D26</f>
        <v>0</v>
      </c>
      <c r="J26" s="17"/>
      <c r="K26" s="16"/>
      <c r="L26" s="27"/>
      <c r="M26" s="23"/>
      <c r="N26" s="23"/>
      <c r="O26" s="23"/>
      <c r="P26" s="56"/>
      <c r="Q26" s="54"/>
      <c r="R26" s="55"/>
      <c r="S26" s="56" t="s">
        <v>103</v>
      </c>
      <c r="T26" s="72">
        <v>16</v>
      </c>
    </row>
    <row r="27" spans="1:20" ht="13.5" customHeight="1" thickBot="1" x14ac:dyDescent="0.35">
      <c r="A27" s="43"/>
      <c r="B27" s="79">
        <v>17</v>
      </c>
      <c r="C27" s="100"/>
      <c r="D27" s="101"/>
      <c r="E27" s="76"/>
      <c r="F27" s="74">
        <f>E27*D27</f>
        <v>0</v>
      </c>
      <c r="J27" s="17"/>
      <c r="K27" s="16" t="s">
        <v>3</v>
      </c>
      <c r="L27" s="27"/>
      <c r="M27" s="23"/>
      <c r="N27" s="23"/>
      <c r="O27" s="23"/>
      <c r="P27" s="56" t="s">
        <v>66</v>
      </c>
      <c r="Q27" s="54">
        <f>F41</f>
        <v>17</v>
      </c>
      <c r="R27" s="55"/>
      <c r="S27" s="56" t="s">
        <v>86</v>
      </c>
      <c r="T27" s="72">
        <v>17</v>
      </c>
    </row>
    <row r="28" spans="1:20" ht="15.75" customHeight="1" x14ac:dyDescent="0.3">
      <c r="A28" s="43"/>
      <c r="B28" s="79">
        <v>18</v>
      </c>
      <c r="C28" s="76"/>
      <c r="D28" s="76"/>
      <c r="E28" s="76"/>
      <c r="F28" s="74">
        <f t="shared" ref="F28:F40" si="1">E28*D28</f>
        <v>0</v>
      </c>
      <c r="J28" s="17"/>
      <c r="K28" s="16"/>
      <c r="L28" s="27"/>
      <c r="M28" s="23"/>
      <c r="N28" s="23"/>
      <c r="O28" s="23"/>
      <c r="P28" s="56"/>
      <c r="Q28" s="54"/>
      <c r="R28" s="55"/>
      <c r="S28" s="56" t="s">
        <v>94</v>
      </c>
      <c r="T28" s="72">
        <v>18</v>
      </c>
    </row>
    <row r="29" spans="1:20" ht="13.5" customHeight="1" x14ac:dyDescent="0.3">
      <c r="A29" s="42"/>
      <c r="B29" s="79">
        <v>19</v>
      </c>
      <c r="C29" s="77"/>
      <c r="D29" s="77"/>
      <c r="E29" s="77"/>
      <c r="F29" s="74">
        <f t="shared" si="1"/>
        <v>0</v>
      </c>
      <c r="J29" s="17"/>
      <c r="K29" s="16" t="s">
        <v>2</v>
      </c>
      <c r="L29" s="27">
        <f>D10</f>
        <v>5</v>
      </c>
      <c r="M29" s="23"/>
      <c r="N29" s="23"/>
      <c r="O29" s="23"/>
      <c r="P29" s="56"/>
      <c r="Q29" s="54"/>
      <c r="R29" s="55"/>
      <c r="S29" s="56" t="s">
        <v>97</v>
      </c>
      <c r="T29" s="72">
        <v>19</v>
      </c>
    </row>
    <row r="30" spans="1:20" ht="13.5" customHeight="1" x14ac:dyDescent="0.3">
      <c r="A30" s="42"/>
      <c r="B30" s="79">
        <v>20</v>
      </c>
      <c r="C30" s="77"/>
      <c r="D30" s="77"/>
      <c r="E30" s="77"/>
      <c r="F30" s="74">
        <f>E30*D30</f>
        <v>0</v>
      </c>
      <c r="J30" s="17"/>
      <c r="K30" s="16"/>
      <c r="L30" s="27"/>
      <c r="M30" s="23"/>
      <c r="N30" s="23"/>
      <c r="O30" s="23"/>
      <c r="P30" s="56"/>
      <c r="Q30" s="54"/>
      <c r="R30" s="55"/>
      <c r="S30" s="56" t="s">
        <v>88</v>
      </c>
      <c r="T30" s="72">
        <v>20</v>
      </c>
    </row>
    <row r="31" spans="1:20" ht="13.5" customHeight="1" x14ac:dyDescent="0.25">
      <c r="A31" s="42"/>
      <c r="B31" s="74">
        <v>21</v>
      </c>
      <c r="C31" s="77"/>
      <c r="D31" s="77"/>
      <c r="E31" s="77"/>
      <c r="F31" s="74">
        <f t="shared" si="1"/>
        <v>0</v>
      </c>
      <c r="K31" s="16" t="s">
        <v>59</v>
      </c>
      <c r="L31" s="27">
        <f>COUNTA(C11:C40)</f>
        <v>5</v>
      </c>
      <c r="M31" s="28">
        <f>L29/L31</f>
        <v>1</v>
      </c>
      <c r="N31" s="22">
        <f>ROUND(M31,2)</f>
        <v>1</v>
      </c>
      <c r="O31" s="23"/>
      <c r="P31" s="56"/>
      <c r="Q31" s="54"/>
      <c r="R31" s="55"/>
      <c r="S31" s="56" t="s">
        <v>84</v>
      </c>
      <c r="T31" s="72">
        <v>21</v>
      </c>
    </row>
    <row r="32" spans="1:20" ht="13.5" customHeight="1" x14ac:dyDescent="0.25">
      <c r="A32" s="42"/>
      <c r="B32" s="74">
        <v>22</v>
      </c>
      <c r="C32" s="77"/>
      <c r="D32" s="77"/>
      <c r="E32" s="77"/>
      <c r="F32" s="74">
        <f t="shared" si="1"/>
        <v>0</v>
      </c>
      <c r="K32" s="16"/>
      <c r="L32" s="27"/>
      <c r="M32" s="23"/>
      <c r="N32" s="23"/>
      <c r="O32" s="23"/>
      <c r="P32" s="56"/>
      <c r="Q32" s="54"/>
      <c r="R32" s="55"/>
      <c r="S32" s="56" t="s">
        <v>104</v>
      </c>
      <c r="T32" s="72">
        <v>22</v>
      </c>
    </row>
    <row r="33" spans="1:20" ht="13.5" customHeight="1" x14ac:dyDescent="0.25">
      <c r="A33" s="42"/>
      <c r="B33" s="74">
        <v>23</v>
      </c>
      <c r="C33" s="77"/>
      <c r="D33" s="77"/>
      <c r="E33" s="77"/>
      <c r="F33" s="74">
        <f t="shared" si="1"/>
        <v>0</v>
      </c>
      <c r="K33" s="16" t="s">
        <v>60</v>
      </c>
      <c r="L33" s="27">
        <f>N31*L31</f>
        <v>5</v>
      </c>
      <c r="M33" s="23"/>
      <c r="N33" s="23"/>
      <c r="O33" s="23"/>
      <c r="P33" s="56"/>
      <c r="Q33" s="54"/>
      <c r="R33" s="55"/>
      <c r="S33" s="59" t="s">
        <v>91</v>
      </c>
      <c r="T33" s="72">
        <v>23</v>
      </c>
    </row>
    <row r="34" spans="1:20" ht="13.5" customHeight="1" x14ac:dyDescent="0.25">
      <c r="A34" s="42"/>
      <c r="B34" s="45">
        <v>24</v>
      </c>
      <c r="C34" s="52"/>
      <c r="D34" s="52"/>
      <c r="E34" s="52"/>
      <c r="F34" s="45">
        <f>E34*D34</f>
        <v>0</v>
      </c>
      <c r="K34" s="16"/>
      <c r="L34" s="29"/>
      <c r="M34" s="20"/>
      <c r="N34" s="20"/>
      <c r="O34" s="20"/>
      <c r="P34" s="56"/>
      <c r="Q34" s="54"/>
      <c r="R34" s="55"/>
      <c r="S34" s="59" t="s">
        <v>79</v>
      </c>
      <c r="T34" s="72">
        <v>24</v>
      </c>
    </row>
    <row r="35" spans="1:20" ht="13.5" customHeight="1" x14ac:dyDescent="0.25">
      <c r="A35" s="42"/>
      <c r="B35" s="45">
        <v>25</v>
      </c>
      <c r="C35" s="52"/>
      <c r="D35" s="52"/>
      <c r="E35" s="52"/>
      <c r="F35" s="45">
        <f t="shared" si="1"/>
        <v>0</v>
      </c>
      <c r="K35" s="16" t="s">
        <v>62</v>
      </c>
      <c r="L35" s="29">
        <f>I15</f>
        <v>0</v>
      </c>
      <c r="M35" s="20"/>
      <c r="N35" s="20"/>
      <c r="O35" s="20"/>
      <c r="P35" s="56"/>
      <c r="Q35" s="54"/>
      <c r="R35" s="55"/>
      <c r="S35" s="56" t="s">
        <v>85</v>
      </c>
      <c r="T35" s="72">
        <v>25</v>
      </c>
    </row>
    <row r="36" spans="1:20" ht="13.5" customHeight="1" x14ac:dyDescent="0.25">
      <c r="A36" s="42"/>
      <c r="B36" s="45">
        <v>26</v>
      </c>
      <c r="C36" s="52"/>
      <c r="D36" s="52"/>
      <c r="E36" s="52"/>
      <c r="F36" s="45">
        <f t="shared" si="1"/>
        <v>0</v>
      </c>
      <c r="K36" s="16"/>
      <c r="L36" s="29"/>
      <c r="M36" s="20"/>
      <c r="N36" s="20"/>
      <c r="O36" s="20"/>
      <c r="P36" s="60"/>
      <c r="Q36" s="61"/>
      <c r="R36" s="55"/>
      <c r="S36" s="56" t="s">
        <v>231</v>
      </c>
      <c r="T36" s="72">
        <v>26</v>
      </c>
    </row>
    <row r="37" spans="1:20" ht="13.5" customHeight="1" x14ac:dyDescent="0.25">
      <c r="A37" s="42"/>
      <c r="B37" s="45">
        <v>27</v>
      </c>
      <c r="C37" s="52"/>
      <c r="D37" s="52"/>
      <c r="E37" s="52"/>
      <c r="F37" s="45">
        <f t="shared" si="1"/>
        <v>0</v>
      </c>
      <c r="K37" s="16"/>
      <c r="L37" s="36"/>
      <c r="M37" s="19"/>
      <c r="N37" s="19"/>
      <c r="O37" s="19"/>
      <c r="P37" s="62"/>
      <c r="Q37" s="61"/>
      <c r="R37" s="55"/>
      <c r="S37" s="59" t="s">
        <v>101</v>
      </c>
      <c r="T37" s="72">
        <v>27</v>
      </c>
    </row>
    <row r="38" spans="1:20" ht="13.5" customHeight="1" x14ac:dyDescent="0.25">
      <c r="A38" s="42"/>
      <c r="B38" s="45">
        <v>28</v>
      </c>
      <c r="C38" s="52"/>
      <c r="D38" s="52"/>
      <c r="E38" s="52"/>
      <c r="F38" s="45">
        <f t="shared" si="1"/>
        <v>0</v>
      </c>
      <c r="K38" s="16"/>
      <c r="L38" s="29"/>
      <c r="M38" s="19"/>
      <c r="N38" s="19"/>
      <c r="O38" s="19"/>
      <c r="P38" s="62"/>
      <c r="Q38" s="61"/>
      <c r="R38" s="55"/>
      <c r="S38" s="59" t="s">
        <v>83</v>
      </c>
      <c r="T38" s="72">
        <v>28</v>
      </c>
    </row>
    <row r="39" spans="1:20" ht="13.5" customHeight="1" x14ac:dyDescent="0.25">
      <c r="A39" s="42"/>
      <c r="B39" s="45">
        <v>29</v>
      </c>
      <c r="C39" s="52"/>
      <c r="D39" s="52"/>
      <c r="E39" s="52"/>
      <c r="F39" s="45">
        <f t="shared" si="1"/>
        <v>0</v>
      </c>
      <c r="K39" s="16"/>
      <c r="L39" s="29"/>
      <c r="M39" s="19"/>
      <c r="N39" s="19"/>
      <c r="O39" s="19"/>
      <c r="P39" s="62"/>
      <c r="Q39" s="61"/>
      <c r="R39" s="55"/>
      <c r="S39" s="56" t="s">
        <v>80</v>
      </c>
      <c r="T39" s="72">
        <v>29</v>
      </c>
    </row>
    <row r="40" spans="1:20" ht="13.5" customHeight="1" x14ac:dyDescent="0.25">
      <c r="A40" s="42"/>
      <c r="B40" s="45">
        <v>30</v>
      </c>
      <c r="C40" s="52"/>
      <c r="D40" s="52"/>
      <c r="E40" s="52"/>
      <c r="F40" s="45">
        <f t="shared" si="1"/>
        <v>0</v>
      </c>
      <c r="K40" s="16"/>
      <c r="L40" s="29"/>
      <c r="M40" s="19"/>
      <c r="N40" s="19"/>
      <c r="O40" s="19"/>
      <c r="P40" s="62"/>
      <c r="Q40" s="61"/>
      <c r="R40" s="55"/>
      <c r="S40" s="56" t="s">
        <v>96</v>
      </c>
      <c r="T40" s="72">
        <v>30</v>
      </c>
    </row>
    <row r="41" spans="1:20" ht="15.75" customHeight="1" x14ac:dyDescent="0.25">
      <c r="A41" s="42"/>
      <c r="B41" s="46"/>
      <c r="C41" s="46"/>
      <c r="D41" s="46">
        <f>D10</f>
        <v>5</v>
      </c>
      <c r="E41" s="46"/>
      <c r="F41" s="46">
        <f>SUM(F11:F40)</f>
        <v>17</v>
      </c>
      <c r="K41" s="16" t="s">
        <v>98</v>
      </c>
      <c r="L41" s="29">
        <f>D9</f>
        <v>0</v>
      </c>
      <c r="M41" s="19"/>
      <c r="N41" s="19"/>
      <c r="O41" s="19"/>
      <c r="P41" s="62"/>
      <c r="Q41" s="61"/>
      <c r="R41" s="55"/>
      <c r="S41" s="56" t="s">
        <v>93</v>
      </c>
      <c r="T41" s="72">
        <v>31</v>
      </c>
    </row>
    <row r="42" spans="1:20" x14ac:dyDescent="0.25">
      <c r="A42" s="42"/>
      <c r="B42" s="15"/>
      <c r="K42" s="30"/>
      <c r="L42" s="29"/>
      <c r="M42" s="19"/>
      <c r="N42" s="19"/>
      <c r="O42" s="19"/>
      <c r="P42" s="62"/>
      <c r="Q42" s="61"/>
      <c r="R42" s="55"/>
      <c r="S42" s="56" t="s">
        <v>78</v>
      </c>
      <c r="T42" s="72">
        <v>32</v>
      </c>
    </row>
    <row r="43" spans="1:20" x14ac:dyDescent="0.25">
      <c r="A43" s="42"/>
      <c r="B43" s="15"/>
      <c r="K43" s="16"/>
      <c r="L43" s="29"/>
      <c r="M43" s="19"/>
      <c r="N43" s="19"/>
      <c r="O43" s="19"/>
      <c r="P43" s="62"/>
      <c r="Q43" s="61"/>
      <c r="R43" s="55"/>
      <c r="S43" s="56" t="s">
        <v>106</v>
      </c>
      <c r="T43" s="72">
        <v>33</v>
      </c>
    </row>
    <row r="44" spans="1:20" x14ac:dyDescent="0.25">
      <c r="A44" s="42"/>
      <c r="K44" s="16" t="s">
        <v>13</v>
      </c>
      <c r="L44" s="29">
        <v>703</v>
      </c>
      <c r="M44" s="19"/>
      <c r="N44" s="19"/>
      <c r="O44" s="19"/>
      <c r="P44" s="62"/>
      <c r="Q44" s="61"/>
      <c r="R44" s="55"/>
      <c r="S44" s="56" t="s">
        <v>90</v>
      </c>
      <c r="T44" s="72">
        <v>34</v>
      </c>
    </row>
    <row r="45" spans="1:20" x14ac:dyDescent="0.25">
      <c r="A45" s="42"/>
      <c r="K45" s="16" t="s">
        <v>14</v>
      </c>
      <c r="L45" s="29">
        <v>706</v>
      </c>
      <c r="M45" s="19"/>
      <c r="N45" s="19"/>
      <c r="O45" s="19"/>
      <c r="P45" s="62"/>
      <c r="Q45" s="61"/>
      <c r="R45" s="55"/>
      <c r="S45" s="56" t="s">
        <v>99</v>
      </c>
      <c r="T45" s="72">
        <v>35</v>
      </c>
    </row>
    <row r="46" spans="1:20" x14ac:dyDescent="0.25">
      <c r="A46" s="42"/>
      <c r="K46" s="16" t="s">
        <v>15</v>
      </c>
      <c r="L46" s="29">
        <v>708</v>
      </c>
      <c r="M46" s="19"/>
      <c r="N46" s="19"/>
      <c r="O46" s="19"/>
      <c r="P46" s="62"/>
      <c r="Q46" s="61"/>
      <c r="R46" s="55"/>
      <c r="S46" s="56" t="s">
        <v>2915</v>
      </c>
      <c r="T46" s="72">
        <v>36</v>
      </c>
    </row>
    <row r="47" spans="1:20" x14ac:dyDescent="0.25">
      <c r="A47" s="42"/>
      <c r="K47" s="16" t="s">
        <v>16</v>
      </c>
      <c r="L47" s="29">
        <v>710</v>
      </c>
    </row>
    <row r="48" spans="1:20" x14ac:dyDescent="0.25">
      <c r="A48" s="42"/>
      <c r="K48" s="16" t="s">
        <v>17</v>
      </c>
      <c r="L48" s="29">
        <v>712</v>
      </c>
    </row>
    <row r="49" spans="1:12" x14ac:dyDescent="0.25">
      <c r="A49" s="42"/>
      <c r="K49" s="16" t="s">
        <v>18</v>
      </c>
      <c r="L49" s="29">
        <v>714</v>
      </c>
    </row>
    <row r="50" spans="1:12" x14ac:dyDescent="0.25">
      <c r="A50" s="42"/>
      <c r="K50" s="16" t="s">
        <v>10</v>
      </c>
      <c r="L50" s="29">
        <v>718</v>
      </c>
    </row>
    <row r="51" spans="1:12" x14ac:dyDescent="0.25">
      <c r="A51" s="43"/>
      <c r="K51" s="16" t="s">
        <v>19</v>
      </c>
      <c r="L51" s="29">
        <v>722</v>
      </c>
    </row>
    <row r="52" spans="1:12" x14ac:dyDescent="0.25">
      <c r="A52" s="43"/>
      <c r="K52" s="16" t="s">
        <v>20</v>
      </c>
      <c r="L52" s="29">
        <v>724</v>
      </c>
    </row>
    <row r="53" spans="1:12" x14ac:dyDescent="0.25">
      <c r="A53" s="42"/>
      <c r="K53" s="16" t="s">
        <v>72</v>
      </c>
      <c r="L53" s="29">
        <v>726</v>
      </c>
    </row>
    <row r="54" spans="1:12" x14ac:dyDescent="0.25">
      <c r="A54" s="42"/>
      <c r="K54" s="16" t="s">
        <v>73</v>
      </c>
      <c r="L54" s="29">
        <v>727</v>
      </c>
    </row>
    <row r="55" spans="1:12" x14ac:dyDescent="0.25">
      <c r="A55" s="43"/>
      <c r="K55" s="16" t="s">
        <v>21</v>
      </c>
      <c r="L55" s="29">
        <v>730</v>
      </c>
    </row>
    <row r="56" spans="1:12" x14ac:dyDescent="0.25">
      <c r="A56" s="43"/>
      <c r="K56" s="16" t="s">
        <v>22</v>
      </c>
      <c r="L56" s="29">
        <v>733</v>
      </c>
    </row>
    <row r="57" spans="1:12" x14ac:dyDescent="0.25">
      <c r="A57" s="42"/>
      <c r="K57" s="16" t="s">
        <v>23</v>
      </c>
      <c r="L57" s="29">
        <v>735</v>
      </c>
    </row>
    <row r="58" spans="1:12" x14ac:dyDescent="0.25">
      <c r="A58" s="42"/>
      <c r="K58" s="6"/>
      <c r="L58" s="48"/>
    </row>
    <row r="59" spans="1:12" x14ac:dyDescent="0.25">
      <c r="A59" s="42"/>
      <c r="K59" s="6"/>
      <c r="L59" s="51"/>
    </row>
    <row r="60" spans="1:12" x14ac:dyDescent="0.25">
      <c r="A60" s="42"/>
      <c r="K60" s="6"/>
      <c r="L60" s="51"/>
    </row>
    <row r="61" spans="1:12" x14ac:dyDescent="0.25">
      <c r="A61" s="42"/>
      <c r="K61" s="6"/>
      <c r="L61" s="51"/>
    </row>
    <row r="62" spans="1:12" x14ac:dyDescent="0.25">
      <c r="A62" s="42"/>
      <c r="K62" s="6"/>
      <c r="L62" s="51"/>
    </row>
    <row r="63" spans="1:12" x14ac:dyDescent="0.25">
      <c r="A63" s="42"/>
      <c r="K63" s="6"/>
      <c r="L63" s="51"/>
    </row>
    <row r="64" spans="1:12" x14ac:dyDescent="0.25">
      <c r="A64" s="42"/>
      <c r="K64" s="6"/>
      <c r="L64" s="51"/>
    </row>
    <row r="65" spans="1:12" x14ac:dyDescent="0.25">
      <c r="A65" s="42"/>
      <c r="K65" s="6"/>
      <c r="L65" s="51"/>
    </row>
    <row r="66" spans="1:12" x14ac:dyDescent="0.25">
      <c r="A66" s="42"/>
      <c r="K66" s="6"/>
      <c r="L66" s="51"/>
    </row>
    <row r="67" spans="1:12" x14ac:dyDescent="0.25">
      <c r="A67" s="42"/>
      <c r="K67" s="6"/>
      <c r="L67" s="51"/>
    </row>
    <row r="68" spans="1:12" x14ac:dyDescent="0.25">
      <c r="A68" s="42"/>
      <c r="K68" s="6"/>
      <c r="L68" s="51"/>
    </row>
    <row r="69" spans="1:12" x14ac:dyDescent="0.25">
      <c r="A69" s="42"/>
      <c r="K69" s="6"/>
      <c r="L69" s="51"/>
    </row>
    <row r="70" spans="1:12" x14ac:dyDescent="0.25">
      <c r="A70" s="42"/>
      <c r="K70" s="6"/>
      <c r="L70" s="51"/>
    </row>
    <row r="71" spans="1:12" x14ac:dyDescent="0.25">
      <c r="A71" s="42"/>
      <c r="K71" s="6"/>
      <c r="L71" s="51"/>
    </row>
    <row r="72" spans="1:12" x14ac:dyDescent="0.25">
      <c r="A72" s="42"/>
      <c r="K72" s="6"/>
      <c r="L72" s="51"/>
    </row>
    <row r="73" spans="1:12" x14ac:dyDescent="0.25">
      <c r="A73" s="42"/>
      <c r="K73" s="6"/>
      <c r="L73" s="51"/>
    </row>
    <row r="74" spans="1:12" x14ac:dyDescent="0.25">
      <c r="A74" s="42"/>
      <c r="K74" s="6"/>
      <c r="L74" s="51"/>
    </row>
    <row r="75" spans="1:12" x14ac:dyDescent="0.25">
      <c r="A75" s="42"/>
      <c r="K75" s="6"/>
      <c r="L75" s="51"/>
    </row>
    <row r="76" spans="1:12" x14ac:dyDescent="0.25">
      <c r="A76" s="42"/>
      <c r="K76" s="6"/>
      <c r="L76" s="51"/>
    </row>
    <row r="77" spans="1:12" x14ac:dyDescent="0.25">
      <c r="A77" s="42"/>
      <c r="K77" s="6"/>
      <c r="L77" s="51"/>
    </row>
    <row r="78" spans="1:12" x14ac:dyDescent="0.25">
      <c r="A78" s="42"/>
      <c r="K78" s="6"/>
      <c r="L78" s="51"/>
    </row>
    <row r="79" spans="1:12" x14ac:dyDescent="0.25">
      <c r="A79" s="43"/>
      <c r="K79" s="6"/>
      <c r="L79" s="51"/>
    </row>
    <row r="80" spans="1:12" x14ac:dyDescent="0.25">
      <c r="A80" s="43"/>
      <c r="K80" s="6"/>
      <c r="L80" s="51"/>
    </row>
    <row r="81" spans="1:12" x14ac:dyDescent="0.25">
      <c r="A81" s="42"/>
      <c r="K81" s="6"/>
      <c r="L81" s="51"/>
    </row>
    <row r="82" spans="1:12" x14ac:dyDescent="0.25">
      <c r="A82" s="42"/>
      <c r="K82" s="6"/>
      <c r="L82" s="51"/>
    </row>
    <row r="83" spans="1:12" x14ac:dyDescent="0.25">
      <c r="A83" s="43"/>
      <c r="K83" s="6"/>
      <c r="L83" s="51"/>
    </row>
    <row r="84" spans="1:12" x14ac:dyDescent="0.25">
      <c r="A84" s="43"/>
      <c r="K84" s="6"/>
      <c r="L84" s="51"/>
    </row>
    <row r="85" spans="1:12" x14ac:dyDescent="0.25">
      <c r="A85" s="42"/>
      <c r="K85" s="6"/>
      <c r="L85" s="51"/>
    </row>
    <row r="86" spans="1:12" x14ac:dyDescent="0.25">
      <c r="A86" s="42"/>
      <c r="K86" s="6"/>
      <c r="L86" s="51"/>
    </row>
    <row r="87" spans="1:12" x14ac:dyDescent="0.25">
      <c r="A87" s="42"/>
      <c r="K87" s="6"/>
      <c r="L87" s="51"/>
    </row>
    <row r="88" spans="1:12" x14ac:dyDescent="0.25">
      <c r="A88" s="42"/>
      <c r="K88" s="6"/>
      <c r="L88" s="51"/>
    </row>
    <row r="89" spans="1:12" x14ac:dyDescent="0.25">
      <c r="A89" s="42"/>
      <c r="K89" s="6"/>
      <c r="L89" s="51"/>
    </row>
    <row r="90" spans="1:12" x14ac:dyDescent="0.25">
      <c r="A90" s="42"/>
      <c r="K90" s="6"/>
      <c r="L90" s="51"/>
    </row>
    <row r="91" spans="1:12" x14ac:dyDescent="0.25">
      <c r="A91" s="42"/>
      <c r="K91" s="6"/>
      <c r="L91" s="51"/>
    </row>
    <row r="92" spans="1:12" x14ac:dyDescent="0.25">
      <c r="A92" s="42"/>
      <c r="K92" s="6"/>
      <c r="L92" s="51"/>
    </row>
    <row r="93" spans="1:12" x14ac:dyDescent="0.25">
      <c r="A93" s="42"/>
      <c r="K93" s="6"/>
      <c r="L93" s="51"/>
    </row>
    <row r="94" spans="1:12" x14ac:dyDescent="0.25">
      <c r="A94" s="42"/>
      <c r="K94" s="6"/>
      <c r="L94" s="51"/>
    </row>
    <row r="95" spans="1:12" x14ac:dyDescent="0.25">
      <c r="A95" s="42"/>
      <c r="K95" s="6"/>
      <c r="L95" s="51"/>
    </row>
    <row r="96" spans="1:12" x14ac:dyDescent="0.25">
      <c r="A96" s="42"/>
      <c r="K96" s="6"/>
      <c r="L96" s="51"/>
    </row>
    <row r="97" spans="1:12" x14ac:dyDescent="0.25">
      <c r="A97" s="42"/>
      <c r="K97" s="6"/>
      <c r="L97" s="51"/>
    </row>
    <row r="98" spans="1:12" x14ac:dyDescent="0.25">
      <c r="A98" s="42"/>
      <c r="K98" s="6"/>
      <c r="L98" s="51"/>
    </row>
    <row r="99" spans="1:12" x14ac:dyDescent="0.25">
      <c r="A99" s="42"/>
      <c r="K99" s="6"/>
      <c r="L99" s="51"/>
    </row>
    <row r="100" spans="1:12" x14ac:dyDescent="0.25">
      <c r="A100" s="42"/>
      <c r="K100" s="6"/>
      <c r="L100" s="51"/>
    </row>
    <row r="101" spans="1:12" x14ac:dyDescent="0.25">
      <c r="A101" s="42"/>
      <c r="K101" s="6"/>
      <c r="L101" s="51"/>
    </row>
    <row r="102" spans="1:12" x14ac:dyDescent="0.25">
      <c r="A102" s="42"/>
      <c r="K102" s="6"/>
      <c r="L102" s="51"/>
    </row>
    <row r="103" spans="1:12" x14ac:dyDescent="0.25">
      <c r="A103" s="42"/>
      <c r="K103" s="6"/>
      <c r="L103" s="51"/>
    </row>
    <row r="104" spans="1:12" x14ac:dyDescent="0.25">
      <c r="A104" s="42"/>
      <c r="K104" s="6"/>
      <c r="L104" s="51"/>
    </row>
    <row r="105" spans="1:12" x14ac:dyDescent="0.25">
      <c r="A105" s="42"/>
      <c r="K105" s="6"/>
      <c r="L105" s="51"/>
    </row>
    <row r="106" spans="1:12" x14ac:dyDescent="0.25">
      <c r="A106" s="42"/>
      <c r="K106" s="6"/>
      <c r="L106" s="51"/>
    </row>
    <row r="107" spans="1:12" x14ac:dyDescent="0.25">
      <c r="A107" s="43"/>
      <c r="K107" s="6"/>
      <c r="L107" s="51"/>
    </row>
    <row r="108" spans="1:12" x14ac:dyDescent="0.25">
      <c r="A108" s="43"/>
      <c r="K108" s="6"/>
      <c r="L108" s="51"/>
    </row>
    <row r="109" spans="1:12" x14ac:dyDescent="0.25">
      <c r="A109" s="42"/>
      <c r="K109" s="6"/>
      <c r="L109" s="51"/>
    </row>
    <row r="110" spans="1:12" x14ac:dyDescent="0.25">
      <c r="A110" s="42"/>
      <c r="K110" s="6"/>
      <c r="L110" s="51"/>
    </row>
    <row r="111" spans="1:12" x14ac:dyDescent="0.25">
      <c r="A111" s="43"/>
      <c r="K111" s="6"/>
      <c r="L111" s="51"/>
    </row>
    <row r="112" spans="1:12" x14ac:dyDescent="0.25">
      <c r="A112" s="43"/>
      <c r="K112" s="6"/>
      <c r="L112" s="51"/>
    </row>
    <row r="113" spans="1:12" x14ac:dyDescent="0.25">
      <c r="A113" s="42"/>
      <c r="K113" s="6"/>
      <c r="L113" s="51"/>
    </row>
    <row r="114" spans="1:12" x14ac:dyDescent="0.25">
      <c r="A114" s="42"/>
      <c r="K114" s="6"/>
      <c r="L114" s="51"/>
    </row>
    <row r="115" spans="1:12" x14ac:dyDescent="0.25">
      <c r="A115" s="42"/>
      <c r="K115" s="6"/>
      <c r="L115" s="51"/>
    </row>
    <row r="116" spans="1:12" x14ac:dyDescent="0.25">
      <c r="A116" s="42"/>
      <c r="K116" s="6"/>
      <c r="L116" s="51"/>
    </row>
    <row r="117" spans="1:12" x14ac:dyDescent="0.25">
      <c r="A117" s="42"/>
      <c r="K117" s="6"/>
      <c r="L117" s="51"/>
    </row>
    <row r="118" spans="1:12" x14ac:dyDescent="0.25">
      <c r="A118" s="42"/>
      <c r="K118" s="6"/>
      <c r="L118" s="51"/>
    </row>
    <row r="119" spans="1:12" x14ac:dyDescent="0.25">
      <c r="A119" s="42"/>
      <c r="K119" s="6"/>
      <c r="L119" s="51"/>
    </row>
    <row r="120" spans="1:12" x14ac:dyDescent="0.25">
      <c r="A120" s="42"/>
      <c r="L120" s="51"/>
    </row>
    <row r="121" spans="1:12" x14ac:dyDescent="0.25">
      <c r="A121" s="42"/>
      <c r="L121" s="51"/>
    </row>
    <row r="122" spans="1:12" x14ac:dyDescent="0.25">
      <c r="A122" s="42"/>
      <c r="L122" s="51"/>
    </row>
    <row r="123" spans="1:12" x14ac:dyDescent="0.25">
      <c r="A123" s="42"/>
      <c r="L123" s="51"/>
    </row>
    <row r="124" spans="1:12" x14ac:dyDescent="0.25">
      <c r="A124" s="42"/>
      <c r="L124" s="51"/>
    </row>
    <row r="125" spans="1:12" x14ac:dyDescent="0.25">
      <c r="A125" s="42"/>
      <c r="L125" s="51"/>
    </row>
    <row r="126" spans="1:12" x14ac:dyDescent="0.25">
      <c r="A126" s="42"/>
      <c r="L126" s="51"/>
    </row>
    <row r="127" spans="1:12" x14ac:dyDescent="0.25">
      <c r="A127" s="42"/>
      <c r="L127" s="51"/>
    </row>
    <row r="128" spans="1:12" x14ac:dyDescent="0.25">
      <c r="A128" s="42"/>
      <c r="L128" s="51"/>
    </row>
    <row r="129" spans="1:12" x14ac:dyDescent="0.25">
      <c r="A129" s="42"/>
      <c r="L129" s="51"/>
    </row>
    <row r="130" spans="1:12" x14ac:dyDescent="0.25">
      <c r="A130" s="42"/>
      <c r="L130" s="51"/>
    </row>
    <row r="131" spans="1:12" x14ac:dyDescent="0.25">
      <c r="A131" s="42"/>
      <c r="L131" s="51"/>
    </row>
    <row r="132" spans="1:12" x14ac:dyDescent="0.25">
      <c r="A132" s="42"/>
      <c r="L132" s="51"/>
    </row>
    <row r="133" spans="1:12" x14ac:dyDescent="0.25">
      <c r="A133" s="42"/>
      <c r="L133" s="51"/>
    </row>
    <row r="134" spans="1:12" x14ac:dyDescent="0.25">
      <c r="A134" s="42"/>
      <c r="L134" s="51"/>
    </row>
    <row r="135" spans="1:12" x14ac:dyDescent="0.25">
      <c r="A135" s="43"/>
      <c r="L135" s="51"/>
    </row>
    <row r="136" spans="1:12" x14ac:dyDescent="0.25">
      <c r="A136" s="43"/>
      <c r="L136" s="51"/>
    </row>
    <row r="137" spans="1:12" x14ac:dyDescent="0.25">
      <c r="A137" s="42"/>
      <c r="L137" s="51"/>
    </row>
    <row r="138" spans="1:12" x14ac:dyDescent="0.25">
      <c r="A138" s="42"/>
      <c r="L138" s="51"/>
    </row>
    <row r="139" spans="1:12" x14ac:dyDescent="0.25">
      <c r="A139" s="43"/>
      <c r="L139" s="51"/>
    </row>
    <row r="140" spans="1:12" x14ac:dyDescent="0.25">
      <c r="A140" s="43"/>
      <c r="L140" s="51"/>
    </row>
    <row r="141" spans="1:12" x14ac:dyDescent="0.25">
      <c r="L141" s="51"/>
    </row>
    <row r="142" spans="1:12" x14ac:dyDescent="0.25">
      <c r="L142" s="51"/>
    </row>
    <row r="143" spans="1:12" x14ac:dyDescent="0.25">
      <c r="L143" s="51"/>
    </row>
    <row r="144" spans="1:12" x14ac:dyDescent="0.25">
      <c r="L144" s="51"/>
    </row>
    <row r="145" spans="12:12" x14ac:dyDescent="0.25">
      <c r="L145" s="51"/>
    </row>
    <row r="146" spans="12:12" x14ac:dyDescent="0.25">
      <c r="L146" s="51"/>
    </row>
    <row r="147" spans="12:12" x14ac:dyDescent="0.25">
      <c r="L147" s="51"/>
    </row>
    <row r="148" spans="12:12" x14ac:dyDescent="0.25">
      <c r="L148" s="51"/>
    </row>
    <row r="149" spans="12:12" x14ac:dyDescent="0.25">
      <c r="L149" s="51"/>
    </row>
    <row r="150" spans="12:12" x14ac:dyDescent="0.25">
      <c r="L150" s="51"/>
    </row>
    <row r="151" spans="12:12" x14ac:dyDescent="0.25">
      <c r="L151" s="51"/>
    </row>
    <row r="152" spans="12:12" x14ac:dyDescent="0.25">
      <c r="L152" s="51"/>
    </row>
    <row r="153" spans="12:12" x14ac:dyDescent="0.25">
      <c r="L153" s="51"/>
    </row>
    <row r="154" spans="12:12" x14ac:dyDescent="0.25">
      <c r="L154" s="51"/>
    </row>
    <row r="155" spans="12:12" x14ac:dyDescent="0.25">
      <c r="L155" s="51"/>
    </row>
    <row r="156" spans="12:12" x14ac:dyDescent="0.25">
      <c r="L156" s="51"/>
    </row>
    <row r="157" spans="12:12" x14ac:dyDescent="0.25">
      <c r="L157" s="51"/>
    </row>
    <row r="158" spans="12:12" x14ac:dyDescent="0.25">
      <c r="L158" s="51"/>
    </row>
    <row r="159" spans="12:12" x14ac:dyDescent="0.25">
      <c r="L159" s="51"/>
    </row>
    <row r="160" spans="12:12" x14ac:dyDescent="0.25">
      <c r="L160" s="51"/>
    </row>
    <row r="161" spans="12:12" x14ac:dyDescent="0.25">
      <c r="L161" s="51"/>
    </row>
    <row r="162" spans="12:12" x14ac:dyDescent="0.25">
      <c r="L162" s="51"/>
    </row>
    <row r="163" spans="12:12" x14ac:dyDescent="0.25">
      <c r="L163" s="51"/>
    </row>
    <row r="164" spans="12:12" x14ac:dyDescent="0.25">
      <c r="L164" s="51"/>
    </row>
    <row r="165" spans="12:12" x14ac:dyDescent="0.25">
      <c r="L165" s="51"/>
    </row>
    <row r="166" spans="12:12" x14ac:dyDescent="0.25">
      <c r="L166" s="51"/>
    </row>
    <row r="167" spans="12:12" x14ac:dyDescent="0.25">
      <c r="L167" s="51"/>
    </row>
    <row r="168" spans="12:12" x14ac:dyDescent="0.25">
      <c r="L168" s="51"/>
    </row>
    <row r="169" spans="12:12" x14ac:dyDescent="0.25">
      <c r="L169" s="51"/>
    </row>
    <row r="170" spans="12:12" x14ac:dyDescent="0.25">
      <c r="L170" s="51"/>
    </row>
    <row r="171" spans="12:12" x14ac:dyDescent="0.25">
      <c r="L171" s="51"/>
    </row>
    <row r="172" spans="12:12" x14ac:dyDescent="0.25">
      <c r="L172" s="51"/>
    </row>
    <row r="173" spans="12:12" x14ac:dyDescent="0.25">
      <c r="L173" s="51"/>
    </row>
    <row r="174" spans="12:12" x14ac:dyDescent="0.25">
      <c r="L174" s="51"/>
    </row>
    <row r="175" spans="12:12" x14ac:dyDescent="0.25">
      <c r="L175" s="51"/>
    </row>
    <row r="176" spans="12:12" x14ac:dyDescent="0.25">
      <c r="L176" s="51"/>
    </row>
    <row r="177" spans="12:12" x14ac:dyDescent="0.25">
      <c r="L177" s="51"/>
    </row>
    <row r="178" spans="12:12" x14ac:dyDescent="0.25">
      <c r="L178" s="51"/>
    </row>
    <row r="179" spans="12:12" x14ac:dyDescent="0.25">
      <c r="L179" s="51"/>
    </row>
    <row r="180" spans="12:12" x14ac:dyDescent="0.25">
      <c r="L180" s="51"/>
    </row>
    <row r="181" spans="12:12" x14ac:dyDescent="0.25">
      <c r="L181" s="51"/>
    </row>
    <row r="182" spans="12:12" x14ac:dyDescent="0.25">
      <c r="L182" s="51"/>
    </row>
    <row r="183" spans="12:12" x14ac:dyDescent="0.25">
      <c r="L183" s="51"/>
    </row>
    <row r="184" spans="12:12" x14ac:dyDescent="0.25">
      <c r="L184" s="51"/>
    </row>
    <row r="185" spans="12:12" x14ac:dyDescent="0.25">
      <c r="L185" s="51"/>
    </row>
    <row r="186" spans="12:12" x14ac:dyDescent="0.25">
      <c r="L186" s="51"/>
    </row>
    <row r="187" spans="12:12" x14ac:dyDescent="0.25">
      <c r="L187" s="51"/>
    </row>
    <row r="188" spans="12:12" x14ac:dyDescent="0.25">
      <c r="L188" s="51"/>
    </row>
    <row r="189" spans="12:12" x14ac:dyDescent="0.25">
      <c r="L189" s="51"/>
    </row>
    <row r="190" spans="12:12" x14ac:dyDescent="0.25">
      <c r="L190" s="51"/>
    </row>
    <row r="191" spans="12:12" x14ac:dyDescent="0.25">
      <c r="L191" s="51"/>
    </row>
    <row r="192" spans="12:12" x14ac:dyDescent="0.25">
      <c r="L192" s="51"/>
    </row>
    <row r="193" spans="12:12" x14ac:dyDescent="0.25">
      <c r="L193" s="51"/>
    </row>
    <row r="194" spans="12:12" x14ac:dyDescent="0.25">
      <c r="L194" s="51"/>
    </row>
    <row r="195" spans="12:12" x14ac:dyDescent="0.25">
      <c r="L195" s="51"/>
    </row>
    <row r="196" spans="12:12" x14ac:dyDescent="0.25">
      <c r="L196" s="51"/>
    </row>
    <row r="197" spans="12:12" x14ac:dyDescent="0.25">
      <c r="L197" s="51"/>
    </row>
    <row r="198" spans="12:12" x14ac:dyDescent="0.25">
      <c r="L198" s="51"/>
    </row>
    <row r="199" spans="12:12" x14ac:dyDescent="0.25">
      <c r="L199" s="51"/>
    </row>
    <row r="200" spans="12:12" x14ac:dyDescent="0.25">
      <c r="L200" s="51"/>
    </row>
    <row r="201" spans="12:12" x14ac:dyDescent="0.25">
      <c r="L201" s="51"/>
    </row>
    <row r="202" spans="12:12" x14ac:dyDescent="0.25">
      <c r="L202" s="51"/>
    </row>
    <row r="203" spans="12:12" x14ac:dyDescent="0.25">
      <c r="L203" s="51"/>
    </row>
    <row r="204" spans="12:12" x14ac:dyDescent="0.25">
      <c r="L204" s="51"/>
    </row>
    <row r="205" spans="12:12" x14ac:dyDescent="0.25">
      <c r="L205" s="51"/>
    </row>
    <row r="206" spans="12:12" x14ac:dyDescent="0.25">
      <c r="L206" s="51"/>
    </row>
    <row r="207" spans="12:12" x14ac:dyDescent="0.25">
      <c r="L207" s="51"/>
    </row>
    <row r="208" spans="12:12" x14ac:dyDescent="0.25">
      <c r="L208" s="51"/>
    </row>
    <row r="209" spans="12:12" x14ac:dyDescent="0.25">
      <c r="L209" s="51"/>
    </row>
    <row r="210" spans="12:12" x14ac:dyDescent="0.25">
      <c r="L210" s="51"/>
    </row>
    <row r="211" spans="12:12" x14ac:dyDescent="0.25">
      <c r="L211" s="51"/>
    </row>
    <row r="212" spans="12:12" x14ac:dyDescent="0.25">
      <c r="L212" s="51"/>
    </row>
    <row r="213" spans="12:12" x14ac:dyDescent="0.25">
      <c r="L213" s="51"/>
    </row>
    <row r="214" spans="12:12" x14ac:dyDescent="0.25">
      <c r="L214" s="51"/>
    </row>
    <row r="215" spans="12:12" x14ac:dyDescent="0.25">
      <c r="L215" s="51"/>
    </row>
    <row r="216" spans="12:12" x14ac:dyDescent="0.25">
      <c r="L216" s="51"/>
    </row>
    <row r="217" spans="12:12" x14ac:dyDescent="0.25">
      <c r="L217" s="51"/>
    </row>
    <row r="218" spans="12:12" x14ac:dyDescent="0.25">
      <c r="L218" s="51"/>
    </row>
    <row r="219" spans="12:12" x14ac:dyDescent="0.25">
      <c r="L219" s="51"/>
    </row>
    <row r="220" spans="12:12" x14ac:dyDescent="0.25">
      <c r="L220" s="51"/>
    </row>
    <row r="221" spans="12:12" x14ac:dyDescent="0.25">
      <c r="L221" s="51"/>
    </row>
    <row r="222" spans="12:12" x14ac:dyDescent="0.25">
      <c r="L222" s="51"/>
    </row>
    <row r="223" spans="12:12" x14ac:dyDescent="0.25">
      <c r="L223" s="51"/>
    </row>
    <row r="224" spans="12:12" x14ac:dyDescent="0.25">
      <c r="L224" s="51"/>
    </row>
    <row r="225" spans="12:12" x14ac:dyDescent="0.25">
      <c r="L225" s="51"/>
    </row>
    <row r="226" spans="12:12" x14ac:dyDescent="0.25">
      <c r="L226" s="51"/>
    </row>
    <row r="227" spans="12:12" x14ac:dyDescent="0.25">
      <c r="L227" s="51"/>
    </row>
    <row r="228" spans="12:12" x14ac:dyDescent="0.25">
      <c r="L228" s="51"/>
    </row>
    <row r="229" spans="12:12" x14ac:dyDescent="0.25">
      <c r="L229" s="51"/>
    </row>
    <row r="230" spans="12:12" x14ac:dyDescent="0.25">
      <c r="L230" s="51"/>
    </row>
    <row r="231" spans="12:12" x14ac:dyDescent="0.25">
      <c r="L231" s="51"/>
    </row>
    <row r="232" spans="12:12" x14ac:dyDescent="0.25">
      <c r="L232" s="51"/>
    </row>
    <row r="233" spans="12:12" x14ac:dyDescent="0.25">
      <c r="L233" s="51"/>
    </row>
    <row r="234" spans="12:12" x14ac:dyDescent="0.25">
      <c r="L234" s="51"/>
    </row>
    <row r="235" spans="12:12" x14ac:dyDescent="0.25">
      <c r="L235" s="51"/>
    </row>
    <row r="236" spans="12:12" x14ac:dyDescent="0.25">
      <c r="L236" s="51"/>
    </row>
    <row r="237" spans="12:12" x14ac:dyDescent="0.25">
      <c r="L237" s="51"/>
    </row>
    <row r="238" spans="12:12" x14ac:dyDescent="0.25">
      <c r="L238" s="51"/>
    </row>
    <row r="239" spans="12:12" x14ac:dyDescent="0.25">
      <c r="L239" s="51"/>
    </row>
    <row r="240" spans="12:12" x14ac:dyDescent="0.25">
      <c r="L240" s="51"/>
    </row>
    <row r="241" spans="12:12" x14ac:dyDescent="0.25">
      <c r="L241" s="51"/>
    </row>
    <row r="242" spans="12:12" x14ac:dyDescent="0.25">
      <c r="L242" s="51"/>
    </row>
    <row r="243" spans="12:12" x14ac:dyDescent="0.25">
      <c r="L243" s="51"/>
    </row>
    <row r="244" spans="12:12" x14ac:dyDescent="0.25">
      <c r="L244" s="51"/>
    </row>
    <row r="245" spans="12:12" x14ac:dyDescent="0.25">
      <c r="L245" s="51"/>
    </row>
    <row r="246" spans="12:12" x14ac:dyDescent="0.25">
      <c r="L246" s="51"/>
    </row>
    <row r="247" spans="12:12" x14ac:dyDescent="0.25">
      <c r="L247" s="51"/>
    </row>
    <row r="248" spans="12:12" x14ac:dyDescent="0.25">
      <c r="L248" s="51"/>
    </row>
    <row r="249" spans="12:12" x14ac:dyDescent="0.25">
      <c r="L249" s="51"/>
    </row>
    <row r="250" spans="12:12" x14ac:dyDescent="0.25">
      <c r="L250" s="51"/>
    </row>
    <row r="251" spans="12:12" x14ac:dyDescent="0.25">
      <c r="L251" s="51"/>
    </row>
    <row r="252" spans="12:12" x14ac:dyDescent="0.25">
      <c r="L252" s="51"/>
    </row>
    <row r="253" spans="12:12" x14ac:dyDescent="0.25">
      <c r="L253" s="51"/>
    </row>
    <row r="254" spans="12:12" x14ac:dyDescent="0.25">
      <c r="L254" s="51"/>
    </row>
    <row r="255" spans="12:12" x14ac:dyDescent="0.25">
      <c r="L255" s="51"/>
    </row>
    <row r="256" spans="12:12" x14ac:dyDescent="0.25">
      <c r="L256" s="51"/>
    </row>
    <row r="257" spans="12:12" x14ac:dyDescent="0.25">
      <c r="L257" s="51"/>
    </row>
    <row r="258" spans="12:12" x14ac:dyDescent="0.25">
      <c r="L258" s="51"/>
    </row>
    <row r="259" spans="12:12" x14ac:dyDescent="0.25">
      <c r="L259" s="51"/>
    </row>
    <row r="260" spans="12:12" x14ac:dyDescent="0.25">
      <c r="L260" s="51"/>
    </row>
    <row r="261" spans="12:12" x14ac:dyDescent="0.25">
      <c r="L261" s="51"/>
    </row>
    <row r="262" spans="12:12" x14ac:dyDescent="0.25">
      <c r="L262" s="51"/>
    </row>
    <row r="263" spans="12:12" x14ac:dyDescent="0.25">
      <c r="L263" s="51"/>
    </row>
    <row r="264" spans="12:12" x14ac:dyDescent="0.25">
      <c r="L264" s="51"/>
    </row>
    <row r="265" spans="12:12" x14ac:dyDescent="0.25">
      <c r="L265" s="49"/>
    </row>
  </sheetData>
  <sheetProtection formatCells="0" selectLockedCells="1"/>
  <mergeCells count="16">
    <mergeCell ref="K5:L5"/>
    <mergeCell ref="B2:C3"/>
    <mergeCell ref="D2:F3"/>
    <mergeCell ref="B5:C5"/>
    <mergeCell ref="D4:F4"/>
    <mergeCell ref="D5:F5"/>
    <mergeCell ref="D8:F8"/>
    <mergeCell ref="D10:F10"/>
    <mergeCell ref="B8:C8"/>
    <mergeCell ref="D7:F7"/>
    <mergeCell ref="B4:C4"/>
    <mergeCell ref="B6:C6"/>
    <mergeCell ref="D6:F6"/>
    <mergeCell ref="D9:F9"/>
    <mergeCell ref="B7:C7"/>
    <mergeCell ref="B9:C9"/>
  </mergeCells>
  <phoneticPr fontId="5" type="noConversion"/>
  <dataValidations xWindow="1143" yWindow="492" count="6">
    <dataValidation type="textLength" operator="notEqual" allowBlank="1" showInputMessage="1" showErrorMessage="1" sqref="D4:F5" xr:uid="{3420A55E-2A0B-4723-A1D9-0EB4FBEAC7AA}">
      <formula1>0</formula1>
    </dataValidation>
    <dataValidation type="list" allowBlank="1" showInputMessage="1" showErrorMessage="1" sqref="D8:F8" xr:uid="{C336CEA5-B35D-41C0-8452-0C22326CCEF5}">
      <formula1>$K$44:$K$57</formula1>
    </dataValidation>
    <dataValidation type="decimal" allowBlank="1" showInputMessage="1" showErrorMessage="1" sqref="D41:E41" xr:uid="{4E57BA2D-A85D-45B5-9E82-7F6A6D069794}">
      <formula1>0</formula1>
      <formula2>10000</formula2>
    </dataValidation>
    <dataValidation type="textLength" operator="equal" allowBlank="1" showInputMessage="1" showErrorMessage="1" sqref="D6" xr:uid="{088A50B9-28E5-4565-86DC-A36137F269B2}">
      <formula1>2</formula1>
    </dataValidation>
    <dataValidation type="whole" operator="notEqual" allowBlank="1" showInputMessage="1" showErrorMessage="1" sqref="E27:E40" xr:uid="{518C2883-B46A-4911-83F8-70EBFAB55E34}">
      <formula1>0</formula1>
    </dataValidation>
    <dataValidation type="textLength" operator="equal" allowBlank="1" showInputMessage="1" showErrorMessage="1" sqref="D7:F7" xr:uid="{01593E8D-94DE-4216-A115-29794F846AE2}">
      <formula1>7</formula1>
    </dataValidation>
  </dataValidations>
  <printOptions horizontalCentered="1"/>
  <pageMargins left="0.1" right="0.1" top="0.1" bottom="0.1" header="0.1" footer="0.1"/>
  <pageSetup paperSize="9" orientation="portrait" horizontalDpi="4294967293" verticalDpi="300" r:id="rId1"/>
  <headerFooter>
    <oddFooter>&amp;L&amp;B Confidential&amp;B&amp;C&amp;D&amp;RPage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4FD6-1A79-48C8-9250-E94F6791A9C3}">
  <sheetPr codeName="Sheet6"/>
  <dimension ref="A1:AE176"/>
  <sheetViews>
    <sheetView zoomScale="70" zoomScaleNormal="70" workbookViewId="0">
      <pane xSplit="1" ySplit="1" topLeftCell="B139" activePane="bottomRight" state="frozen"/>
      <selection pane="topRight" activeCell="C1" sqref="C1"/>
      <selection pane="bottomLeft" activeCell="A2" sqref="A2"/>
      <selection pane="bottomRight" activeCell="AE1" sqref="AB1:AE1048576"/>
    </sheetView>
  </sheetViews>
  <sheetFormatPr defaultRowHeight="15" x14ac:dyDescent="0.25"/>
  <cols>
    <col min="1" max="1" width="5" style="80" bestFit="1" customWidth="1"/>
    <col min="2" max="2" width="11.42578125" style="80" bestFit="1" customWidth="1"/>
    <col min="3" max="3" width="11.5703125" style="82" bestFit="1" customWidth="1"/>
    <col min="4" max="4" width="18.85546875" style="82" bestFit="1" customWidth="1"/>
    <col min="5" max="5" width="15" style="82" bestFit="1" customWidth="1"/>
    <col min="6" max="6" width="13.42578125" style="80" hidden="1" customWidth="1"/>
    <col min="7" max="7" width="10.7109375" style="80" hidden="1" customWidth="1"/>
    <col min="8" max="8" width="27.85546875" style="80" hidden="1" customWidth="1"/>
    <col min="9" max="9" width="10.7109375" style="80" customWidth="1"/>
    <col min="10" max="10" width="18.5703125" style="80" hidden="1" customWidth="1"/>
    <col min="11" max="11" width="17.42578125" style="80" hidden="1" customWidth="1"/>
    <col min="12" max="12" width="7.42578125" style="80" hidden="1" customWidth="1"/>
    <col min="13" max="13" width="17.85546875" style="73" hidden="1" customWidth="1"/>
    <col min="14" max="14" width="7.28515625" style="80" hidden="1" customWidth="1"/>
    <col min="15" max="15" width="14.28515625" style="80" hidden="1" customWidth="1"/>
    <col min="16" max="16" width="10.42578125" style="80" customWidth="1"/>
    <col min="17" max="17" width="11.140625" style="80" hidden="1" customWidth="1"/>
    <col min="18" max="18" width="18.140625" style="80" hidden="1" customWidth="1"/>
    <col min="19" max="19" width="12.140625" style="80" hidden="1" customWidth="1"/>
    <col min="20" max="20" width="12.42578125" style="80" hidden="1" customWidth="1"/>
    <col min="21" max="21" width="11.140625" style="85" bestFit="1" customWidth="1"/>
    <col min="22" max="22" width="5.85546875" style="80" bestFit="1" customWidth="1"/>
    <col min="23" max="23" width="13" style="80" bestFit="1" customWidth="1"/>
    <col min="24" max="24" width="10" style="80" bestFit="1" customWidth="1"/>
    <col min="25" max="25" width="8.5703125" style="80" bestFit="1" customWidth="1"/>
    <col min="28" max="28" width="22" bestFit="1" customWidth="1"/>
  </cols>
  <sheetData>
    <row r="1" spans="1:31" s="2" customFormat="1" ht="61.5" customHeight="1" x14ac:dyDescent="0.25">
      <c r="A1" s="80" t="s">
        <v>48</v>
      </c>
      <c r="B1" s="80" t="s">
        <v>24</v>
      </c>
      <c r="C1" s="82" t="s">
        <v>25</v>
      </c>
      <c r="D1" s="82" t="s">
        <v>26</v>
      </c>
      <c r="E1" s="82" t="s">
        <v>27</v>
      </c>
      <c r="F1" s="80" t="s">
        <v>28</v>
      </c>
      <c r="G1" s="80" t="s">
        <v>29</v>
      </c>
      <c r="H1" s="80" t="s">
        <v>70</v>
      </c>
      <c r="I1" s="80" t="s">
        <v>30</v>
      </c>
      <c r="J1" s="80" t="s">
        <v>31</v>
      </c>
      <c r="K1" s="80" t="s">
        <v>32</v>
      </c>
      <c r="L1" s="80" t="s">
        <v>33</v>
      </c>
      <c r="M1" s="73" t="s">
        <v>34</v>
      </c>
      <c r="N1" s="80" t="s">
        <v>35</v>
      </c>
      <c r="O1" s="80" t="s">
        <v>36</v>
      </c>
      <c r="P1" s="80" t="s">
        <v>37</v>
      </c>
      <c r="Q1" s="80" t="s">
        <v>38</v>
      </c>
      <c r="R1" s="80" t="s">
        <v>39</v>
      </c>
      <c r="S1" s="80" t="s">
        <v>40</v>
      </c>
      <c r="T1" s="80" t="s">
        <v>41</v>
      </c>
      <c r="U1" s="84" t="s">
        <v>42</v>
      </c>
      <c r="V1" s="80" t="s">
        <v>43</v>
      </c>
      <c r="W1" s="80" t="s">
        <v>44</v>
      </c>
      <c r="X1" s="80" t="s">
        <v>45</v>
      </c>
      <c r="Y1" s="80" t="s">
        <v>46</v>
      </c>
    </row>
    <row r="2" spans="1:31" x14ac:dyDescent="0.25">
      <c r="A2" s="80">
        <v>2</v>
      </c>
      <c r="B2" s="80">
        <v>2114</v>
      </c>
      <c r="C2" s="82">
        <v>44206</v>
      </c>
      <c r="D2" s="82" t="s">
        <v>3257</v>
      </c>
      <c r="E2" s="82" t="s">
        <v>686</v>
      </c>
      <c r="G2" s="80">
        <v>1</v>
      </c>
      <c r="H2" s="80" t="s">
        <v>151</v>
      </c>
      <c r="I2" s="80">
        <v>25</v>
      </c>
      <c r="J2" s="80">
        <v>860</v>
      </c>
      <c r="K2" s="80">
        <v>792</v>
      </c>
      <c r="L2" s="80">
        <v>860</v>
      </c>
      <c r="M2" s="73">
        <v>44206</v>
      </c>
      <c r="N2" s="80" t="b">
        <v>1</v>
      </c>
      <c r="O2" s="80">
        <v>305200768</v>
      </c>
      <c r="P2" s="80">
        <v>4.41</v>
      </c>
      <c r="Q2" s="80">
        <v>1</v>
      </c>
      <c r="R2" s="80" t="s">
        <v>3642</v>
      </c>
      <c r="S2" s="80">
        <v>727</v>
      </c>
      <c r="T2" s="80">
        <v>7273</v>
      </c>
      <c r="U2" s="85" t="s">
        <v>2325</v>
      </c>
      <c r="X2" s="80" t="s">
        <v>71</v>
      </c>
      <c r="Y2" s="80">
        <v>0</v>
      </c>
      <c r="AA2">
        <f>B2</f>
        <v>2114</v>
      </c>
      <c r="AB2" t="str">
        <f>D2&amp;" "&amp;E2</f>
        <v>MIRAKBAROVA DILRABO</v>
      </c>
      <c r="AC2" t="str">
        <f>X2&amp;U2</f>
        <v>AA7963020</v>
      </c>
      <c r="AD2">
        <f>P2</f>
        <v>4.41</v>
      </c>
      <c r="AE2">
        <f>I2</f>
        <v>25</v>
      </c>
    </row>
    <row r="3" spans="1:31" x14ac:dyDescent="0.25">
      <c r="A3" s="80">
        <v>3</v>
      </c>
      <c r="B3" s="80">
        <v>2115</v>
      </c>
      <c r="C3" s="82">
        <v>44206</v>
      </c>
      <c r="D3" s="82" t="s">
        <v>351</v>
      </c>
      <c r="E3" s="82" t="s">
        <v>2324</v>
      </c>
      <c r="G3" s="80">
        <v>1</v>
      </c>
      <c r="H3" s="80" t="s">
        <v>151</v>
      </c>
      <c r="I3" s="80">
        <v>15</v>
      </c>
      <c r="J3" s="80">
        <v>860</v>
      </c>
      <c r="K3" s="80">
        <v>792</v>
      </c>
      <c r="L3" s="80">
        <v>860</v>
      </c>
      <c r="M3" s="73">
        <v>44206</v>
      </c>
      <c r="N3" s="80" t="b">
        <v>1</v>
      </c>
      <c r="O3" s="80">
        <v>305200768</v>
      </c>
      <c r="P3" s="80">
        <v>4.62</v>
      </c>
      <c r="Q3" s="80">
        <v>1</v>
      </c>
      <c r="R3" s="80" t="s">
        <v>3642</v>
      </c>
      <c r="S3" s="80">
        <v>727</v>
      </c>
      <c r="T3" s="80">
        <v>7274</v>
      </c>
      <c r="U3" s="85" t="s">
        <v>2323</v>
      </c>
      <c r="X3" s="80" t="s">
        <v>71</v>
      </c>
      <c r="Y3" s="80">
        <v>0</v>
      </c>
      <c r="AA3">
        <f t="shared" ref="AA3:AA66" si="0">B3</f>
        <v>2115</v>
      </c>
      <c r="AB3" t="str">
        <f t="shared" ref="AB3:AB66" si="1">D3&amp;" "&amp;E3</f>
        <v>AZIZOVA SALOMAT</v>
      </c>
      <c r="AC3" t="str">
        <f t="shared" ref="AC3:AC66" si="2">X3&amp;U3</f>
        <v>AA7944530</v>
      </c>
      <c r="AD3">
        <f t="shared" ref="AD3:AD66" si="3">P3</f>
        <v>4.62</v>
      </c>
      <c r="AE3">
        <f t="shared" ref="AE3:AE66" si="4">I3</f>
        <v>15</v>
      </c>
    </row>
    <row r="4" spans="1:31" x14ac:dyDescent="0.25">
      <c r="A4" s="80">
        <v>4</v>
      </c>
      <c r="B4" s="80">
        <v>2116</v>
      </c>
      <c r="C4" s="82">
        <v>44206</v>
      </c>
      <c r="D4" s="82" t="s">
        <v>3692</v>
      </c>
      <c r="E4" s="82" t="s">
        <v>3657</v>
      </c>
      <c r="G4" s="80">
        <v>1</v>
      </c>
      <c r="H4" s="80" t="s">
        <v>151</v>
      </c>
      <c r="I4" s="80">
        <v>8</v>
      </c>
      <c r="J4" s="80">
        <v>860</v>
      </c>
      <c r="K4" s="80">
        <v>792</v>
      </c>
      <c r="L4" s="80">
        <v>860</v>
      </c>
      <c r="M4" s="73">
        <v>44206</v>
      </c>
      <c r="N4" s="80" t="b">
        <v>1</v>
      </c>
      <c r="O4" s="80">
        <v>305200768</v>
      </c>
      <c r="P4" s="80">
        <v>12.7</v>
      </c>
      <c r="Q4" s="80">
        <v>1</v>
      </c>
      <c r="R4" s="80" t="s">
        <v>3642</v>
      </c>
      <c r="S4" s="80">
        <v>727</v>
      </c>
      <c r="T4" s="80">
        <v>7273</v>
      </c>
      <c r="U4" s="85" t="s">
        <v>3271</v>
      </c>
      <c r="X4" s="80" t="s">
        <v>71</v>
      </c>
      <c r="Y4" s="80">
        <v>0</v>
      </c>
      <c r="AA4">
        <f t="shared" si="0"/>
        <v>2116</v>
      </c>
      <c r="AB4" t="str">
        <f t="shared" si="1"/>
        <v>DEXKANOVA MAGMURA</v>
      </c>
      <c r="AC4" t="str">
        <f t="shared" si="2"/>
        <v>AA8144212</v>
      </c>
      <c r="AD4">
        <f t="shared" si="3"/>
        <v>12.7</v>
      </c>
      <c r="AE4">
        <f t="shared" si="4"/>
        <v>8</v>
      </c>
    </row>
    <row r="5" spans="1:31" x14ac:dyDescent="0.25">
      <c r="A5" s="80">
        <v>5</v>
      </c>
      <c r="B5" s="80">
        <v>2118</v>
      </c>
      <c r="C5" s="82">
        <v>44206</v>
      </c>
      <c r="D5" s="82" t="s">
        <v>3278</v>
      </c>
      <c r="E5" s="82" t="s">
        <v>802</v>
      </c>
      <c r="G5" s="80">
        <v>1</v>
      </c>
      <c r="H5" s="80" t="s">
        <v>151</v>
      </c>
      <c r="I5" s="80">
        <v>12</v>
      </c>
      <c r="J5" s="80">
        <v>860</v>
      </c>
      <c r="K5" s="80">
        <v>792</v>
      </c>
      <c r="L5" s="80">
        <v>860</v>
      </c>
      <c r="M5" s="73">
        <v>44206</v>
      </c>
      <c r="N5" s="80" t="b">
        <v>1</v>
      </c>
      <c r="O5" s="80">
        <v>305200768</v>
      </c>
      <c r="P5" s="80">
        <v>29.52</v>
      </c>
      <c r="Q5" s="80">
        <v>1</v>
      </c>
      <c r="R5" s="80" t="s">
        <v>3642</v>
      </c>
      <c r="S5" s="80">
        <v>727</v>
      </c>
      <c r="T5" s="80">
        <v>7272</v>
      </c>
      <c r="U5" s="85" t="s">
        <v>3279</v>
      </c>
      <c r="X5" s="80" t="s">
        <v>71</v>
      </c>
      <c r="Y5" s="80">
        <v>0</v>
      </c>
      <c r="AA5">
        <f t="shared" si="0"/>
        <v>2118</v>
      </c>
      <c r="AB5" t="str">
        <f t="shared" si="1"/>
        <v>ISLOMOV NURIDDIN</v>
      </c>
      <c r="AC5" t="str">
        <f t="shared" si="2"/>
        <v>AA0696153</v>
      </c>
      <c r="AD5">
        <f t="shared" si="3"/>
        <v>29.52</v>
      </c>
      <c r="AE5">
        <f t="shared" si="4"/>
        <v>12</v>
      </c>
    </row>
    <row r="6" spans="1:31" x14ac:dyDescent="0.25">
      <c r="A6" s="80">
        <v>6</v>
      </c>
      <c r="B6" s="80">
        <v>2119</v>
      </c>
      <c r="C6" s="82">
        <v>44206</v>
      </c>
      <c r="D6" s="82" t="s">
        <v>3278</v>
      </c>
      <c r="E6" s="82" t="s">
        <v>802</v>
      </c>
      <c r="G6" s="80">
        <v>1</v>
      </c>
      <c r="H6" s="80" t="s">
        <v>151</v>
      </c>
      <c r="I6" s="80">
        <v>19</v>
      </c>
      <c r="J6" s="80">
        <v>860</v>
      </c>
      <c r="K6" s="80">
        <v>792</v>
      </c>
      <c r="L6" s="80">
        <v>860</v>
      </c>
      <c r="M6" s="73">
        <v>44206</v>
      </c>
      <c r="N6" s="80" t="b">
        <v>1</v>
      </c>
      <c r="O6" s="80">
        <v>305200768</v>
      </c>
      <c r="P6" s="80">
        <v>22.5</v>
      </c>
      <c r="Q6" s="80">
        <v>1</v>
      </c>
      <c r="R6" s="80" t="s">
        <v>3642</v>
      </c>
      <c r="S6" s="80">
        <v>727</v>
      </c>
      <c r="T6" s="80">
        <v>7273</v>
      </c>
      <c r="U6" s="85" t="s">
        <v>3279</v>
      </c>
      <c r="X6" s="80" t="s">
        <v>71</v>
      </c>
      <c r="Y6" s="80">
        <v>0</v>
      </c>
      <c r="AA6">
        <f t="shared" si="0"/>
        <v>2119</v>
      </c>
      <c r="AB6" t="str">
        <f t="shared" si="1"/>
        <v>ISLOMOV NURIDDIN</v>
      </c>
      <c r="AC6" t="str">
        <f t="shared" si="2"/>
        <v>AA0696153</v>
      </c>
      <c r="AD6">
        <f t="shared" si="3"/>
        <v>22.5</v>
      </c>
      <c r="AE6">
        <f t="shared" si="4"/>
        <v>19</v>
      </c>
    </row>
    <row r="7" spans="1:31" x14ac:dyDescent="0.25">
      <c r="A7" s="80">
        <v>7</v>
      </c>
      <c r="B7" s="80">
        <v>2120</v>
      </c>
      <c r="C7" s="82">
        <v>44206</v>
      </c>
      <c r="D7" s="82" t="s">
        <v>3278</v>
      </c>
      <c r="E7" s="82" t="s">
        <v>802</v>
      </c>
      <c r="G7" s="80">
        <v>1</v>
      </c>
      <c r="H7" s="80" t="s">
        <v>151</v>
      </c>
      <c r="I7" s="80">
        <v>10</v>
      </c>
      <c r="J7" s="80">
        <v>860</v>
      </c>
      <c r="K7" s="80">
        <v>792</v>
      </c>
      <c r="L7" s="80">
        <v>860</v>
      </c>
      <c r="M7" s="73">
        <v>44206</v>
      </c>
      <c r="N7" s="80" t="b">
        <v>1</v>
      </c>
      <c r="O7" s="80">
        <v>305200768</v>
      </c>
      <c r="P7" s="80">
        <v>15.72</v>
      </c>
      <c r="Q7" s="80">
        <v>1</v>
      </c>
      <c r="R7" s="80" t="s">
        <v>3642</v>
      </c>
      <c r="S7" s="80">
        <v>727</v>
      </c>
      <c r="T7" s="80">
        <v>7278</v>
      </c>
      <c r="U7" s="85" t="s">
        <v>3279</v>
      </c>
      <c r="X7" s="80" t="s">
        <v>71</v>
      </c>
      <c r="Y7" s="80">
        <v>0</v>
      </c>
      <c r="AA7">
        <f t="shared" si="0"/>
        <v>2120</v>
      </c>
      <c r="AB7" t="str">
        <f t="shared" si="1"/>
        <v>ISLOMOV NURIDDIN</v>
      </c>
      <c r="AC7" t="str">
        <f t="shared" si="2"/>
        <v>AA0696153</v>
      </c>
      <c r="AD7">
        <f t="shared" si="3"/>
        <v>15.72</v>
      </c>
      <c r="AE7">
        <f t="shared" si="4"/>
        <v>10</v>
      </c>
    </row>
    <row r="8" spans="1:31" x14ac:dyDescent="0.25">
      <c r="A8" s="80">
        <v>8</v>
      </c>
      <c r="B8" s="80">
        <v>2156</v>
      </c>
      <c r="C8" s="82">
        <v>44206</v>
      </c>
      <c r="D8" s="82" t="s">
        <v>3283</v>
      </c>
      <c r="E8" s="82" t="s">
        <v>3663</v>
      </c>
      <c r="G8" s="80">
        <v>1</v>
      </c>
      <c r="H8" s="80" t="s">
        <v>151</v>
      </c>
      <c r="I8" s="80">
        <v>10</v>
      </c>
      <c r="J8" s="80">
        <v>860</v>
      </c>
      <c r="K8" s="80">
        <v>792</v>
      </c>
      <c r="L8" s="80">
        <v>860</v>
      </c>
      <c r="M8" s="73">
        <v>44206</v>
      </c>
      <c r="N8" s="80" t="b">
        <v>1</v>
      </c>
      <c r="O8" s="80">
        <v>305200768</v>
      </c>
      <c r="P8" s="80">
        <v>9.6999999999999993</v>
      </c>
      <c r="Q8" s="80">
        <v>1</v>
      </c>
      <c r="R8" s="80" t="s">
        <v>3642</v>
      </c>
      <c r="S8" s="80">
        <v>727</v>
      </c>
      <c r="T8" s="80">
        <v>7272</v>
      </c>
      <c r="U8" s="85" t="s">
        <v>3284</v>
      </c>
      <c r="X8" s="80" t="s">
        <v>116</v>
      </c>
      <c r="Y8" s="80">
        <v>0</v>
      </c>
      <c r="AA8">
        <f t="shared" si="0"/>
        <v>2156</v>
      </c>
      <c r="AB8" t="str">
        <f t="shared" si="1"/>
        <v>SAIPOV ABDUVAXIT</v>
      </c>
      <c r="AC8" t="str">
        <f t="shared" si="2"/>
        <v>AB7042350</v>
      </c>
      <c r="AD8">
        <f t="shared" si="3"/>
        <v>9.6999999999999993</v>
      </c>
      <c r="AE8">
        <f t="shared" si="4"/>
        <v>10</v>
      </c>
    </row>
    <row r="9" spans="1:31" x14ac:dyDescent="0.25">
      <c r="A9" s="80">
        <v>9</v>
      </c>
      <c r="B9" s="80">
        <v>2154</v>
      </c>
      <c r="C9" s="82">
        <v>44206</v>
      </c>
      <c r="D9" s="82" t="s">
        <v>3283</v>
      </c>
      <c r="E9" s="82" t="s">
        <v>3663</v>
      </c>
      <c r="G9" s="80">
        <v>1</v>
      </c>
      <c r="H9" s="80" t="s">
        <v>151</v>
      </c>
      <c r="I9" s="80">
        <v>28</v>
      </c>
      <c r="J9" s="80">
        <v>860</v>
      </c>
      <c r="K9" s="80">
        <v>792</v>
      </c>
      <c r="L9" s="80">
        <v>860</v>
      </c>
      <c r="M9" s="73">
        <v>44206</v>
      </c>
      <c r="N9" s="80" t="b">
        <v>1</v>
      </c>
      <c r="O9" s="80">
        <v>305200768</v>
      </c>
      <c r="P9" s="80">
        <v>13.5</v>
      </c>
      <c r="Q9" s="80">
        <v>1</v>
      </c>
      <c r="R9" s="80" t="s">
        <v>3642</v>
      </c>
      <c r="S9" s="80">
        <v>727</v>
      </c>
      <c r="T9" s="80">
        <v>7277</v>
      </c>
      <c r="U9" s="85" t="s">
        <v>3284</v>
      </c>
      <c r="X9" s="80" t="s">
        <v>116</v>
      </c>
      <c r="Y9" s="80">
        <v>0</v>
      </c>
      <c r="AA9">
        <f t="shared" si="0"/>
        <v>2154</v>
      </c>
      <c r="AB9" t="str">
        <f t="shared" si="1"/>
        <v>SAIPOV ABDUVAXIT</v>
      </c>
      <c r="AC9" t="str">
        <f t="shared" si="2"/>
        <v>AB7042350</v>
      </c>
      <c r="AD9">
        <f t="shared" si="3"/>
        <v>13.5</v>
      </c>
      <c r="AE9">
        <f t="shared" si="4"/>
        <v>28</v>
      </c>
    </row>
    <row r="10" spans="1:31" x14ac:dyDescent="0.25">
      <c r="A10" s="80">
        <v>10</v>
      </c>
      <c r="B10" s="80">
        <v>2157</v>
      </c>
      <c r="C10" s="82">
        <v>44206</v>
      </c>
      <c r="D10" s="82" t="s">
        <v>3283</v>
      </c>
      <c r="E10" s="82" t="s">
        <v>3663</v>
      </c>
      <c r="G10" s="80">
        <v>1</v>
      </c>
      <c r="H10" s="80" t="s">
        <v>151</v>
      </c>
      <c r="I10" s="80">
        <v>9</v>
      </c>
      <c r="J10" s="80">
        <v>860</v>
      </c>
      <c r="K10" s="80">
        <v>792</v>
      </c>
      <c r="L10" s="80">
        <v>860</v>
      </c>
      <c r="M10" s="73">
        <v>44206</v>
      </c>
      <c r="N10" s="80" t="b">
        <v>1</v>
      </c>
      <c r="O10" s="80">
        <v>305200768</v>
      </c>
      <c r="P10" s="80">
        <v>12.12</v>
      </c>
      <c r="Q10" s="80">
        <v>1</v>
      </c>
      <c r="R10" s="80" t="s">
        <v>3642</v>
      </c>
      <c r="S10" s="80">
        <v>727</v>
      </c>
      <c r="T10" s="80">
        <v>7272</v>
      </c>
      <c r="U10" s="85" t="s">
        <v>3284</v>
      </c>
      <c r="X10" s="80" t="s">
        <v>116</v>
      </c>
      <c r="Y10" s="80">
        <v>0</v>
      </c>
      <c r="AA10">
        <f t="shared" si="0"/>
        <v>2157</v>
      </c>
      <c r="AB10" t="str">
        <f t="shared" si="1"/>
        <v>SAIPOV ABDUVAXIT</v>
      </c>
      <c r="AC10" t="str">
        <f t="shared" si="2"/>
        <v>AB7042350</v>
      </c>
      <c r="AD10">
        <f t="shared" si="3"/>
        <v>12.12</v>
      </c>
      <c r="AE10">
        <f t="shared" si="4"/>
        <v>9</v>
      </c>
    </row>
    <row r="11" spans="1:31" x14ac:dyDescent="0.25">
      <c r="A11" s="80">
        <v>11</v>
      </c>
      <c r="B11" s="80">
        <v>2155</v>
      </c>
      <c r="C11" s="82">
        <v>44206</v>
      </c>
      <c r="D11" s="82" t="s">
        <v>351</v>
      </c>
      <c r="E11" s="82" t="s">
        <v>3652</v>
      </c>
      <c r="G11" s="80">
        <v>1</v>
      </c>
      <c r="H11" s="80" t="s">
        <v>151</v>
      </c>
      <c r="I11" s="80">
        <v>20</v>
      </c>
      <c r="J11" s="80">
        <v>860</v>
      </c>
      <c r="K11" s="80">
        <v>792</v>
      </c>
      <c r="L11" s="80">
        <v>860</v>
      </c>
      <c r="M11" s="73">
        <v>44206</v>
      </c>
      <c r="N11" s="80" t="b">
        <v>1</v>
      </c>
      <c r="O11" s="80">
        <v>305200768</v>
      </c>
      <c r="P11" s="80">
        <v>12.48</v>
      </c>
      <c r="Q11" s="80">
        <v>1</v>
      </c>
      <c r="R11" s="80" t="s">
        <v>3642</v>
      </c>
      <c r="S11" s="80">
        <v>727</v>
      </c>
      <c r="T11" s="80">
        <v>7278</v>
      </c>
      <c r="U11" s="85" t="s">
        <v>3292</v>
      </c>
      <c r="X11" s="80" t="s">
        <v>71</v>
      </c>
      <c r="Y11" s="80">
        <v>0</v>
      </c>
      <c r="AA11">
        <f t="shared" si="0"/>
        <v>2155</v>
      </c>
      <c r="AB11" t="str">
        <f t="shared" si="1"/>
        <v>AZIZOVA ZAXRO</v>
      </c>
      <c r="AC11" t="str">
        <f t="shared" si="2"/>
        <v>AA4745756</v>
      </c>
      <c r="AD11">
        <f t="shared" si="3"/>
        <v>12.48</v>
      </c>
      <c r="AE11">
        <f t="shared" si="4"/>
        <v>20</v>
      </c>
    </row>
    <row r="12" spans="1:31" x14ac:dyDescent="0.25">
      <c r="A12" s="80">
        <v>12</v>
      </c>
      <c r="B12" s="80">
        <v>2156</v>
      </c>
      <c r="C12" s="82">
        <v>44206</v>
      </c>
      <c r="D12" s="82" t="s">
        <v>351</v>
      </c>
      <c r="E12" s="82" t="s">
        <v>3652</v>
      </c>
      <c r="G12" s="80">
        <v>1</v>
      </c>
      <c r="H12" s="80" t="s">
        <v>151</v>
      </c>
      <c r="I12" s="80">
        <v>33</v>
      </c>
      <c r="J12" s="80">
        <v>860</v>
      </c>
      <c r="K12" s="80">
        <v>792</v>
      </c>
      <c r="L12" s="80">
        <v>860</v>
      </c>
      <c r="M12" s="73">
        <v>44206</v>
      </c>
      <c r="N12" s="80" t="b">
        <v>1</v>
      </c>
      <c r="O12" s="80">
        <v>305200768</v>
      </c>
      <c r="P12" s="80">
        <v>16.830000000000002</v>
      </c>
      <c r="Q12" s="80">
        <v>1</v>
      </c>
      <c r="R12" s="80" t="s">
        <v>3642</v>
      </c>
      <c r="S12" s="80">
        <v>727</v>
      </c>
      <c r="T12" s="80">
        <v>7277</v>
      </c>
      <c r="U12" s="85" t="s">
        <v>3292</v>
      </c>
      <c r="X12" s="80" t="s">
        <v>71</v>
      </c>
      <c r="Y12" s="80">
        <v>0</v>
      </c>
      <c r="AA12">
        <f t="shared" si="0"/>
        <v>2156</v>
      </c>
      <c r="AB12" t="str">
        <f t="shared" si="1"/>
        <v>AZIZOVA ZAXRO</v>
      </c>
      <c r="AC12" t="str">
        <f t="shared" si="2"/>
        <v>AA4745756</v>
      </c>
      <c r="AD12">
        <f t="shared" si="3"/>
        <v>16.830000000000002</v>
      </c>
      <c r="AE12">
        <f t="shared" si="4"/>
        <v>33</v>
      </c>
    </row>
    <row r="13" spans="1:31" x14ac:dyDescent="0.25">
      <c r="A13" s="80">
        <v>13</v>
      </c>
      <c r="B13" s="80">
        <v>2159</v>
      </c>
      <c r="C13" s="82">
        <v>44206</v>
      </c>
      <c r="D13" s="82" t="s">
        <v>3673</v>
      </c>
      <c r="E13" s="82" t="s">
        <v>3647</v>
      </c>
      <c r="G13" s="80">
        <v>1</v>
      </c>
      <c r="H13" s="80" t="s">
        <v>151</v>
      </c>
      <c r="I13" s="80">
        <v>16</v>
      </c>
      <c r="J13" s="80">
        <v>860</v>
      </c>
      <c r="K13" s="80">
        <v>792</v>
      </c>
      <c r="L13" s="80">
        <v>860</v>
      </c>
      <c r="M13" s="73">
        <v>44206</v>
      </c>
      <c r="N13" s="80" t="b">
        <v>1</v>
      </c>
      <c r="O13" s="80">
        <v>305200768</v>
      </c>
      <c r="P13" s="80">
        <v>4.6900000000000004</v>
      </c>
      <c r="Q13" s="80">
        <v>1</v>
      </c>
      <c r="R13" s="80" t="s">
        <v>3642</v>
      </c>
      <c r="S13" s="80">
        <v>727</v>
      </c>
      <c r="T13" s="80">
        <v>7274</v>
      </c>
      <c r="U13" s="85" t="s">
        <v>745</v>
      </c>
      <c r="X13" s="80" t="s">
        <v>71</v>
      </c>
      <c r="Y13" s="80">
        <v>0</v>
      </c>
      <c r="AA13">
        <f t="shared" si="0"/>
        <v>2159</v>
      </c>
      <c r="AB13" t="str">
        <f t="shared" si="1"/>
        <v>QORAYEVA NAVRO‘ZGUL</v>
      </c>
      <c r="AC13" t="str">
        <f t="shared" si="2"/>
        <v>AA1316362</v>
      </c>
      <c r="AD13">
        <f t="shared" si="3"/>
        <v>4.6900000000000004</v>
      </c>
      <c r="AE13">
        <f t="shared" si="4"/>
        <v>16</v>
      </c>
    </row>
    <row r="14" spans="1:31" x14ac:dyDescent="0.25">
      <c r="A14" s="80">
        <v>14</v>
      </c>
      <c r="B14" s="80">
        <v>2137</v>
      </c>
      <c r="C14" s="82">
        <v>44206</v>
      </c>
      <c r="D14" s="82" t="s">
        <v>3237</v>
      </c>
      <c r="E14" s="82" t="s">
        <v>449</v>
      </c>
      <c r="G14" s="80">
        <v>1</v>
      </c>
      <c r="H14" s="80" t="s">
        <v>151</v>
      </c>
      <c r="I14" s="80">
        <v>26</v>
      </c>
      <c r="J14" s="80">
        <v>860</v>
      </c>
      <c r="K14" s="80">
        <v>792</v>
      </c>
      <c r="L14" s="80">
        <v>860</v>
      </c>
      <c r="M14" s="73">
        <v>44206</v>
      </c>
      <c r="N14" s="80" t="b">
        <v>1</v>
      </c>
      <c r="O14" s="80">
        <v>305200768</v>
      </c>
      <c r="P14" s="80">
        <v>9.1199999999999992</v>
      </c>
      <c r="Q14" s="80">
        <v>1</v>
      </c>
      <c r="R14" s="80" t="s">
        <v>3642</v>
      </c>
      <c r="S14" s="80">
        <v>727</v>
      </c>
      <c r="T14" s="80">
        <v>7274</v>
      </c>
      <c r="U14" s="85" t="s">
        <v>346</v>
      </c>
      <c r="X14" s="80" t="s">
        <v>116</v>
      </c>
      <c r="Y14" s="80">
        <v>0</v>
      </c>
      <c r="AA14">
        <f t="shared" si="0"/>
        <v>2137</v>
      </c>
      <c r="AB14" t="str">
        <f t="shared" si="1"/>
        <v>BOGDANOVA ANASTASIYA</v>
      </c>
      <c r="AC14" t="str">
        <f t="shared" si="2"/>
        <v>AB0949882</v>
      </c>
      <c r="AD14">
        <f t="shared" si="3"/>
        <v>9.1199999999999992</v>
      </c>
      <c r="AE14">
        <f t="shared" si="4"/>
        <v>26</v>
      </c>
    </row>
    <row r="15" spans="1:31" x14ac:dyDescent="0.25">
      <c r="A15" s="80">
        <v>15</v>
      </c>
      <c r="B15" s="80">
        <v>2135</v>
      </c>
      <c r="C15" s="82">
        <v>44206</v>
      </c>
      <c r="D15" s="82" t="s">
        <v>3685</v>
      </c>
      <c r="E15" s="82" t="s">
        <v>715</v>
      </c>
      <c r="G15" s="80">
        <v>1</v>
      </c>
      <c r="H15" s="80" t="s">
        <v>151</v>
      </c>
      <c r="I15" s="80">
        <v>31</v>
      </c>
      <c r="J15" s="80">
        <v>860</v>
      </c>
      <c r="K15" s="80">
        <v>792</v>
      </c>
      <c r="L15" s="80">
        <v>860</v>
      </c>
      <c r="M15" s="73">
        <v>44206</v>
      </c>
      <c r="N15" s="80" t="b">
        <v>1</v>
      </c>
      <c r="O15" s="80">
        <v>305200768</v>
      </c>
      <c r="P15" s="80">
        <v>9.09</v>
      </c>
      <c r="Q15" s="80">
        <v>1</v>
      </c>
      <c r="R15" s="80" t="s">
        <v>3642</v>
      </c>
      <c r="S15" s="80">
        <v>727</v>
      </c>
      <c r="T15" s="80">
        <v>7277</v>
      </c>
      <c r="U15" s="85" t="s">
        <v>2508</v>
      </c>
      <c r="X15" s="80" t="s">
        <v>71</v>
      </c>
      <c r="Y15" s="80">
        <v>0</v>
      </c>
      <c r="AA15">
        <f t="shared" si="0"/>
        <v>2135</v>
      </c>
      <c r="AB15" t="str">
        <f t="shared" si="1"/>
        <v>ABDUXAKIMOV SARDOR</v>
      </c>
      <c r="AC15" t="str">
        <f t="shared" si="2"/>
        <v>AA5034032</v>
      </c>
      <c r="AD15">
        <f t="shared" si="3"/>
        <v>9.09</v>
      </c>
      <c r="AE15">
        <f t="shared" si="4"/>
        <v>31</v>
      </c>
    </row>
    <row r="16" spans="1:31" x14ac:dyDescent="0.25">
      <c r="A16" s="80">
        <v>16</v>
      </c>
      <c r="B16" s="80">
        <v>2140</v>
      </c>
      <c r="C16" s="82">
        <v>44206</v>
      </c>
      <c r="D16" s="82" t="s">
        <v>3315</v>
      </c>
      <c r="E16" s="82" t="s">
        <v>770</v>
      </c>
      <c r="G16" s="80">
        <v>1</v>
      </c>
      <c r="H16" s="80" t="s">
        <v>151</v>
      </c>
      <c r="I16" s="80">
        <v>17</v>
      </c>
      <c r="J16" s="80">
        <v>860</v>
      </c>
      <c r="K16" s="80">
        <v>792</v>
      </c>
      <c r="L16" s="80">
        <v>860</v>
      </c>
      <c r="M16" s="73">
        <v>44206</v>
      </c>
      <c r="N16" s="80" t="b">
        <v>1</v>
      </c>
      <c r="O16" s="80">
        <v>305200768</v>
      </c>
      <c r="P16" s="80">
        <v>8.48</v>
      </c>
      <c r="Q16" s="80">
        <v>1</v>
      </c>
      <c r="R16" s="80" t="s">
        <v>3642</v>
      </c>
      <c r="S16" s="80">
        <v>727</v>
      </c>
      <c r="T16" s="80">
        <v>7278</v>
      </c>
      <c r="U16" s="85" t="s">
        <v>3316</v>
      </c>
      <c r="X16" s="80" t="s">
        <v>462</v>
      </c>
      <c r="Y16" s="80">
        <v>0</v>
      </c>
      <c r="AA16">
        <f t="shared" si="0"/>
        <v>2140</v>
      </c>
      <c r="AB16" t="str">
        <f t="shared" si="1"/>
        <v>BONDAREVA LYUBOV</v>
      </c>
      <c r="AC16" t="str">
        <f t="shared" si="2"/>
        <v>AC0276814</v>
      </c>
      <c r="AD16">
        <f t="shared" si="3"/>
        <v>8.48</v>
      </c>
      <c r="AE16">
        <f t="shared" si="4"/>
        <v>17</v>
      </c>
    </row>
    <row r="17" spans="1:31" x14ac:dyDescent="0.25">
      <c r="A17" s="80">
        <v>17</v>
      </c>
      <c r="B17" s="80">
        <v>2138</v>
      </c>
      <c r="C17" s="82">
        <v>44206</v>
      </c>
      <c r="D17" s="82" t="s">
        <v>3319</v>
      </c>
      <c r="E17" s="82" t="s">
        <v>3665</v>
      </c>
      <c r="G17" s="80">
        <v>1</v>
      </c>
      <c r="H17" s="80" t="s">
        <v>141</v>
      </c>
      <c r="I17" s="80">
        <v>24</v>
      </c>
      <c r="J17" s="80">
        <v>860</v>
      </c>
      <c r="K17" s="80">
        <v>792</v>
      </c>
      <c r="L17" s="80">
        <v>860</v>
      </c>
      <c r="M17" s="73">
        <v>44206</v>
      </c>
      <c r="N17" s="80" t="b">
        <v>1</v>
      </c>
      <c r="O17" s="80">
        <v>305200768</v>
      </c>
      <c r="P17" s="80">
        <v>8.8800000000000008</v>
      </c>
      <c r="Q17" s="80">
        <v>1</v>
      </c>
      <c r="R17" s="80" t="s">
        <v>3642</v>
      </c>
      <c r="S17" s="80">
        <v>733</v>
      </c>
      <c r="T17" s="80">
        <v>7331</v>
      </c>
      <c r="U17" s="85" t="s">
        <v>3320</v>
      </c>
      <c r="X17" s="80" t="s">
        <v>1939</v>
      </c>
      <c r="Y17" s="80">
        <v>0</v>
      </c>
      <c r="AA17">
        <f t="shared" si="0"/>
        <v>2138</v>
      </c>
      <c r="AB17" t="str">
        <f t="shared" si="1"/>
        <v>BAYNIYAZOVA SHAXRIZADA</v>
      </c>
      <c r="AC17" t="str">
        <f t="shared" si="2"/>
        <v>KA0625354</v>
      </c>
      <c r="AD17">
        <f t="shared" si="3"/>
        <v>8.8800000000000008</v>
      </c>
      <c r="AE17">
        <f t="shared" si="4"/>
        <v>24</v>
      </c>
    </row>
    <row r="18" spans="1:31" x14ac:dyDescent="0.25">
      <c r="A18" s="80">
        <v>18</v>
      </c>
      <c r="B18" s="80">
        <v>2134</v>
      </c>
      <c r="C18" s="82">
        <v>44206</v>
      </c>
      <c r="D18" s="82" t="s">
        <v>3319</v>
      </c>
      <c r="E18" s="82" t="s">
        <v>3665</v>
      </c>
      <c r="G18" s="80">
        <v>1</v>
      </c>
      <c r="H18" s="80" t="s">
        <v>141</v>
      </c>
      <c r="I18" s="80">
        <v>22</v>
      </c>
      <c r="J18" s="80">
        <v>860</v>
      </c>
      <c r="K18" s="80">
        <v>792</v>
      </c>
      <c r="L18" s="80">
        <v>860</v>
      </c>
      <c r="M18" s="73">
        <v>44206</v>
      </c>
      <c r="N18" s="80" t="b">
        <v>1</v>
      </c>
      <c r="O18" s="80">
        <v>305200768</v>
      </c>
      <c r="P18" s="80">
        <v>8.7200000000000006</v>
      </c>
      <c r="Q18" s="80">
        <v>1</v>
      </c>
      <c r="R18" s="80" t="s">
        <v>3642</v>
      </c>
      <c r="S18" s="80">
        <v>733</v>
      </c>
      <c r="T18" s="80">
        <v>7333</v>
      </c>
      <c r="U18" s="85" t="s">
        <v>3320</v>
      </c>
      <c r="X18" s="80" t="s">
        <v>1939</v>
      </c>
      <c r="Y18" s="80">
        <v>0</v>
      </c>
      <c r="AA18">
        <f t="shared" si="0"/>
        <v>2134</v>
      </c>
      <c r="AB18" t="str">
        <f t="shared" si="1"/>
        <v>BAYNIYAZOVA SHAXRIZADA</v>
      </c>
      <c r="AC18" t="str">
        <f t="shared" si="2"/>
        <v>KA0625354</v>
      </c>
      <c r="AD18">
        <f t="shared" si="3"/>
        <v>8.7200000000000006</v>
      </c>
      <c r="AE18">
        <f t="shared" si="4"/>
        <v>22</v>
      </c>
    </row>
    <row r="19" spans="1:31" x14ac:dyDescent="0.25">
      <c r="A19" s="80">
        <v>19</v>
      </c>
      <c r="B19" s="80">
        <v>2136</v>
      </c>
      <c r="C19" s="82">
        <v>44206</v>
      </c>
      <c r="D19" s="82" t="s">
        <v>3278</v>
      </c>
      <c r="E19" s="82" t="s">
        <v>802</v>
      </c>
      <c r="G19" s="80">
        <v>1</v>
      </c>
      <c r="H19" s="80" t="s">
        <v>151</v>
      </c>
      <c r="I19" s="80">
        <v>21</v>
      </c>
      <c r="J19" s="80">
        <v>860</v>
      </c>
      <c r="K19" s="80">
        <v>792</v>
      </c>
      <c r="L19" s="80">
        <v>860</v>
      </c>
      <c r="M19" s="73">
        <v>44206</v>
      </c>
      <c r="N19" s="80" t="b">
        <v>1</v>
      </c>
      <c r="O19" s="80">
        <v>305200768</v>
      </c>
      <c r="P19" s="80">
        <v>8.4</v>
      </c>
      <c r="Q19" s="80">
        <v>1</v>
      </c>
      <c r="R19" s="80" t="s">
        <v>3642</v>
      </c>
      <c r="S19" s="80">
        <v>727</v>
      </c>
      <c r="T19" s="80">
        <v>7277</v>
      </c>
      <c r="U19" s="85" t="s">
        <v>3279</v>
      </c>
      <c r="X19" s="80" t="s">
        <v>71</v>
      </c>
      <c r="Y19" s="80">
        <v>0</v>
      </c>
      <c r="AA19">
        <f t="shared" si="0"/>
        <v>2136</v>
      </c>
      <c r="AB19" t="str">
        <f t="shared" si="1"/>
        <v>ISLOMOV NURIDDIN</v>
      </c>
      <c r="AC19" t="str">
        <f t="shared" si="2"/>
        <v>AA0696153</v>
      </c>
      <c r="AD19">
        <f t="shared" si="3"/>
        <v>8.4</v>
      </c>
      <c r="AE19">
        <f t="shared" si="4"/>
        <v>21</v>
      </c>
    </row>
    <row r="20" spans="1:31" x14ac:dyDescent="0.25">
      <c r="A20" s="80">
        <v>20</v>
      </c>
      <c r="B20" s="80">
        <v>2139</v>
      </c>
      <c r="C20" s="82">
        <v>44206</v>
      </c>
      <c r="D20" s="82" t="s">
        <v>3315</v>
      </c>
      <c r="E20" s="82" t="s">
        <v>770</v>
      </c>
      <c r="G20" s="80">
        <v>1</v>
      </c>
      <c r="H20" s="80" t="s">
        <v>151</v>
      </c>
      <c r="I20" s="80">
        <v>22</v>
      </c>
      <c r="J20" s="80">
        <v>860</v>
      </c>
      <c r="K20" s="80">
        <v>792</v>
      </c>
      <c r="L20" s="80">
        <v>860</v>
      </c>
      <c r="M20" s="73">
        <v>44206</v>
      </c>
      <c r="N20" s="80" t="b">
        <v>1</v>
      </c>
      <c r="O20" s="80">
        <v>305200768</v>
      </c>
      <c r="P20" s="80">
        <v>8.48</v>
      </c>
      <c r="Q20" s="80">
        <v>1</v>
      </c>
      <c r="R20" s="80" t="s">
        <v>3642</v>
      </c>
      <c r="S20" s="80">
        <v>727</v>
      </c>
      <c r="T20" s="80">
        <v>7275</v>
      </c>
      <c r="U20" s="85" t="s">
        <v>3316</v>
      </c>
      <c r="X20" s="80" t="s">
        <v>462</v>
      </c>
      <c r="Y20" s="80">
        <v>0</v>
      </c>
      <c r="AA20">
        <f t="shared" si="0"/>
        <v>2139</v>
      </c>
      <c r="AB20" t="str">
        <f t="shared" si="1"/>
        <v>BONDAREVA LYUBOV</v>
      </c>
      <c r="AC20" t="str">
        <f t="shared" si="2"/>
        <v>AC0276814</v>
      </c>
      <c r="AD20">
        <f t="shared" si="3"/>
        <v>8.48</v>
      </c>
      <c r="AE20">
        <f t="shared" si="4"/>
        <v>22</v>
      </c>
    </row>
    <row r="21" spans="1:31" x14ac:dyDescent="0.25">
      <c r="A21" s="80">
        <v>21</v>
      </c>
      <c r="B21" s="80">
        <v>2142</v>
      </c>
      <c r="C21" s="82">
        <v>44206</v>
      </c>
      <c r="D21" s="82" t="s">
        <v>3237</v>
      </c>
      <c r="E21" s="82" t="s">
        <v>449</v>
      </c>
      <c r="G21" s="80">
        <v>1</v>
      </c>
      <c r="H21" s="80" t="s">
        <v>151</v>
      </c>
      <c r="I21" s="80">
        <v>21</v>
      </c>
      <c r="J21" s="80">
        <v>860</v>
      </c>
      <c r="K21" s="80">
        <v>792</v>
      </c>
      <c r="L21" s="80">
        <v>860</v>
      </c>
      <c r="M21" s="73">
        <v>44206</v>
      </c>
      <c r="N21" s="80" t="b">
        <v>1</v>
      </c>
      <c r="O21" s="80">
        <v>305200768</v>
      </c>
      <c r="P21" s="80">
        <v>7.42</v>
      </c>
      <c r="Q21" s="80">
        <v>1</v>
      </c>
      <c r="R21" s="80" t="s">
        <v>3642</v>
      </c>
      <c r="S21" s="80">
        <v>727</v>
      </c>
      <c r="T21" s="80">
        <v>7275</v>
      </c>
      <c r="U21" s="85" t="s">
        <v>346</v>
      </c>
      <c r="X21" s="80" t="s">
        <v>116</v>
      </c>
      <c r="Y21" s="80">
        <v>0</v>
      </c>
      <c r="AA21">
        <f t="shared" si="0"/>
        <v>2142</v>
      </c>
      <c r="AB21" t="str">
        <f t="shared" si="1"/>
        <v>BOGDANOVA ANASTASIYA</v>
      </c>
      <c r="AC21" t="str">
        <f t="shared" si="2"/>
        <v>AB0949882</v>
      </c>
      <c r="AD21">
        <f t="shared" si="3"/>
        <v>7.42</v>
      </c>
      <c r="AE21">
        <f t="shared" si="4"/>
        <v>21</v>
      </c>
    </row>
    <row r="22" spans="1:31" x14ac:dyDescent="0.25">
      <c r="A22" s="80">
        <v>22</v>
      </c>
      <c r="B22" s="80">
        <v>2141</v>
      </c>
      <c r="C22" s="82">
        <v>44206</v>
      </c>
      <c r="D22" s="82" t="s">
        <v>3319</v>
      </c>
      <c r="E22" s="82" t="s">
        <v>3665</v>
      </c>
      <c r="G22" s="80">
        <v>1</v>
      </c>
      <c r="H22" s="80" t="s">
        <v>141</v>
      </c>
      <c r="I22" s="80">
        <v>24</v>
      </c>
      <c r="J22" s="80">
        <v>860</v>
      </c>
      <c r="K22" s="80">
        <v>792</v>
      </c>
      <c r="L22" s="80">
        <v>860</v>
      </c>
      <c r="M22" s="73">
        <v>44206</v>
      </c>
      <c r="N22" s="80" t="b">
        <v>1</v>
      </c>
      <c r="O22" s="80">
        <v>305200768</v>
      </c>
      <c r="P22" s="80">
        <v>6.93</v>
      </c>
      <c r="Q22" s="80">
        <v>1</v>
      </c>
      <c r="R22" s="80" t="s">
        <v>3642</v>
      </c>
      <c r="S22" s="80">
        <v>733</v>
      </c>
      <c r="T22" s="80">
        <v>7337</v>
      </c>
      <c r="U22" s="85" t="s">
        <v>3320</v>
      </c>
      <c r="X22" s="80" t="s">
        <v>1939</v>
      </c>
      <c r="Y22" s="80">
        <v>0</v>
      </c>
      <c r="AA22">
        <f t="shared" si="0"/>
        <v>2141</v>
      </c>
      <c r="AB22" t="str">
        <f t="shared" si="1"/>
        <v>BAYNIYAZOVA SHAXRIZADA</v>
      </c>
      <c r="AC22" t="str">
        <f t="shared" si="2"/>
        <v>KA0625354</v>
      </c>
      <c r="AD22">
        <f t="shared" si="3"/>
        <v>6.93</v>
      </c>
      <c r="AE22">
        <f t="shared" si="4"/>
        <v>24</v>
      </c>
    </row>
    <row r="23" spans="1:31" x14ac:dyDescent="0.25">
      <c r="A23" s="80">
        <v>23</v>
      </c>
      <c r="B23" s="80">
        <v>2131</v>
      </c>
      <c r="C23" s="82">
        <v>44206</v>
      </c>
      <c r="D23" s="82" t="s">
        <v>3315</v>
      </c>
      <c r="E23" s="82" t="s">
        <v>770</v>
      </c>
      <c r="G23" s="80">
        <v>1</v>
      </c>
      <c r="H23" s="80" t="s">
        <v>151</v>
      </c>
      <c r="I23" s="80">
        <v>25</v>
      </c>
      <c r="J23" s="80">
        <v>860</v>
      </c>
      <c r="K23" s="80">
        <v>792</v>
      </c>
      <c r="L23" s="80">
        <v>860</v>
      </c>
      <c r="M23" s="73">
        <v>44206</v>
      </c>
      <c r="N23" s="80" t="b">
        <v>1</v>
      </c>
      <c r="O23" s="80">
        <v>305200768</v>
      </c>
      <c r="P23" s="80">
        <v>8.68</v>
      </c>
      <c r="Q23" s="80">
        <v>1</v>
      </c>
      <c r="R23" s="80" t="s">
        <v>3642</v>
      </c>
      <c r="S23" s="80">
        <v>727</v>
      </c>
      <c r="T23" s="80">
        <v>7276</v>
      </c>
      <c r="U23" s="85" t="s">
        <v>3316</v>
      </c>
      <c r="X23" s="80" t="s">
        <v>462</v>
      </c>
      <c r="Y23" s="80">
        <v>0</v>
      </c>
      <c r="AA23">
        <f t="shared" si="0"/>
        <v>2131</v>
      </c>
      <c r="AB23" t="str">
        <f t="shared" si="1"/>
        <v>BONDAREVA LYUBOV</v>
      </c>
      <c r="AC23" t="str">
        <f t="shared" si="2"/>
        <v>AC0276814</v>
      </c>
      <c r="AD23">
        <f t="shared" si="3"/>
        <v>8.68</v>
      </c>
      <c r="AE23">
        <f t="shared" si="4"/>
        <v>25</v>
      </c>
    </row>
    <row r="24" spans="1:31" x14ac:dyDescent="0.25">
      <c r="A24" s="80">
        <v>24</v>
      </c>
      <c r="B24" s="80">
        <v>2132</v>
      </c>
      <c r="C24" s="82">
        <v>44206</v>
      </c>
      <c r="D24" s="82" t="s">
        <v>3278</v>
      </c>
      <c r="E24" s="82" t="s">
        <v>802</v>
      </c>
      <c r="G24" s="80">
        <v>1</v>
      </c>
      <c r="H24" s="80" t="s">
        <v>151</v>
      </c>
      <c r="I24" s="80">
        <v>21</v>
      </c>
      <c r="J24" s="80">
        <v>860</v>
      </c>
      <c r="K24" s="80">
        <v>792</v>
      </c>
      <c r="L24" s="80">
        <v>860</v>
      </c>
      <c r="M24" s="73">
        <v>44206</v>
      </c>
      <c r="N24" s="80" t="b">
        <v>1</v>
      </c>
      <c r="O24" s="80">
        <v>305200768</v>
      </c>
      <c r="P24" s="80">
        <v>12.419999999999998</v>
      </c>
      <c r="Q24" s="80">
        <v>1</v>
      </c>
      <c r="R24" s="80" t="s">
        <v>3642</v>
      </c>
      <c r="S24" s="80">
        <v>727</v>
      </c>
      <c r="T24" s="80">
        <v>7275</v>
      </c>
      <c r="U24" s="85" t="s">
        <v>3279</v>
      </c>
      <c r="X24" s="80" t="s">
        <v>71</v>
      </c>
      <c r="Y24" s="80">
        <v>0</v>
      </c>
      <c r="AA24">
        <f t="shared" si="0"/>
        <v>2132</v>
      </c>
      <c r="AB24" t="str">
        <f t="shared" si="1"/>
        <v>ISLOMOV NURIDDIN</v>
      </c>
      <c r="AC24" t="str">
        <f t="shared" si="2"/>
        <v>AA0696153</v>
      </c>
      <c r="AD24">
        <f t="shared" si="3"/>
        <v>12.419999999999998</v>
      </c>
      <c r="AE24">
        <f t="shared" si="4"/>
        <v>21</v>
      </c>
    </row>
    <row r="25" spans="1:31" x14ac:dyDescent="0.25">
      <c r="A25" s="80">
        <v>25</v>
      </c>
      <c r="B25" s="80">
        <v>2130</v>
      </c>
      <c r="C25" s="82">
        <v>44206</v>
      </c>
      <c r="D25" s="82" t="s">
        <v>3319</v>
      </c>
      <c r="E25" s="82" t="s">
        <v>3665</v>
      </c>
      <c r="G25" s="80">
        <v>1</v>
      </c>
      <c r="H25" s="80" t="s">
        <v>3326</v>
      </c>
      <c r="I25" s="80">
        <v>31</v>
      </c>
      <c r="J25" s="80">
        <v>860</v>
      </c>
      <c r="K25" s="80">
        <v>792</v>
      </c>
      <c r="L25" s="80">
        <v>860</v>
      </c>
      <c r="M25" s="73">
        <v>44206</v>
      </c>
      <c r="N25" s="80" t="b">
        <v>1</v>
      </c>
      <c r="O25" s="80">
        <v>305200768</v>
      </c>
      <c r="P25" s="80">
        <v>10.98</v>
      </c>
      <c r="Q25" s="80">
        <v>1</v>
      </c>
      <c r="R25" s="80" t="s">
        <v>3642</v>
      </c>
      <c r="S25" s="80">
        <v>735</v>
      </c>
      <c r="T25" s="80">
        <v>7352</v>
      </c>
      <c r="U25" s="85" t="s">
        <v>3320</v>
      </c>
      <c r="X25" s="80" t="s">
        <v>1939</v>
      </c>
      <c r="Y25" s="80">
        <v>0</v>
      </c>
      <c r="AA25">
        <f t="shared" si="0"/>
        <v>2130</v>
      </c>
      <c r="AB25" t="str">
        <f t="shared" si="1"/>
        <v>BAYNIYAZOVA SHAXRIZADA</v>
      </c>
      <c r="AC25" t="str">
        <f t="shared" si="2"/>
        <v>KA0625354</v>
      </c>
      <c r="AD25">
        <f t="shared" si="3"/>
        <v>10.98</v>
      </c>
      <c r="AE25">
        <f t="shared" si="4"/>
        <v>31</v>
      </c>
    </row>
    <row r="26" spans="1:31" x14ac:dyDescent="0.25">
      <c r="A26" s="80">
        <v>26</v>
      </c>
      <c r="B26" s="80">
        <v>2133</v>
      </c>
      <c r="C26" s="82">
        <v>44206</v>
      </c>
      <c r="D26" s="82" t="s">
        <v>3237</v>
      </c>
      <c r="E26" s="82" t="s">
        <v>449</v>
      </c>
      <c r="G26" s="80">
        <v>1</v>
      </c>
      <c r="H26" s="80" t="s">
        <v>151</v>
      </c>
      <c r="I26" s="80">
        <v>25</v>
      </c>
      <c r="J26" s="80">
        <v>860</v>
      </c>
      <c r="K26" s="80">
        <v>792</v>
      </c>
      <c r="L26" s="80">
        <v>860</v>
      </c>
      <c r="M26" s="73">
        <v>44206</v>
      </c>
      <c r="N26" s="80" t="b">
        <v>1</v>
      </c>
      <c r="O26" s="80">
        <v>305200768</v>
      </c>
      <c r="P26" s="80">
        <v>10.799999999999999</v>
      </c>
      <c r="Q26" s="80">
        <v>1</v>
      </c>
      <c r="R26" s="80" t="s">
        <v>3642</v>
      </c>
      <c r="S26" s="80">
        <v>727</v>
      </c>
      <c r="T26" s="80">
        <v>7272</v>
      </c>
      <c r="U26" s="85" t="s">
        <v>346</v>
      </c>
      <c r="X26" s="80" t="s">
        <v>116</v>
      </c>
      <c r="Y26" s="80">
        <v>0</v>
      </c>
      <c r="AA26">
        <f t="shared" si="0"/>
        <v>2133</v>
      </c>
      <c r="AB26" t="str">
        <f t="shared" si="1"/>
        <v>BOGDANOVA ANASTASIYA</v>
      </c>
      <c r="AC26" t="str">
        <f t="shared" si="2"/>
        <v>AB0949882</v>
      </c>
      <c r="AD26">
        <f t="shared" si="3"/>
        <v>10.799999999999999</v>
      </c>
      <c r="AE26">
        <f t="shared" si="4"/>
        <v>25</v>
      </c>
    </row>
    <row r="27" spans="1:31" x14ac:dyDescent="0.25">
      <c r="A27" s="80">
        <v>27</v>
      </c>
      <c r="B27" s="80">
        <v>2162</v>
      </c>
      <c r="C27" s="82">
        <v>44206</v>
      </c>
      <c r="D27" s="82" t="s">
        <v>3329</v>
      </c>
      <c r="E27" s="82" t="s">
        <v>3330</v>
      </c>
      <c r="G27" s="80">
        <v>1</v>
      </c>
      <c r="H27" s="80" t="s">
        <v>151</v>
      </c>
      <c r="I27" s="80">
        <v>16</v>
      </c>
      <c r="J27" s="80">
        <v>860</v>
      </c>
      <c r="K27" s="80">
        <v>792</v>
      </c>
      <c r="L27" s="80">
        <v>860</v>
      </c>
      <c r="M27" s="73">
        <v>44206</v>
      </c>
      <c r="N27" s="80" t="b">
        <v>1</v>
      </c>
      <c r="O27" s="80">
        <v>305200768</v>
      </c>
      <c r="P27" s="80">
        <v>3.5999999999999996</v>
      </c>
      <c r="Q27" s="80">
        <v>1</v>
      </c>
      <c r="R27" s="80" t="s">
        <v>3642</v>
      </c>
      <c r="S27" s="80">
        <v>727</v>
      </c>
      <c r="T27" s="80">
        <v>7278</v>
      </c>
      <c r="U27" s="85" t="s">
        <v>3331</v>
      </c>
      <c r="X27" s="80" t="s">
        <v>71</v>
      </c>
      <c r="Y27" s="80">
        <v>0</v>
      </c>
      <c r="AA27">
        <f t="shared" si="0"/>
        <v>2162</v>
      </c>
      <c r="AB27" t="str">
        <f t="shared" si="1"/>
        <v>REIMOVA SARBINAZ</v>
      </c>
      <c r="AC27" t="str">
        <f t="shared" si="2"/>
        <v>AA0065668</v>
      </c>
      <c r="AD27">
        <f t="shared" si="3"/>
        <v>3.5999999999999996</v>
      </c>
      <c r="AE27">
        <f t="shared" si="4"/>
        <v>16</v>
      </c>
    </row>
    <row r="28" spans="1:31" x14ac:dyDescent="0.25">
      <c r="A28" s="80">
        <v>28</v>
      </c>
      <c r="B28" s="80">
        <v>2161</v>
      </c>
      <c r="C28" s="82">
        <v>44206</v>
      </c>
      <c r="D28" s="82" t="s">
        <v>3688</v>
      </c>
      <c r="E28" s="82" t="s">
        <v>913</v>
      </c>
      <c r="G28" s="80">
        <v>1</v>
      </c>
      <c r="H28" s="80" t="s">
        <v>151</v>
      </c>
      <c r="I28" s="80">
        <v>9</v>
      </c>
      <c r="J28" s="80">
        <v>860</v>
      </c>
      <c r="K28" s="80">
        <v>792</v>
      </c>
      <c r="L28" s="80">
        <v>860</v>
      </c>
      <c r="M28" s="73">
        <v>44206</v>
      </c>
      <c r="N28" s="80" t="b">
        <v>1</v>
      </c>
      <c r="O28" s="80">
        <v>305200768</v>
      </c>
      <c r="P28" s="80">
        <v>1.8900000000000001</v>
      </c>
      <c r="Q28" s="80">
        <v>1</v>
      </c>
      <c r="R28" s="80" t="s">
        <v>3642</v>
      </c>
      <c r="S28" s="80">
        <v>727</v>
      </c>
      <c r="T28" s="80">
        <v>7276</v>
      </c>
      <c r="U28" s="85" t="s">
        <v>911</v>
      </c>
      <c r="X28" s="80" t="s">
        <v>71</v>
      </c>
      <c r="Y28" s="80">
        <v>0</v>
      </c>
      <c r="AA28">
        <f t="shared" si="0"/>
        <v>2161</v>
      </c>
      <c r="AB28" t="str">
        <f t="shared" si="1"/>
        <v>KARABOYEV TURSUNALI</v>
      </c>
      <c r="AC28" t="str">
        <f t="shared" si="2"/>
        <v>AA6551631</v>
      </c>
      <c r="AD28">
        <f t="shared" si="3"/>
        <v>1.8900000000000001</v>
      </c>
      <c r="AE28">
        <f t="shared" si="4"/>
        <v>9</v>
      </c>
    </row>
    <row r="29" spans="1:31" x14ac:dyDescent="0.25">
      <c r="A29" s="80">
        <v>29</v>
      </c>
      <c r="B29" s="80">
        <v>2163</v>
      </c>
      <c r="C29" s="82">
        <v>44206</v>
      </c>
      <c r="D29" s="82" t="s">
        <v>3691</v>
      </c>
      <c r="E29" s="82" t="s">
        <v>3070</v>
      </c>
      <c r="G29" s="80">
        <v>1</v>
      </c>
      <c r="H29" s="80" t="s">
        <v>151</v>
      </c>
      <c r="I29" s="80">
        <v>25</v>
      </c>
      <c r="J29" s="80">
        <v>860</v>
      </c>
      <c r="K29" s="80">
        <v>792</v>
      </c>
      <c r="L29" s="80">
        <v>860</v>
      </c>
      <c r="M29" s="73">
        <v>44206</v>
      </c>
      <c r="N29" s="80" t="b">
        <v>1</v>
      </c>
      <c r="O29" s="80">
        <v>305200768</v>
      </c>
      <c r="P29" s="80">
        <v>3.12</v>
      </c>
      <c r="Q29" s="80">
        <v>1</v>
      </c>
      <c r="R29" s="80" t="s">
        <v>3642</v>
      </c>
      <c r="S29" s="80">
        <v>727</v>
      </c>
      <c r="T29" s="80">
        <v>7278</v>
      </c>
      <c r="U29" s="85" t="s">
        <v>3338</v>
      </c>
      <c r="X29" s="80" t="s">
        <v>71</v>
      </c>
      <c r="Y29" s="80">
        <v>0</v>
      </c>
      <c r="AA29">
        <f t="shared" si="0"/>
        <v>2163</v>
      </c>
      <c r="AB29" t="str">
        <f t="shared" si="1"/>
        <v>XAMDAMOVA MUBORAK</v>
      </c>
      <c r="AC29" t="str">
        <f t="shared" si="2"/>
        <v>AA8125990</v>
      </c>
      <c r="AD29">
        <f t="shared" si="3"/>
        <v>3.12</v>
      </c>
      <c r="AE29">
        <f t="shared" si="4"/>
        <v>25</v>
      </c>
    </row>
    <row r="30" spans="1:31" x14ac:dyDescent="0.25">
      <c r="A30" s="80">
        <v>30</v>
      </c>
      <c r="B30" s="80">
        <v>2160</v>
      </c>
      <c r="C30" s="82">
        <v>44206</v>
      </c>
      <c r="D30" s="82" t="s">
        <v>3339</v>
      </c>
      <c r="E30" s="82" t="s">
        <v>3070</v>
      </c>
      <c r="G30" s="80">
        <v>1</v>
      </c>
      <c r="H30" s="80" t="s">
        <v>122</v>
      </c>
      <c r="I30" s="80">
        <v>4</v>
      </c>
      <c r="J30" s="80">
        <v>860</v>
      </c>
      <c r="K30" s="80">
        <v>792</v>
      </c>
      <c r="L30" s="80">
        <v>860</v>
      </c>
      <c r="M30" s="73">
        <v>44206</v>
      </c>
      <c r="N30" s="80" t="b">
        <v>1</v>
      </c>
      <c r="O30" s="80">
        <v>305200768</v>
      </c>
      <c r="P30" s="80">
        <v>1</v>
      </c>
      <c r="Q30" s="80">
        <v>1</v>
      </c>
      <c r="R30" s="80" t="s">
        <v>3642</v>
      </c>
      <c r="S30" s="80">
        <v>706</v>
      </c>
      <c r="T30" s="80">
        <v>7064</v>
      </c>
      <c r="U30" s="85" t="s">
        <v>3340</v>
      </c>
      <c r="X30" s="80" t="s">
        <v>71</v>
      </c>
      <c r="Y30" s="80">
        <v>0</v>
      </c>
      <c r="AA30">
        <f t="shared" si="0"/>
        <v>2160</v>
      </c>
      <c r="AB30" t="str">
        <f t="shared" si="1"/>
        <v>ADIZOVA MUBORAK</v>
      </c>
      <c r="AC30" t="str">
        <f t="shared" si="2"/>
        <v>AA9840266</v>
      </c>
      <c r="AD30">
        <f t="shared" si="3"/>
        <v>1</v>
      </c>
      <c r="AE30">
        <f t="shared" si="4"/>
        <v>4</v>
      </c>
    </row>
    <row r="31" spans="1:31" x14ac:dyDescent="0.25">
      <c r="A31" s="80">
        <v>31</v>
      </c>
      <c r="B31" s="80">
        <v>2150</v>
      </c>
      <c r="C31" s="82">
        <v>44206</v>
      </c>
      <c r="D31" s="82" t="s">
        <v>3679</v>
      </c>
      <c r="E31" s="82" t="s">
        <v>2373</v>
      </c>
      <c r="G31" s="80">
        <v>1</v>
      </c>
      <c r="H31" s="80" t="s">
        <v>151</v>
      </c>
      <c r="I31" s="80">
        <v>3</v>
      </c>
      <c r="J31" s="80">
        <v>860</v>
      </c>
      <c r="K31" s="80">
        <v>792</v>
      </c>
      <c r="L31" s="80">
        <v>860</v>
      </c>
      <c r="M31" s="73">
        <v>44206</v>
      </c>
      <c r="N31" s="80" t="b">
        <v>1</v>
      </c>
      <c r="O31" s="80">
        <v>305200768</v>
      </c>
      <c r="P31" s="80">
        <v>1.8</v>
      </c>
      <c r="Q31" s="80">
        <v>1</v>
      </c>
      <c r="R31" s="80" t="s">
        <v>3642</v>
      </c>
      <c r="S31" s="80">
        <v>727</v>
      </c>
      <c r="T31" s="80">
        <v>7273</v>
      </c>
      <c r="U31" s="85" t="s">
        <v>2371</v>
      </c>
      <c r="X31" s="80" t="s">
        <v>71</v>
      </c>
      <c r="Y31" s="80">
        <v>0</v>
      </c>
      <c r="AA31">
        <f t="shared" si="0"/>
        <v>2150</v>
      </c>
      <c r="AB31" t="str">
        <f t="shared" si="1"/>
        <v>MUXRANSKIY UMARBEK</v>
      </c>
      <c r="AC31" t="str">
        <f t="shared" si="2"/>
        <v>AA2511999</v>
      </c>
      <c r="AD31">
        <f t="shared" si="3"/>
        <v>1.8</v>
      </c>
      <c r="AE31">
        <f t="shared" si="4"/>
        <v>3</v>
      </c>
    </row>
    <row r="32" spans="1:31" x14ac:dyDescent="0.25">
      <c r="A32" s="80">
        <v>32</v>
      </c>
      <c r="B32" s="80">
        <v>2168</v>
      </c>
      <c r="C32" s="82">
        <v>44206</v>
      </c>
      <c r="D32" s="82" t="s">
        <v>3699</v>
      </c>
      <c r="E32" s="82" t="s">
        <v>552</v>
      </c>
      <c r="G32" s="80">
        <v>1</v>
      </c>
      <c r="H32" s="80" t="s">
        <v>165</v>
      </c>
      <c r="I32" s="80">
        <v>11</v>
      </c>
      <c r="J32" s="80">
        <v>860</v>
      </c>
      <c r="K32" s="80">
        <v>792</v>
      </c>
      <c r="L32" s="80">
        <v>860</v>
      </c>
      <c r="M32" s="73">
        <v>44206</v>
      </c>
      <c r="N32" s="80" t="b">
        <v>1</v>
      </c>
      <c r="O32" s="80">
        <v>305200768</v>
      </c>
      <c r="P32" s="80">
        <v>0.99</v>
      </c>
      <c r="Q32" s="80">
        <v>1</v>
      </c>
      <c r="R32" s="80" t="s">
        <v>3642</v>
      </c>
      <c r="S32" s="80">
        <v>703</v>
      </c>
      <c r="T32" s="80">
        <v>7034</v>
      </c>
      <c r="U32" s="85" t="s">
        <v>2428</v>
      </c>
      <c r="X32" s="80" t="s">
        <v>116</v>
      </c>
      <c r="Y32" s="80">
        <v>0</v>
      </c>
      <c r="AA32">
        <f t="shared" si="0"/>
        <v>2168</v>
      </c>
      <c r="AB32" t="str">
        <f t="shared" si="1"/>
        <v>BO‘STANOVA GULASAL</v>
      </c>
      <c r="AC32" t="str">
        <f t="shared" si="2"/>
        <v>AB3905432</v>
      </c>
      <c r="AD32">
        <f t="shared" si="3"/>
        <v>0.99</v>
      </c>
      <c r="AE32">
        <f t="shared" si="4"/>
        <v>11</v>
      </c>
    </row>
    <row r="33" spans="1:31" x14ac:dyDescent="0.25">
      <c r="A33" s="80">
        <v>33</v>
      </c>
      <c r="B33" s="80">
        <v>2148</v>
      </c>
      <c r="C33" s="82">
        <v>44206</v>
      </c>
      <c r="D33" s="82" t="s">
        <v>3244</v>
      </c>
      <c r="E33" s="82" t="s">
        <v>3245</v>
      </c>
      <c r="G33" s="80">
        <v>1</v>
      </c>
      <c r="H33" s="80" t="s">
        <v>151</v>
      </c>
      <c r="I33" s="80">
        <v>2</v>
      </c>
      <c r="J33" s="80">
        <v>860</v>
      </c>
      <c r="K33" s="80">
        <v>792</v>
      </c>
      <c r="L33" s="80">
        <v>860</v>
      </c>
      <c r="M33" s="73">
        <v>44206</v>
      </c>
      <c r="N33" s="80" t="b">
        <v>1</v>
      </c>
      <c r="O33" s="80">
        <v>305200768</v>
      </c>
      <c r="P33" s="80">
        <v>1</v>
      </c>
      <c r="Q33" s="80">
        <v>1</v>
      </c>
      <c r="R33" s="80" t="s">
        <v>3642</v>
      </c>
      <c r="S33" s="80">
        <v>727</v>
      </c>
      <c r="T33" s="80">
        <v>7271</v>
      </c>
      <c r="U33" s="85" t="s">
        <v>3343</v>
      </c>
      <c r="X33" s="80" t="s">
        <v>71</v>
      </c>
      <c r="Y33" s="80">
        <v>0</v>
      </c>
      <c r="AA33">
        <f t="shared" si="0"/>
        <v>2148</v>
      </c>
      <c r="AB33" t="str">
        <f t="shared" si="1"/>
        <v>ANYAZOV ALIJON</v>
      </c>
      <c r="AC33" t="str">
        <f t="shared" si="2"/>
        <v>AA1573269</v>
      </c>
      <c r="AD33">
        <f t="shared" si="3"/>
        <v>1</v>
      </c>
      <c r="AE33">
        <f t="shared" si="4"/>
        <v>2</v>
      </c>
    </row>
    <row r="34" spans="1:31" x14ac:dyDescent="0.25">
      <c r="A34" s="80">
        <v>34</v>
      </c>
      <c r="B34" s="80">
        <v>2146</v>
      </c>
      <c r="C34" s="82">
        <v>44206</v>
      </c>
      <c r="D34" s="82" t="s">
        <v>3229</v>
      </c>
      <c r="E34" s="82" t="s">
        <v>3651</v>
      </c>
      <c r="G34" s="80">
        <v>1</v>
      </c>
      <c r="H34" s="80" t="s">
        <v>151</v>
      </c>
      <c r="I34" s="80">
        <v>7</v>
      </c>
      <c r="J34" s="80">
        <v>860</v>
      </c>
      <c r="K34" s="80">
        <v>792</v>
      </c>
      <c r="L34" s="80">
        <v>860</v>
      </c>
      <c r="M34" s="73">
        <v>44206</v>
      </c>
      <c r="N34" s="80" t="b">
        <v>1</v>
      </c>
      <c r="O34" s="80">
        <v>305200768</v>
      </c>
      <c r="P34" s="80">
        <v>2.0100000000000002</v>
      </c>
      <c r="Q34" s="80">
        <v>1</v>
      </c>
      <c r="R34" s="80" t="s">
        <v>3642</v>
      </c>
      <c r="S34" s="80">
        <v>727</v>
      </c>
      <c r="T34" s="80">
        <v>7276</v>
      </c>
      <c r="U34" s="85" t="s">
        <v>2385</v>
      </c>
      <c r="X34" s="80" t="s">
        <v>71</v>
      </c>
      <c r="Y34" s="80">
        <v>0</v>
      </c>
      <c r="AA34">
        <f t="shared" si="0"/>
        <v>2146</v>
      </c>
      <c r="AB34" t="str">
        <f t="shared" si="1"/>
        <v>XUSANOV IBROXIM</v>
      </c>
      <c r="AC34" t="str">
        <f t="shared" si="2"/>
        <v>AA4176420</v>
      </c>
      <c r="AD34">
        <f t="shared" si="3"/>
        <v>2.0100000000000002</v>
      </c>
      <c r="AE34">
        <f t="shared" si="4"/>
        <v>7</v>
      </c>
    </row>
    <row r="35" spans="1:31" x14ac:dyDescent="0.25">
      <c r="A35" s="80">
        <v>35</v>
      </c>
      <c r="B35" s="80">
        <v>2129</v>
      </c>
      <c r="C35" s="82">
        <v>44206</v>
      </c>
      <c r="D35" s="82" t="s">
        <v>398</v>
      </c>
      <c r="E35" s="82" t="s">
        <v>485</v>
      </c>
      <c r="G35" s="80">
        <v>1</v>
      </c>
      <c r="H35" s="80" t="s">
        <v>151</v>
      </c>
      <c r="I35" s="80">
        <v>19</v>
      </c>
      <c r="J35" s="80">
        <v>860</v>
      </c>
      <c r="K35" s="80">
        <v>792</v>
      </c>
      <c r="L35" s="80">
        <v>860</v>
      </c>
      <c r="M35" s="73">
        <v>44206</v>
      </c>
      <c r="N35" s="80" t="b">
        <v>1</v>
      </c>
      <c r="O35" s="80">
        <v>305200768</v>
      </c>
      <c r="P35" s="80">
        <v>4.13</v>
      </c>
      <c r="Q35" s="80">
        <v>1</v>
      </c>
      <c r="R35" s="80" t="s">
        <v>3642</v>
      </c>
      <c r="S35" s="80">
        <v>727</v>
      </c>
      <c r="T35" s="80">
        <v>7273</v>
      </c>
      <c r="U35" s="85" t="s">
        <v>2356</v>
      </c>
      <c r="X35" s="80" t="s">
        <v>71</v>
      </c>
      <c r="Y35" s="80">
        <v>0</v>
      </c>
      <c r="AA35">
        <f t="shared" si="0"/>
        <v>2129</v>
      </c>
      <c r="AB35" t="str">
        <f t="shared" si="1"/>
        <v>ABDULLAYEVA MAVJUDA</v>
      </c>
      <c r="AC35" t="str">
        <f t="shared" si="2"/>
        <v>AA0366420</v>
      </c>
      <c r="AD35">
        <f t="shared" si="3"/>
        <v>4.13</v>
      </c>
      <c r="AE35">
        <f t="shared" si="4"/>
        <v>19</v>
      </c>
    </row>
    <row r="36" spans="1:31" x14ac:dyDescent="0.25">
      <c r="A36" s="80">
        <v>36</v>
      </c>
      <c r="B36" s="80">
        <v>2128</v>
      </c>
      <c r="C36" s="82">
        <v>44206</v>
      </c>
      <c r="D36" s="82" t="s">
        <v>3693</v>
      </c>
      <c r="E36" s="82" t="s">
        <v>2352</v>
      </c>
      <c r="G36" s="80">
        <v>1</v>
      </c>
      <c r="H36" s="80" t="s">
        <v>151</v>
      </c>
      <c r="I36" s="80">
        <v>23</v>
      </c>
      <c r="J36" s="80">
        <v>860</v>
      </c>
      <c r="K36" s="80">
        <v>792</v>
      </c>
      <c r="L36" s="80">
        <v>860</v>
      </c>
      <c r="M36" s="73">
        <v>44206</v>
      </c>
      <c r="N36" s="80" t="b">
        <v>1</v>
      </c>
      <c r="O36" s="80">
        <v>305200768</v>
      </c>
      <c r="P36" s="80">
        <v>4</v>
      </c>
      <c r="Q36" s="80">
        <v>1</v>
      </c>
      <c r="R36" s="80" t="s">
        <v>3642</v>
      </c>
      <c r="S36" s="80">
        <v>727</v>
      </c>
      <c r="T36" s="80">
        <v>7278</v>
      </c>
      <c r="U36" s="85" t="s">
        <v>2350</v>
      </c>
      <c r="X36" s="80" t="s">
        <v>71</v>
      </c>
      <c r="Y36" s="80">
        <v>0</v>
      </c>
      <c r="AA36">
        <f t="shared" si="0"/>
        <v>2128</v>
      </c>
      <c r="AB36" t="str">
        <f t="shared" si="1"/>
        <v>ANNAXASANOVA DINARA</v>
      </c>
      <c r="AC36" t="str">
        <f t="shared" si="2"/>
        <v>AA8981301</v>
      </c>
      <c r="AD36">
        <f t="shared" si="3"/>
        <v>4</v>
      </c>
      <c r="AE36">
        <f t="shared" si="4"/>
        <v>23</v>
      </c>
    </row>
    <row r="37" spans="1:31" x14ac:dyDescent="0.25">
      <c r="A37" s="80">
        <v>37</v>
      </c>
      <c r="B37" s="80">
        <v>2127</v>
      </c>
      <c r="C37" s="82">
        <v>44206</v>
      </c>
      <c r="D37" s="82" t="s">
        <v>3684</v>
      </c>
      <c r="E37" s="82" t="s">
        <v>329</v>
      </c>
      <c r="G37" s="80">
        <v>1</v>
      </c>
      <c r="H37" s="80" t="s">
        <v>151</v>
      </c>
      <c r="I37" s="80">
        <v>21</v>
      </c>
      <c r="J37" s="80">
        <v>860</v>
      </c>
      <c r="K37" s="80">
        <v>792</v>
      </c>
      <c r="L37" s="80">
        <v>860</v>
      </c>
      <c r="M37" s="73">
        <v>44206</v>
      </c>
      <c r="N37" s="80" t="b">
        <v>1</v>
      </c>
      <c r="O37" s="80">
        <v>305200768</v>
      </c>
      <c r="P37" s="80">
        <v>4.24</v>
      </c>
      <c r="Q37" s="80">
        <v>1</v>
      </c>
      <c r="R37" s="80" t="s">
        <v>3642</v>
      </c>
      <c r="S37" s="80">
        <v>727</v>
      </c>
      <c r="T37" s="80">
        <v>7274</v>
      </c>
      <c r="U37" s="85" t="s">
        <v>2452</v>
      </c>
      <c r="X37" s="80" t="s">
        <v>71</v>
      </c>
      <c r="Y37" s="80">
        <v>0</v>
      </c>
      <c r="AA37">
        <f t="shared" si="0"/>
        <v>2127</v>
      </c>
      <c r="AB37" t="str">
        <f t="shared" si="1"/>
        <v>ISHANXANOVA NILUFAR</v>
      </c>
      <c r="AC37" t="str">
        <f t="shared" si="2"/>
        <v>AA4749692</v>
      </c>
      <c r="AD37">
        <f t="shared" si="3"/>
        <v>4.24</v>
      </c>
      <c r="AE37">
        <f t="shared" si="4"/>
        <v>21</v>
      </c>
    </row>
    <row r="38" spans="1:31" x14ac:dyDescent="0.25">
      <c r="A38" s="80">
        <v>38</v>
      </c>
      <c r="B38" s="80">
        <v>2145</v>
      </c>
      <c r="C38" s="82">
        <v>44206</v>
      </c>
      <c r="D38" s="82" t="s">
        <v>1828</v>
      </c>
      <c r="E38" s="82" t="s">
        <v>1645</v>
      </c>
      <c r="G38" s="80">
        <v>1</v>
      </c>
      <c r="H38" s="80" t="s">
        <v>151</v>
      </c>
      <c r="I38" s="80">
        <v>52</v>
      </c>
      <c r="J38" s="80">
        <v>860</v>
      </c>
      <c r="K38" s="80">
        <v>792</v>
      </c>
      <c r="L38" s="80">
        <v>860</v>
      </c>
      <c r="M38" s="73">
        <v>44206</v>
      </c>
      <c r="N38" s="80" t="b">
        <v>1</v>
      </c>
      <c r="O38" s="80">
        <v>305200768</v>
      </c>
      <c r="P38" s="80">
        <v>17.850000000000001</v>
      </c>
      <c r="Q38" s="80">
        <v>1</v>
      </c>
      <c r="R38" s="80" t="s">
        <v>3642</v>
      </c>
      <c r="S38" s="80">
        <v>727</v>
      </c>
      <c r="T38" s="80">
        <v>7273</v>
      </c>
      <c r="U38" s="85" t="s">
        <v>2399</v>
      </c>
      <c r="X38" s="80" t="s">
        <v>116</v>
      </c>
      <c r="Y38" s="80">
        <v>0</v>
      </c>
      <c r="AA38">
        <f t="shared" si="0"/>
        <v>2145</v>
      </c>
      <c r="AB38" t="str">
        <f t="shared" si="1"/>
        <v>AKBAROVA KOMILA</v>
      </c>
      <c r="AC38" t="str">
        <f t="shared" si="2"/>
        <v>AB2387893</v>
      </c>
      <c r="AD38">
        <f t="shared" si="3"/>
        <v>17.850000000000001</v>
      </c>
      <c r="AE38">
        <f t="shared" si="4"/>
        <v>52</v>
      </c>
    </row>
    <row r="39" spans="1:31" x14ac:dyDescent="0.25">
      <c r="A39" s="80">
        <v>39</v>
      </c>
      <c r="B39" s="80">
        <v>2149</v>
      </c>
      <c r="C39" s="82">
        <v>44206</v>
      </c>
      <c r="D39" s="82" t="s">
        <v>3360</v>
      </c>
      <c r="E39" s="82" t="s">
        <v>3662</v>
      </c>
      <c r="G39" s="80">
        <v>1</v>
      </c>
      <c r="H39" s="80" t="s">
        <v>151</v>
      </c>
      <c r="I39" s="80">
        <v>15</v>
      </c>
      <c r="J39" s="80">
        <v>860</v>
      </c>
      <c r="K39" s="80">
        <v>792</v>
      </c>
      <c r="L39" s="80">
        <v>860</v>
      </c>
      <c r="M39" s="73">
        <v>44206</v>
      </c>
      <c r="N39" s="80" t="b">
        <v>1</v>
      </c>
      <c r="O39" s="80">
        <v>305200768</v>
      </c>
      <c r="P39" s="80">
        <v>1.2000000000000002</v>
      </c>
      <c r="Q39" s="80">
        <v>1</v>
      </c>
      <c r="R39" s="80" t="s">
        <v>3642</v>
      </c>
      <c r="S39" s="80">
        <v>727</v>
      </c>
      <c r="T39" s="80">
        <v>7275</v>
      </c>
      <c r="U39" s="85" t="s">
        <v>3361</v>
      </c>
      <c r="X39" s="80" t="s">
        <v>116</v>
      </c>
      <c r="Y39" s="80">
        <v>0</v>
      </c>
      <c r="AA39">
        <f t="shared" si="0"/>
        <v>2149</v>
      </c>
      <c r="AB39" t="str">
        <f t="shared" si="1"/>
        <v>BELOVA YELENA</v>
      </c>
      <c r="AC39" t="str">
        <f t="shared" si="2"/>
        <v>AB6855588</v>
      </c>
      <c r="AD39">
        <f t="shared" si="3"/>
        <v>1.2000000000000002</v>
      </c>
      <c r="AE39">
        <f t="shared" si="4"/>
        <v>15</v>
      </c>
    </row>
    <row r="40" spans="1:31" x14ac:dyDescent="0.25">
      <c r="A40" s="80">
        <v>40</v>
      </c>
      <c r="B40" s="80">
        <v>2121</v>
      </c>
      <c r="C40" s="82">
        <v>44206</v>
      </c>
      <c r="D40" s="82" t="s">
        <v>3256</v>
      </c>
      <c r="E40" s="82" t="s">
        <v>645</v>
      </c>
      <c r="G40" s="80">
        <v>1</v>
      </c>
      <c r="H40" s="80" t="s">
        <v>151</v>
      </c>
      <c r="I40" s="80">
        <v>26</v>
      </c>
      <c r="J40" s="80">
        <v>860</v>
      </c>
      <c r="K40" s="80">
        <v>792</v>
      </c>
      <c r="L40" s="80">
        <v>860</v>
      </c>
      <c r="M40" s="73">
        <v>44206</v>
      </c>
      <c r="N40" s="80" t="b">
        <v>1</v>
      </c>
      <c r="O40" s="80">
        <v>305200768</v>
      </c>
      <c r="P40" s="80">
        <v>5.6000000000000005</v>
      </c>
      <c r="Q40" s="80">
        <v>1</v>
      </c>
      <c r="R40" s="80" t="s">
        <v>3642</v>
      </c>
      <c r="S40" s="80">
        <v>727</v>
      </c>
      <c r="T40" s="80">
        <v>7277</v>
      </c>
      <c r="U40" s="85" t="s">
        <v>330</v>
      </c>
      <c r="X40" s="80" t="s">
        <v>116</v>
      </c>
      <c r="Y40" s="80">
        <v>0</v>
      </c>
      <c r="AA40">
        <f t="shared" si="0"/>
        <v>2121</v>
      </c>
      <c r="AB40" t="str">
        <f t="shared" si="1"/>
        <v>MIRNIYAZOV BAXROM</v>
      </c>
      <c r="AC40" t="str">
        <f t="shared" si="2"/>
        <v>AB3058899</v>
      </c>
      <c r="AD40">
        <f t="shared" si="3"/>
        <v>5.6000000000000005</v>
      </c>
      <c r="AE40">
        <f t="shared" si="4"/>
        <v>26</v>
      </c>
    </row>
    <row r="41" spans="1:31" x14ac:dyDescent="0.25">
      <c r="A41" s="80">
        <v>41</v>
      </c>
      <c r="B41" s="80">
        <v>2169</v>
      </c>
      <c r="C41" s="82">
        <v>44206</v>
      </c>
      <c r="D41" s="82" t="s">
        <v>3256</v>
      </c>
      <c r="E41" s="82" t="s">
        <v>645</v>
      </c>
      <c r="G41" s="80">
        <v>1</v>
      </c>
      <c r="H41" s="80" t="s">
        <v>151</v>
      </c>
      <c r="I41" s="80">
        <v>37</v>
      </c>
      <c r="J41" s="80">
        <v>860</v>
      </c>
      <c r="K41" s="80">
        <v>792</v>
      </c>
      <c r="L41" s="80">
        <v>860</v>
      </c>
      <c r="M41" s="73">
        <v>44206</v>
      </c>
      <c r="N41" s="80" t="b">
        <v>1</v>
      </c>
      <c r="O41" s="80">
        <v>305200768</v>
      </c>
      <c r="P41" s="80">
        <v>6.71</v>
      </c>
      <c r="Q41" s="80">
        <v>1</v>
      </c>
      <c r="R41" s="80" t="s">
        <v>3642</v>
      </c>
      <c r="S41" s="80">
        <v>727</v>
      </c>
      <c r="T41" s="80">
        <v>7277</v>
      </c>
      <c r="U41" s="85" t="s">
        <v>330</v>
      </c>
      <c r="X41" s="80" t="s">
        <v>116</v>
      </c>
      <c r="Y41" s="80">
        <v>0</v>
      </c>
      <c r="AA41">
        <f t="shared" si="0"/>
        <v>2169</v>
      </c>
      <c r="AB41" t="str">
        <f t="shared" si="1"/>
        <v>MIRNIYAZOV BAXROM</v>
      </c>
      <c r="AC41" t="str">
        <f t="shared" si="2"/>
        <v>AB3058899</v>
      </c>
      <c r="AD41">
        <f t="shared" si="3"/>
        <v>6.71</v>
      </c>
      <c r="AE41">
        <f t="shared" si="4"/>
        <v>37</v>
      </c>
    </row>
    <row r="42" spans="1:31" x14ac:dyDescent="0.25">
      <c r="A42" s="80">
        <v>42</v>
      </c>
      <c r="B42" s="80">
        <v>2164</v>
      </c>
      <c r="C42" s="82">
        <v>44206</v>
      </c>
      <c r="D42" s="82" t="s">
        <v>3195</v>
      </c>
      <c r="E42" s="82" t="s">
        <v>2425</v>
      </c>
      <c r="G42" s="80">
        <v>1</v>
      </c>
      <c r="H42" s="80" t="s">
        <v>151</v>
      </c>
      <c r="I42" s="80">
        <v>6</v>
      </c>
      <c r="J42" s="80">
        <v>860</v>
      </c>
      <c r="K42" s="80">
        <v>792</v>
      </c>
      <c r="L42" s="80">
        <v>860</v>
      </c>
      <c r="M42" s="73">
        <v>44206</v>
      </c>
      <c r="N42" s="80" t="b">
        <v>1</v>
      </c>
      <c r="O42" s="80">
        <v>305200768</v>
      </c>
      <c r="P42" s="80">
        <v>4.1100000000000003</v>
      </c>
      <c r="Q42" s="80">
        <v>1</v>
      </c>
      <c r="R42" s="80" t="s">
        <v>3642</v>
      </c>
      <c r="S42" s="80">
        <v>727</v>
      </c>
      <c r="T42" s="80">
        <v>7271</v>
      </c>
      <c r="U42" s="85" t="s">
        <v>2424</v>
      </c>
      <c r="X42" s="80" t="s">
        <v>1939</v>
      </c>
      <c r="Y42" s="80">
        <v>0</v>
      </c>
      <c r="AA42">
        <f t="shared" si="0"/>
        <v>2164</v>
      </c>
      <c r="AB42" t="str">
        <f t="shared" si="1"/>
        <v>XALIMOV AGZAM</v>
      </c>
      <c r="AC42" t="str">
        <f t="shared" si="2"/>
        <v>KA0236911</v>
      </c>
      <c r="AD42">
        <f t="shared" si="3"/>
        <v>4.1100000000000003</v>
      </c>
      <c r="AE42">
        <f t="shared" si="4"/>
        <v>6</v>
      </c>
    </row>
    <row r="43" spans="1:31" x14ac:dyDescent="0.25">
      <c r="A43" s="80">
        <v>43</v>
      </c>
      <c r="B43" s="80">
        <v>2152</v>
      </c>
      <c r="C43" s="82">
        <v>44206</v>
      </c>
      <c r="D43" s="82" t="s">
        <v>2378</v>
      </c>
      <c r="E43" s="82" t="s">
        <v>2379</v>
      </c>
      <c r="G43" s="80">
        <v>1</v>
      </c>
      <c r="H43" s="80" t="s">
        <v>151</v>
      </c>
      <c r="I43" s="80">
        <v>2</v>
      </c>
      <c r="J43" s="80">
        <v>860</v>
      </c>
      <c r="K43" s="80">
        <v>792</v>
      </c>
      <c r="L43" s="80">
        <v>860</v>
      </c>
      <c r="M43" s="73">
        <v>44206</v>
      </c>
      <c r="N43" s="80" t="b">
        <v>1</v>
      </c>
      <c r="O43" s="80">
        <v>305200768</v>
      </c>
      <c r="P43" s="80">
        <v>1</v>
      </c>
      <c r="Q43" s="80">
        <v>1</v>
      </c>
      <c r="R43" s="80" t="s">
        <v>3642</v>
      </c>
      <c r="S43" s="80">
        <v>727</v>
      </c>
      <c r="T43" s="80">
        <v>7275</v>
      </c>
      <c r="U43" s="85" t="s">
        <v>2377</v>
      </c>
      <c r="X43" s="80" t="s">
        <v>71</v>
      </c>
      <c r="Y43" s="80">
        <v>0</v>
      </c>
      <c r="AA43">
        <f t="shared" si="0"/>
        <v>2152</v>
      </c>
      <c r="AB43" t="str">
        <f t="shared" si="1"/>
        <v>ROMASHEVSKAYA TATYANA</v>
      </c>
      <c r="AC43" t="str">
        <f t="shared" si="2"/>
        <v>AA5164694</v>
      </c>
      <c r="AD43">
        <f t="shared" si="3"/>
        <v>1</v>
      </c>
      <c r="AE43">
        <f t="shared" si="4"/>
        <v>2</v>
      </c>
    </row>
    <row r="44" spans="1:31" x14ac:dyDescent="0.25">
      <c r="A44" s="80">
        <v>44</v>
      </c>
      <c r="B44" s="80">
        <v>2167</v>
      </c>
      <c r="C44" s="82">
        <v>44206</v>
      </c>
      <c r="D44" s="82" t="s">
        <v>3708</v>
      </c>
      <c r="E44" s="82" t="s">
        <v>299</v>
      </c>
      <c r="G44" s="80">
        <v>1</v>
      </c>
      <c r="H44" s="80" t="s">
        <v>151</v>
      </c>
      <c r="I44" s="80">
        <v>5</v>
      </c>
      <c r="J44" s="80">
        <v>860</v>
      </c>
      <c r="K44" s="80">
        <v>792</v>
      </c>
      <c r="L44" s="80">
        <v>860</v>
      </c>
      <c r="M44" s="73">
        <v>44206</v>
      </c>
      <c r="N44" s="80" t="b">
        <v>1</v>
      </c>
      <c r="O44" s="80">
        <v>305200768</v>
      </c>
      <c r="P44" s="80">
        <v>1.4</v>
      </c>
      <c r="Q44" s="80">
        <v>1</v>
      </c>
      <c r="R44" s="80" t="s">
        <v>3642</v>
      </c>
      <c r="S44" s="80">
        <v>727</v>
      </c>
      <c r="T44" s="80">
        <v>7277</v>
      </c>
      <c r="U44" s="85" t="s">
        <v>3377</v>
      </c>
      <c r="X44" s="80" t="s">
        <v>116</v>
      </c>
      <c r="Y44" s="80">
        <v>0</v>
      </c>
      <c r="AA44">
        <f t="shared" si="0"/>
        <v>2167</v>
      </c>
      <c r="AB44" t="str">
        <f t="shared" si="1"/>
        <v>XALMATOVA SITORA</v>
      </c>
      <c r="AC44" t="str">
        <f t="shared" si="2"/>
        <v>AB9927608</v>
      </c>
      <c r="AD44">
        <f t="shared" si="3"/>
        <v>1.4</v>
      </c>
      <c r="AE44">
        <f t="shared" si="4"/>
        <v>5</v>
      </c>
    </row>
    <row r="45" spans="1:31" x14ac:dyDescent="0.25">
      <c r="A45" s="80">
        <v>45</v>
      </c>
      <c r="B45" s="80">
        <v>2151</v>
      </c>
      <c r="C45" s="82">
        <v>44206</v>
      </c>
      <c r="D45" s="82" t="s">
        <v>3231</v>
      </c>
      <c r="E45" s="82" t="s">
        <v>631</v>
      </c>
      <c r="G45" s="80">
        <v>1</v>
      </c>
      <c r="H45" s="80" t="s">
        <v>151</v>
      </c>
      <c r="I45" s="80">
        <v>14</v>
      </c>
      <c r="J45" s="80">
        <v>860</v>
      </c>
      <c r="K45" s="80">
        <v>792</v>
      </c>
      <c r="L45" s="80">
        <v>860</v>
      </c>
      <c r="M45" s="73">
        <v>44206</v>
      </c>
      <c r="N45" s="80" t="b">
        <v>1</v>
      </c>
      <c r="O45" s="80">
        <v>305200768</v>
      </c>
      <c r="P45" s="80">
        <v>2</v>
      </c>
      <c r="Q45" s="80">
        <v>1</v>
      </c>
      <c r="R45" s="80" t="s">
        <v>3642</v>
      </c>
      <c r="S45" s="80">
        <v>727</v>
      </c>
      <c r="T45" s="80">
        <v>7276</v>
      </c>
      <c r="U45" s="85" t="s">
        <v>3378</v>
      </c>
      <c r="X45" s="80" t="s">
        <v>71</v>
      </c>
      <c r="Y45" s="80">
        <v>0</v>
      </c>
      <c r="AA45">
        <f t="shared" si="0"/>
        <v>2151</v>
      </c>
      <c r="AB45" t="str">
        <f t="shared" si="1"/>
        <v>TURATOVA MOXICHEXRA</v>
      </c>
      <c r="AC45" t="str">
        <f t="shared" si="2"/>
        <v>AA1280109</v>
      </c>
      <c r="AD45">
        <f t="shared" si="3"/>
        <v>2</v>
      </c>
      <c r="AE45">
        <f t="shared" si="4"/>
        <v>14</v>
      </c>
    </row>
    <row r="46" spans="1:31" x14ac:dyDescent="0.25">
      <c r="A46" s="80">
        <v>46</v>
      </c>
      <c r="B46" s="80">
        <v>2124</v>
      </c>
      <c r="C46" s="82">
        <v>44206</v>
      </c>
      <c r="D46" s="82" t="s">
        <v>1454</v>
      </c>
      <c r="E46" s="82" t="s">
        <v>2364</v>
      </c>
      <c r="G46" s="80">
        <v>1</v>
      </c>
      <c r="H46" s="80" t="s">
        <v>151</v>
      </c>
      <c r="I46" s="80">
        <v>11</v>
      </c>
      <c r="J46" s="80">
        <v>860</v>
      </c>
      <c r="K46" s="80">
        <v>792</v>
      </c>
      <c r="L46" s="80">
        <v>860</v>
      </c>
      <c r="M46" s="73">
        <v>44206</v>
      </c>
      <c r="N46" s="80" t="b">
        <v>1</v>
      </c>
      <c r="O46" s="80">
        <v>305200768</v>
      </c>
      <c r="P46" s="80">
        <v>3.2</v>
      </c>
      <c r="Q46" s="80">
        <v>1</v>
      </c>
      <c r="R46" s="80" t="s">
        <v>3642</v>
      </c>
      <c r="S46" s="80">
        <v>727</v>
      </c>
      <c r="T46" s="80">
        <v>7274</v>
      </c>
      <c r="U46" s="85" t="s">
        <v>2363</v>
      </c>
      <c r="X46" s="80" t="s">
        <v>71</v>
      </c>
      <c r="Y46" s="80">
        <v>0</v>
      </c>
      <c r="AA46">
        <f t="shared" si="0"/>
        <v>2124</v>
      </c>
      <c r="AB46" t="str">
        <f t="shared" si="1"/>
        <v>KARIMOVA MAYRE</v>
      </c>
      <c r="AC46" t="str">
        <f t="shared" si="2"/>
        <v>AA2919016</v>
      </c>
      <c r="AD46">
        <f t="shared" si="3"/>
        <v>3.2</v>
      </c>
      <c r="AE46">
        <f t="shared" si="4"/>
        <v>11</v>
      </c>
    </row>
    <row r="47" spans="1:31" x14ac:dyDescent="0.25">
      <c r="A47" s="80">
        <v>47</v>
      </c>
      <c r="B47" s="80">
        <v>2125</v>
      </c>
      <c r="C47" s="82">
        <v>44206</v>
      </c>
      <c r="D47" s="82" t="s">
        <v>1271</v>
      </c>
      <c r="E47" s="82" t="s">
        <v>329</v>
      </c>
      <c r="G47" s="80">
        <v>1</v>
      </c>
      <c r="H47" s="80" t="s">
        <v>151</v>
      </c>
      <c r="I47" s="80">
        <v>2</v>
      </c>
      <c r="J47" s="80">
        <v>860</v>
      </c>
      <c r="K47" s="80">
        <v>792</v>
      </c>
      <c r="L47" s="80">
        <v>860</v>
      </c>
      <c r="M47" s="73">
        <v>44206</v>
      </c>
      <c r="N47" s="80" t="b">
        <v>1</v>
      </c>
      <c r="O47" s="80">
        <v>305200768</v>
      </c>
      <c r="P47" s="80">
        <v>1.1000000000000001</v>
      </c>
      <c r="Q47" s="80">
        <v>1</v>
      </c>
      <c r="R47" s="80" t="s">
        <v>3642</v>
      </c>
      <c r="S47" s="80">
        <v>727</v>
      </c>
      <c r="T47" s="80">
        <v>7276</v>
      </c>
      <c r="U47" s="85" t="s">
        <v>2570</v>
      </c>
      <c r="X47" s="80" t="s">
        <v>71</v>
      </c>
      <c r="Y47" s="80">
        <v>0</v>
      </c>
      <c r="AA47">
        <f t="shared" si="0"/>
        <v>2125</v>
      </c>
      <c r="AB47" t="str">
        <f t="shared" si="1"/>
        <v>FAYZULLAYEVA NILUFAR</v>
      </c>
      <c r="AC47" t="str">
        <f t="shared" si="2"/>
        <v>AA1290036</v>
      </c>
      <c r="AD47">
        <f t="shared" si="3"/>
        <v>1.1000000000000001</v>
      </c>
      <c r="AE47">
        <f t="shared" si="4"/>
        <v>2</v>
      </c>
    </row>
    <row r="48" spans="1:31" x14ac:dyDescent="0.25">
      <c r="A48" s="80">
        <v>48</v>
      </c>
      <c r="B48" s="80">
        <v>2166</v>
      </c>
      <c r="C48" s="82">
        <v>44206</v>
      </c>
      <c r="D48" s="82" t="s">
        <v>3381</v>
      </c>
      <c r="E48" s="82" t="s">
        <v>673</v>
      </c>
      <c r="G48" s="80">
        <v>1</v>
      </c>
      <c r="H48" s="80" t="s">
        <v>151</v>
      </c>
      <c r="I48" s="80">
        <v>3</v>
      </c>
      <c r="J48" s="80">
        <v>860</v>
      </c>
      <c r="K48" s="80">
        <v>792</v>
      </c>
      <c r="L48" s="80">
        <v>860</v>
      </c>
      <c r="M48" s="73">
        <v>44206</v>
      </c>
      <c r="N48" s="80" t="b">
        <v>1</v>
      </c>
      <c r="O48" s="80">
        <v>305200768</v>
      </c>
      <c r="P48" s="80">
        <v>1</v>
      </c>
      <c r="Q48" s="80">
        <v>1</v>
      </c>
      <c r="R48" s="80" t="s">
        <v>3642</v>
      </c>
      <c r="S48" s="80">
        <v>727</v>
      </c>
      <c r="T48" s="80">
        <v>7272</v>
      </c>
      <c r="U48" s="85" t="s">
        <v>2426</v>
      </c>
      <c r="X48" s="80" t="s">
        <v>116</v>
      </c>
      <c r="Y48" s="80">
        <v>0</v>
      </c>
      <c r="AA48">
        <f t="shared" si="0"/>
        <v>2166</v>
      </c>
      <c r="AB48" t="str">
        <f t="shared" si="1"/>
        <v>ESANOVA MALIKA</v>
      </c>
      <c r="AC48" t="str">
        <f t="shared" si="2"/>
        <v>AB5986679</v>
      </c>
      <c r="AD48">
        <f t="shared" si="3"/>
        <v>1</v>
      </c>
      <c r="AE48">
        <f t="shared" si="4"/>
        <v>3</v>
      </c>
    </row>
    <row r="49" spans="1:31" x14ac:dyDescent="0.25">
      <c r="A49" s="80">
        <v>49</v>
      </c>
      <c r="B49" s="80">
        <v>2143</v>
      </c>
      <c r="C49" s="82">
        <v>44206</v>
      </c>
      <c r="D49" s="82" t="s">
        <v>3682</v>
      </c>
      <c r="E49" s="82" t="s">
        <v>444</v>
      </c>
      <c r="G49" s="80">
        <v>1</v>
      </c>
      <c r="H49" s="80" t="s">
        <v>151</v>
      </c>
      <c r="I49" s="80">
        <v>4</v>
      </c>
      <c r="J49" s="80">
        <v>860</v>
      </c>
      <c r="K49" s="80">
        <v>792</v>
      </c>
      <c r="L49" s="80">
        <v>860</v>
      </c>
      <c r="M49" s="73">
        <v>44206</v>
      </c>
      <c r="N49" s="80" t="b">
        <v>1</v>
      </c>
      <c r="O49" s="80">
        <v>305200768</v>
      </c>
      <c r="P49" s="80">
        <v>1.2</v>
      </c>
      <c r="Q49" s="80">
        <v>1</v>
      </c>
      <c r="R49" s="80" t="s">
        <v>3642</v>
      </c>
      <c r="S49" s="80">
        <v>727</v>
      </c>
      <c r="T49" s="80">
        <v>7276</v>
      </c>
      <c r="U49" s="85" t="s">
        <v>345</v>
      </c>
      <c r="X49" s="80" t="s">
        <v>71</v>
      </c>
      <c r="Y49" s="80">
        <v>0</v>
      </c>
      <c r="AA49">
        <f t="shared" si="0"/>
        <v>2143</v>
      </c>
      <c r="AB49" t="str">
        <f t="shared" si="1"/>
        <v>FARMANOV AKOBIR</v>
      </c>
      <c r="AC49" t="str">
        <f t="shared" si="2"/>
        <v>AA3815921</v>
      </c>
      <c r="AD49">
        <f t="shared" si="3"/>
        <v>1.2</v>
      </c>
      <c r="AE49">
        <f t="shared" si="4"/>
        <v>4</v>
      </c>
    </row>
    <row r="50" spans="1:31" x14ac:dyDescent="0.25">
      <c r="A50" s="80">
        <v>50</v>
      </c>
      <c r="B50" s="80">
        <v>2147</v>
      </c>
      <c r="C50" s="82">
        <v>44206</v>
      </c>
      <c r="D50" s="82" t="s">
        <v>333</v>
      </c>
      <c r="E50" s="82" t="s">
        <v>1658</v>
      </c>
      <c r="G50" s="80">
        <v>1</v>
      </c>
      <c r="H50" s="80" t="s">
        <v>151</v>
      </c>
      <c r="I50" s="80">
        <v>9</v>
      </c>
      <c r="J50" s="80">
        <v>860</v>
      </c>
      <c r="K50" s="80">
        <v>792</v>
      </c>
      <c r="L50" s="80">
        <v>860</v>
      </c>
      <c r="M50" s="73">
        <v>44206</v>
      </c>
      <c r="N50" s="80" t="b">
        <v>1</v>
      </c>
      <c r="O50" s="80">
        <v>305200768</v>
      </c>
      <c r="P50" s="80">
        <v>2.12</v>
      </c>
      <c r="Q50" s="80">
        <v>1</v>
      </c>
      <c r="R50" s="80" t="s">
        <v>3642</v>
      </c>
      <c r="S50" s="80">
        <v>727</v>
      </c>
      <c r="T50" s="80">
        <v>7277</v>
      </c>
      <c r="U50" s="85" t="s">
        <v>3386</v>
      </c>
      <c r="X50" s="80" t="s">
        <v>71</v>
      </c>
      <c r="Y50" s="80">
        <v>0</v>
      </c>
      <c r="AA50">
        <f t="shared" si="0"/>
        <v>2147</v>
      </c>
      <c r="AB50" t="str">
        <f t="shared" si="1"/>
        <v>IBRAGIMOVA ANNA</v>
      </c>
      <c r="AC50" t="str">
        <f t="shared" si="2"/>
        <v>AA0860854</v>
      </c>
      <c r="AD50">
        <f t="shared" si="3"/>
        <v>2.12</v>
      </c>
      <c r="AE50">
        <f t="shared" si="4"/>
        <v>9</v>
      </c>
    </row>
    <row r="51" spans="1:31" x14ac:dyDescent="0.25">
      <c r="A51" s="80">
        <v>51</v>
      </c>
      <c r="B51" s="80">
        <v>2126</v>
      </c>
      <c r="C51" s="82">
        <v>44206</v>
      </c>
      <c r="D51" s="82" t="s">
        <v>1348</v>
      </c>
      <c r="E51" s="82" t="s">
        <v>1405</v>
      </c>
      <c r="G51" s="80">
        <v>1</v>
      </c>
      <c r="H51" s="80" t="s">
        <v>151</v>
      </c>
      <c r="I51" s="80">
        <v>27</v>
      </c>
      <c r="J51" s="80">
        <v>860</v>
      </c>
      <c r="K51" s="80">
        <v>792</v>
      </c>
      <c r="L51" s="80">
        <v>860</v>
      </c>
      <c r="M51" s="73">
        <v>44206</v>
      </c>
      <c r="N51" s="80" t="b">
        <v>1</v>
      </c>
      <c r="O51" s="80">
        <v>305200768</v>
      </c>
      <c r="P51" s="80">
        <v>4.2</v>
      </c>
      <c r="Q51" s="80">
        <v>1</v>
      </c>
      <c r="R51" s="80" t="s">
        <v>3642</v>
      </c>
      <c r="S51" s="80">
        <v>727</v>
      </c>
      <c r="T51" s="80">
        <v>7275</v>
      </c>
      <c r="U51" s="85" t="s">
        <v>2367</v>
      </c>
      <c r="X51" s="80" t="s">
        <v>71</v>
      </c>
      <c r="Y51" s="80">
        <v>0</v>
      </c>
      <c r="AA51">
        <f t="shared" si="0"/>
        <v>2126</v>
      </c>
      <c r="AB51" t="str">
        <f t="shared" si="1"/>
        <v>OMONOVA CHAROS</v>
      </c>
      <c r="AC51" t="str">
        <f t="shared" si="2"/>
        <v>AA4149211</v>
      </c>
      <c r="AD51">
        <f t="shared" si="3"/>
        <v>4.2</v>
      </c>
      <c r="AE51">
        <f t="shared" si="4"/>
        <v>27</v>
      </c>
    </row>
    <row r="52" spans="1:31" x14ac:dyDescent="0.25">
      <c r="A52" s="80">
        <v>52</v>
      </c>
      <c r="B52" s="80">
        <v>2153</v>
      </c>
      <c r="C52" s="82">
        <v>44206</v>
      </c>
      <c r="D52" s="82" t="s">
        <v>3215</v>
      </c>
      <c r="E52" s="82" t="s">
        <v>347</v>
      </c>
      <c r="G52" s="80">
        <v>1</v>
      </c>
      <c r="H52" s="80" t="s">
        <v>151</v>
      </c>
      <c r="I52" s="80">
        <v>8</v>
      </c>
      <c r="J52" s="80">
        <v>860</v>
      </c>
      <c r="K52" s="80">
        <v>792</v>
      </c>
      <c r="L52" s="80">
        <v>860</v>
      </c>
      <c r="M52" s="73">
        <v>44206</v>
      </c>
      <c r="N52" s="80" t="b">
        <v>1</v>
      </c>
      <c r="O52" s="80">
        <v>305200768</v>
      </c>
      <c r="P52" s="80">
        <v>1.59</v>
      </c>
      <c r="Q52" s="80">
        <v>1</v>
      </c>
      <c r="R52" s="80" t="s">
        <v>3642</v>
      </c>
      <c r="S52" s="80">
        <v>727</v>
      </c>
      <c r="T52" s="80">
        <v>7274</v>
      </c>
      <c r="U52" s="85" t="s">
        <v>348</v>
      </c>
      <c r="X52" s="80" t="s">
        <v>71</v>
      </c>
      <c r="Y52" s="80">
        <v>0</v>
      </c>
      <c r="AA52">
        <f t="shared" si="0"/>
        <v>2153</v>
      </c>
      <c r="AB52" t="str">
        <f t="shared" si="1"/>
        <v>XAMITOVA RIZIDA</v>
      </c>
      <c r="AC52" t="str">
        <f t="shared" si="2"/>
        <v>AA0643525</v>
      </c>
      <c r="AD52">
        <f t="shared" si="3"/>
        <v>1.59</v>
      </c>
      <c r="AE52">
        <f t="shared" si="4"/>
        <v>8</v>
      </c>
    </row>
    <row r="53" spans="1:31" x14ac:dyDescent="0.25">
      <c r="A53" s="80">
        <v>53</v>
      </c>
      <c r="B53" s="80">
        <v>2117</v>
      </c>
      <c r="C53" s="82">
        <v>44206</v>
      </c>
      <c r="D53" s="82" t="s">
        <v>3675</v>
      </c>
      <c r="E53" s="82" t="s">
        <v>3648</v>
      </c>
      <c r="G53" s="80">
        <v>1</v>
      </c>
      <c r="H53" s="80" t="s">
        <v>151</v>
      </c>
      <c r="I53" s="80">
        <v>21</v>
      </c>
      <c r="J53" s="80">
        <v>860</v>
      </c>
      <c r="K53" s="80">
        <v>792</v>
      </c>
      <c r="L53" s="80">
        <v>860</v>
      </c>
      <c r="M53" s="73">
        <v>44206</v>
      </c>
      <c r="N53" s="80" t="b">
        <v>1</v>
      </c>
      <c r="O53" s="80">
        <v>305200768</v>
      </c>
      <c r="P53" s="80">
        <v>5.28</v>
      </c>
      <c r="Q53" s="80">
        <v>1</v>
      </c>
      <c r="R53" s="80" t="s">
        <v>3642</v>
      </c>
      <c r="S53" s="80">
        <v>727</v>
      </c>
      <c r="T53" s="80">
        <v>7275</v>
      </c>
      <c r="U53" s="85" t="s">
        <v>2389</v>
      </c>
      <c r="X53" s="80" t="s">
        <v>71</v>
      </c>
      <c r="Y53" s="80">
        <v>0</v>
      </c>
      <c r="AA53">
        <f t="shared" si="0"/>
        <v>2117</v>
      </c>
      <c r="AB53" t="str">
        <f t="shared" si="1"/>
        <v>DJALALOV ABBAS</v>
      </c>
      <c r="AC53" t="str">
        <f t="shared" si="2"/>
        <v>AA1962431</v>
      </c>
      <c r="AD53">
        <f t="shared" si="3"/>
        <v>5.28</v>
      </c>
      <c r="AE53">
        <f t="shared" si="4"/>
        <v>21</v>
      </c>
    </row>
    <row r="54" spans="1:31" x14ac:dyDescent="0.25">
      <c r="A54" s="80">
        <v>54</v>
      </c>
      <c r="B54" s="80">
        <v>2144</v>
      </c>
      <c r="C54" s="82">
        <v>44206</v>
      </c>
      <c r="D54" s="82" t="s">
        <v>3195</v>
      </c>
      <c r="E54" s="82" t="s">
        <v>2425</v>
      </c>
      <c r="G54" s="80">
        <v>1</v>
      </c>
      <c r="H54" s="80" t="s">
        <v>3326</v>
      </c>
      <c r="I54" s="80">
        <v>44</v>
      </c>
      <c r="J54" s="80">
        <v>860</v>
      </c>
      <c r="K54" s="80">
        <v>792</v>
      </c>
      <c r="L54" s="80">
        <v>860</v>
      </c>
      <c r="M54" s="73">
        <v>44206</v>
      </c>
      <c r="N54" s="80" t="b">
        <v>1</v>
      </c>
      <c r="O54" s="80">
        <v>305200768</v>
      </c>
      <c r="P54" s="80">
        <v>14.4</v>
      </c>
      <c r="Q54" s="80">
        <v>1</v>
      </c>
      <c r="R54" s="80" t="s">
        <v>3642</v>
      </c>
      <c r="S54" s="80">
        <v>735</v>
      </c>
      <c r="T54" s="80">
        <v>7355</v>
      </c>
      <c r="U54" s="85" t="s">
        <v>2424</v>
      </c>
      <c r="X54" s="80" t="s">
        <v>1939</v>
      </c>
      <c r="Y54" s="80">
        <v>0</v>
      </c>
      <c r="AA54">
        <f t="shared" si="0"/>
        <v>2144</v>
      </c>
      <c r="AB54" t="str">
        <f t="shared" si="1"/>
        <v>XALIMOV AGZAM</v>
      </c>
      <c r="AC54" t="str">
        <f t="shared" si="2"/>
        <v>KA0236911</v>
      </c>
      <c r="AD54">
        <f t="shared" si="3"/>
        <v>14.4</v>
      </c>
      <c r="AE54">
        <f t="shared" si="4"/>
        <v>44</v>
      </c>
    </row>
    <row r="55" spans="1:31" x14ac:dyDescent="0.25">
      <c r="A55" s="80">
        <v>55</v>
      </c>
      <c r="B55" s="80">
        <v>2165</v>
      </c>
      <c r="C55" s="82">
        <v>44206</v>
      </c>
      <c r="D55" s="82" t="s">
        <v>3401</v>
      </c>
      <c r="E55" s="82" t="s">
        <v>1090</v>
      </c>
      <c r="G55" s="80">
        <v>1</v>
      </c>
      <c r="H55" s="80" t="s">
        <v>151</v>
      </c>
      <c r="I55" s="80">
        <v>46</v>
      </c>
      <c r="J55" s="80">
        <v>860</v>
      </c>
      <c r="K55" s="80">
        <v>792</v>
      </c>
      <c r="L55" s="80">
        <v>860</v>
      </c>
      <c r="M55" s="73">
        <v>44206</v>
      </c>
      <c r="N55" s="80" t="b">
        <v>1</v>
      </c>
      <c r="O55" s="80">
        <v>305200768</v>
      </c>
      <c r="P55" s="80">
        <v>7.5</v>
      </c>
      <c r="Q55" s="80">
        <v>1</v>
      </c>
      <c r="R55" s="80" t="s">
        <v>3642</v>
      </c>
      <c r="S55" s="80">
        <v>727</v>
      </c>
      <c r="T55" s="80">
        <v>7274</v>
      </c>
      <c r="U55" s="85" t="s">
        <v>2348</v>
      </c>
      <c r="X55" s="80" t="s">
        <v>116</v>
      </c>
      <c r="Y55" s="80">
        <v>0</v>
      </c>
      <c r="AA55">
        <f t="shared" si="0"/>
        <v>2165</v>
      </c>
      <c r="AB55" t="str">
        <f t="shared" si="1"/>
        <v>SHANASIROVA MUNAVVAR</v>
      </c>
      <c r="AC55" t="str">
        <f t="shared" si="2"/>
        <v>AB4317219</v>
      </c>
      <c r="AD55">
        <f t="shared" si="3"/>
        <v>7.5</v>
      </c>
      <c r="AE55">
        <f t="shared" si="4"/>
        <v>46</v>
      </c>
    </row>
    <row r="56" spans="1:31" x14ac:dyDescent="0.25">
      <c r="A56" s="80">
        <v>56</v>
      </c>
      <c r="B56" s="80">
        <v>2171</v>
      </c>
      <c r="C56" s="82">
        <v>44206</v>
      </c>
      <c r="D56" s="82" t="s">
        <v>3401</v>
      </c>
      <c r="E56" s="82" t="s">
        <v>1090</v>
      </c>
      <c r="G56" s="80">
        <v>1</v>
      </c>
      <c r="H56" s="80" t="s">
        <v>151</v>
      </c>
      <c r="I56" s="80">
        <v>9</v>
      </c>
      <c r="J56" s="80">
        <v>860</v>
      </c>
      <c r="K56" s="80">
        <v>792</v>
      </c>
      <c r="L56" s="80">
        <v>860</v>
      </c>
      <c r="M56" s="73">
        <v>44206</v>
      </c>
      <c r="N56" s="80" t="b">
        <v>1</v>
      </c>
      <c r="O56" s="80">
        <v>305200768</v>
      </c>
      <c r="P56" s="80">
        <v>4.32</v>
      </c>
      <c r="Q56" s="80">
        <v>1</v>
      </c>
      <c r="R56" s="80" t="s">
        <v>3642</v>
      </c>
      <c r="S56" s="80">
        <v>727</v>
      </c>
      <c r="T56" s="80">
        <v>7273</v>
      </c>
      <c r="U56" s="85" t="s">
        <v>2348</v>
      </c>
      <c r="X56" s="80" t="s">
        <v>116</v>
      </c>
      <c r="Y56" s="80">
        <v>0</v>
      </c>
      <c r="AA56">
        <f t="shared" si="0"/>
        <v>2171</v>
      </c>
      <c r="AB56" t="str">
        <f t="shared" si="1"/>
        <v>SHANASIROVA MUNAVVAR</v>
      </c>
      <c r="AC56" t="str">
        <f t="shared" si="2"/>
        <v>AB4317219</v>
      </c>
      <c r="AD56">
        <f t="shared" si="3"/>
        <v>4.32</v>
      </c>
      <c r="AE56">
        <f t="shared" si="4"/>
        <v>9</v>
      </c>
    </row>
    <row r="57" spans="1:31" x14ac:dyDescent="0.25">
      <c r="A57" s="80">
        <v>57</v>
      </c>
      <c r="B57" s="80">
        <v>2170</v>
      </c>
      <c r="C57" s="82">
        <v>44206</v>
      </c>
      <c r="D57" s="82" t="s">
        <v>1686</v>
      </c>
      <c r="E57" s="82" t="s">
        <v>1687</v>
      </c>
      <c r="G57" s="80">
        <v>1</v>
      </c>
      <c r="H57" s="80" t="s">
        <v>151</v>
      </c>
      <c r="I57" s="80">
        <v>3</v>
      </c>
      <c r="J57" s="80">
        <v>860</v>
      </c>
      <c r="K57" s="80">
        <v>792</v>
      </c>
      <c r="L57" s="80">
        <v>860</v>
      </c>
      <c r="M57" s="73">
        <v>44206</v>
      </c>
      <c r="N57" s="80" t="b">
        <v>1</v>
      </c>
      <c r="O57" s="80">
        <v>305200768</v>
      </c>
      <c r="P57" s="80">
        <v>7.1</v>
      </c>
      <c r="Q57" s="80">
        <v>1</v>
      </c>
      <c r="R57" s="80" t="s">
        <v>3642</v>
      </c>
      <c r="S57" s="80">
        <v>727</v>
      </c>
      <c r="T57" s="80">
        <v>7271</v>
      </c>
      <c r="U57" s="85" t="s">
        <v>1685</v>
      </c>
      <c r="X57" s="80" t="s">
        <v>116</v>
      </c>
      <c r="Y57" s="80">
        <v>0</v>
      </c>
      <c r="AA57">
        <f t="shared" si="0"/>
        <v>2170</v>
      </c>
      <c r="AB57" t="str">
        <f t="shared" si="1"/>
        <v>XAYDAROV SANJAR</v>
      </c>
      <c r="AC57" t="str">
        <f t="shared" si="2"/>
        <v>AB4021137</v>
      </c>
      <c r="AD57">
        <f t="shared" si="3"/>
        <v>7.1</v>
      </c>
      <c r="AE57">
        <f t="shared" si="4"/>
        <v>3</v>
      </c>
    </row>
    <row r="58" spans="1:31" x14ac:dyDescent="0.25">
      <c r="A58" s="80">
        <v>58</v>
      </c>
      <c r="B58" s="80">
        <v>2171</v>
      </c>
      <c r="C58" s="82">
        <v>44206</v>
      </c>
      <c r="D58" s="82" t="s">
        <v>169</v>
      </c>
      <c r="E58" s="82" t="s">
        <v>3658</v>
      </c>
      <c r="G58" s="80">
        <v>1</v>
      </c>
      <c r="H58" s="80" t="s">
        <v>151</v>
      </c>
      <c r="I58" s="80">
        <v>2</v>
      </c>
      <c r="J58" s="80">
        <v>860</v>
      </c>
      <c r="K58" s="80">
        <v>792</v>
      </c>
      <c r="L58" s="80">
        <v>860</v>
      </c>
      <c r="M58" s="73">
        <v>44206</v>
      </c>
      <c r="N58" s="80" t="b">
        <v>1</v>
      </c>
      <c r="O58" s="80">
        <v>305200768</v>
      </c>
      <c r="P58" s="80">
        <v>9.6999999999999993</v>
      </c>
      <c r="Q58" s="80">
        <v>1</v>
      </c>
      <c r="R58" s="80" t="s">
        <v>3642</v>
      </c>
      <c r="S58" s="80">
        <v>727</v>
      </c>
      <c r="T58" s="80">
        <v>7277</v>
      </c>
      <c r="U58" s="85" t="s">
        <v>3403</v>
      </c>
      <c r="X58" s="80" t="s">
        <v>71</v>
      </c>
      <c r="Y58" s="80">
        <v>0</v>
      </c>
      <c r="AA58">
        <f t="shared" si="0"/>
        <v>2171</v>
      </c>
      <c r="AB58" t="str">
        <f t="shared" si="1"/>
        <v>USMANOVA FIRUZA</v>
      </c>
      <c r="AC58" t="str">
        <f t="shared" si="2"/>
        <v>AA8706936</v>
      </c>
      <c r="AD58">
        <f t="shared" si="3"/>
        <v>9.6999999999999993</v>
      </c>
      <c r="AE58">
        <f t="shared" si="4"/>
        <v>2</v>
      </c>
    </row>
    <row r="59" spans="1:31" x14ac:dyDescent="0.25">
      <c r="A59" s="80">
        <v>59</v>
      </c>
      <c r="B59" s="80">
        <v>2176</v>
      </c>
      <c r="C59" s="82">
        <v>44206</v>
      </c>
      <c r="D59" s="82" t="s">
        <v>3407</v>
      </c>
      <c r="E59" s="82" t="s">
        <v>574</v>
      </c>
      <c r="G59" s="80">
        <v>1</v>
      </c>
      <c r="H59" s="80" t="s">
        <v>151</v>
      </c>
      <c r="I59" s="80">
        <v>16</v>
      </c>
      <c r="J59" s="80">
        <v>860</v>
      </c>
      <c r="K59" s="80">
        <v>792</v>
      </c>
      <c r="L59" s="80">
        <v>860</v>
      </c>
      <c r="M59" s="73">
        <v>44206</v>
      </c>
      <c r="N59" s="80" t="b">
        <v>1</v>
      </c>
      <c r="O59" s="80">
        <v>305200768</v>
      </c>
      <c r="P59" s="80">
        <v>8.4699999999999989</v>
      </c>
      <c r="Q59" s="80">
        <v>1</v>
      </c>
      <c r="R59" s="80" t="s">
        <v>3642</v>
      </c>
      <c r="S59" s="80">
        <v>727</v>
      </c>
      <c r="T59" s="80">
        <v>7273</v>
      </c>
      <c r="U59" s="85" t="s">
        <v>3408</v>
      </c>
      <c r="X59" s="80" t="s">
        <v>116</v>
      </c>
      <c r="Y59" s="80">
        <v>0</v>
      </c>
      <c r="AA59">
        <f t="shared" si="0"/>
        <v>2176</v>
      </c>
      <c r="AB59" t="str">
        <f t="shared" si="1"/>
        <v>ISAMATOVA DILNOZA</v>
      </c>
      <c r="AC59" t="str">
        <f t="shared" si="2"/>
        <v>AB2086171</v>
      </c>
      <c r="AD59">
        <f t="shared" si="3"/>
        <v>8.4699999999999989</v>
      </c>
      <c r="AE59">
        <f t="shared" si="4"/>
        <v>16</v>
      </c>
    </row>
    <row r="60" spans="1:31" x14ac:dyDescent="0.25">
      <c r="A60" s="80">
        <v>60</v>
      </c>
      <c r="B60" s="80">
        <v>2173</v>
      </c>
      <c r="C60" s="82">
        <v>44206</v>
      </c>
      <c r="D60" s="82" t="s">
        <v>3407</v>
      </c>
      <c r="E60" s="82" t="s">
        <v>574</v>
      </c>
      <c r="G60" s="80">
        <v>1</v>
      </c>
      <c r="H60" s="80" t="s">
        <v>151</v>
      </c>
      <c r="I60" s="80">
        <v>23</v>
      </c>
      <c r="J60" s="80">
        <v>860</v>
      </c>
      <c r="K60" s="80">
        <v>792</v>
      </c>
      <c r="L60" s="80">
        <v>860</v>
      </c>
      <c r="M60" s="73">
        <v>44206</v>
      </c>
      <c r="N60" s="80" t="b">
        <v>1</v>
      </c>
      <c r="O60" s="80">
        <v>305200768</v>
      </c>
      <c r="P60" s="80">
        <v>15.2</v>
      </c>
      <c r="Q60" s="80">
        <v>1</v>
      </c>
      <c r="R60" s="80" t="s">
        <v>3642</v>
      </c>
      <c r="S60" s="80">
        <v>727</v>
      </c>
      <c r="T60" s="80">
        <v>7271</v>
      </c>
      <c r="U60" s="85" t="s">
        <v>3408</v>
      </c>
      <c r="X60" s="80" t="s">
        <v>116</v>
      </c>
      <c r="Y60" s="80">
        <v>0</v>
      </c>
      <c r="AA60">
        <f t="shared" si="0"/>
        <v>2173</v>
      </c>
      <c r="AB60" t="str">
        <f t="shared" si="1"/>
        <v>ISAMATOVA DILNOZA</v>
      </c>
      <c r="AC60" t="str">
        <f t="shared" si="2"/>
        <v>AB2086171</v>
      </c>
      <c r="AD60">
        <f t="shared" si="3"/>
        <v>15.2</v>
      </c>
      <c r="AE60">
        <f t="shared" si="4"/>
        <v>23</v>
      </c>
    </row>
    <row r="61" spans="1:31" x14ac:dyDescent="0.25">
      <c r="A61" s="80">
        <v>61</v>
      </c>
      <c r="B61" s="80">
        <v>2174</v>
      </c>
      <c r="C61" s="82">
        <v>44206</v>
      </c>
      <c r="D61" s="82" t="s">
        <v>3407</v>
      </c>
      <c r="E61" s="82" t="s">
        <v>574</v>
      </c>
      <c r="G61" s="80">
        <v>1</v>
      </c>
      <c r="H61" s="80" t="s">
        <v>151</v>
      </c>
      <c r="I61" s="80">
        <v>20</v>
      </c>
      <c r="J61" s="80">
        <v>860</v>
      </c>
      <c r="K61" s="80">
        <v>792</v>
      </c>
      <c r="L61" s="80">
        <v>860</v>
      </c>
      <c r="M61" s="73">
        <v>44206</v>
      </c>
      <c r="N61" s="80" t="b">
        <v>1</v>
      </c>
      <c r="O61" s="80">
        <v>305200768</v>
      </c>
      <c r="P61" s="80">
        <v>13.68</v>
      </c>
      <c r="Q61" s="80">
        <v>1</v>
      </c>
      <c r="R61" s="80" t="s">
        <v>3642</v>
      </c>
      <c r="S61" s="80">
        <v>727</v>
      </c>
      <c r="T61" s="80">
        <v>7276</v>
      </c>
      <c r="U61" s="85" t="s">
        <v>3408</v>
      </c>
      <c r="X61" s="80" t="s">
        <v>116</v>
      </c>
      <c r="Y61" s="80">
        <v>0</v>
      </c>
      <c r="AA61">
        <f t="shared" si="0"/>
        <v>2174</v>
      </c>
      <c r="AB61" t="str">
        <f t="shared" si="1"/>
        <v>ISAMATOVA DILNOZA</v>
      </c>
      <c r="AC61" t="str">
        <f t="shared" si="2"/>
        <v>AB2086171</v>
      </c>
      <c r="AD61">
        <f t="shared" si="3"/>
        <v>13.68</v>
      </c>
      <c r="AE61">
        <f t="shared" si="4"/>
        <v>20</v>
      </c>
    </row>
    <row r="62" spans="1:31" x14ac:dyDescent="0.25">
      <c r="A62" s="80">
        <v>62</v>
      </c>
      <c r="B62" s="80">
        <v>2175</v>
      </c>
      <c r="C62" s="82">
        <v>44206</v>
      </c>
      <c r="D62" s="82" t="s">
        <v>3414</v>
      </c>
      <c r="E62" s="82" t="s">
        <v>2394</v>
      </c>
      <c r="G62" s="80">
        <v>1</v>
      </c>
      <c r="H62" s="80" t="s">
        <v>151</v>
      </c>
      <c r="I62" s="80">
        <v>7</v>
      </c>
      <c r="J62" s="80">
        <v>860</v>
      </c>
      <c r="K62" s="80">
        <v>792</v>
      </c>
      <c r="L62" s="80">
        <v>860</v>
      </c>
      <c r="M62" s="73">
        <v>44206</v>
      </c>
      <c r="N62" s="80" t="b">
        <v>1</v>
      </c>
      <c r="O62" s="80">
        <v>305200768</v>
      </c>
      <c r="P62" s="80">
        <v>1.5</v>
      </c>
      <c r="Q62" s="80">
        <v>1</v>
      </c>
      <c r="R62" s="80" t="s">
        <v>3642</v>
      </c>
      <c r="S62" s="80">
        <v>727</v>
      </c>
      <c r="T62" s="80">
        <v>7277</v>
      </c>
      <c r="U62" s="85" t="s">
        <v>3415</v>
      </c>
      <c r="X62" s="80" t="s">
        <v>71</v>
      </c>
      <c r="Y62" s="80">
        <v>0</v>
      </c>
      <c r="AA62">
        <f t="shared" si="0"/>
        <v>2175</v>
      </c>
      <c r="AB62" t="str">
        <f t="shared" si="1"/>
        <v>BAYMATOVA GUZAL</v>
      </c>
      <c r="AC62" t="str">
        <f t="shared" si="2"/>
        <v>AA0324322</v>
      </c>
      <c r="AD62">
        <f t="shared" si="3"/>
        <v>1.5</v>
      </c>
      <c r="AE62">
        <f t="shared" si="4"/>
        <v>7</v>
      </c>
    </row>
    <row r="63" spans="1:31" x14ac:dyDescent="0.25">
      <c r="A63" s="80">
        <v>63</v>
      </c>
      <c r="B63" s="80">
        <v>2177</v>
      </c>
      <c r="C63" s="82">
        <v>44206</v>
      </c>
      <c r="D63" s="82" t="s">
        <v>3204</v>
      </c>
      <c r="E63" s="82" t="s">
        <v>788</v>
      </c>
      <c r="G63" s="80">
        <v>1</v>
      </c>
      <c r="H63" s="80" t="s">
        <v>151</v>
      </c>
      <c r="I63" s="80">
        <v>21</v>
      </c>
      <c r="J63" s="80">
        <v>860</v>
      </c>
      <c r="K63" s="80">
        <v>792</v>
      </c>
      <c r="L63" s="80">
        <v>860</v>
      </c>
      <c r="M63" s="73">
        <v>44206</v>
      </c>
      <c r="N63" s="80" t="b">
        <v>1</v>
      </c>
      <c r="O63" s="80">
        <v>305200768</v>
      </c>
      <c r="P63" s="80">
        <v>5.28</v>
      </c>
      <c r="Q63" s="80">
        <v>1</v>
      </c>
      <c r="R63" s="80" t="s">
        <v>3642</v>
      </c>
      <c r="S63" s="80">
        <v>727</v>
      </c>
      <c r="T63" s="80">
        <v>7275</v>
      </c>
      <c r="U63" s="85" t="s">
        <v>2581</v>
      </c>
      <c r="X63" s="80" t="s">
        <v>71</v>
      </c>
      <c r="Y63" s="80">
        <v>0</v>
      </c>
      <c r="AA63">
        <f t="shared" si="0"/>
        <v>2177</v>
      </c>
      <c r="AB63" t="str">
        <f t="shared" si="1"/>
        <v>DADAMUXAMEDOVA SHAXNOZA</v>
      </c>
      <c r="AC63" t="str">
        <f t="shared" si="2"/>
        <v>AA0301215</v>
      </c>
      <c r="AD63">
        <f t="shared" si="3"/>
        <v>5.28</v>
      </c>
      <c r="AE63">
        <f t="shared" si="4"/>
        <v>21</v>
      </c>
    </row>
    <row r="64" spans="1:31" x14ac:dyDescent="0.25">
      <c r="A64" s="80">
        <v>64</v>
      </c>
      <c r="B64" s="80">
        <v>2178</v>
      </c>
      <c r="C64" s="82">
        <v>44206</v>
      </c>
      <c r="D64" s="82" t="s">
        <v>343</v>
      </c>
      <c r="E64" s="82" t="s">
        <v>299</v>
      </c>
      <c r="G64" s="80">
        <v>1</v>
      </c>
      <c r="H64" s="80" t="s">
        <v>151</v>
      </c>
      <c r="I64" s="80">
        <v>15</v>
      </c>
      <c r="J64" s="80">
        <v>860</v>
      </c>
      <c r="K64" s="80">
        <v>792</v>
      </c>
      <c r="L64" s="80">
        <v>860</v>
      </c>
      <c r="M64" s="73">
        <v>44206</v>
      </c>
      <c r="N64" s="80" t="b">
        <v>1</v>
      </c>
      <c r="O64" s="80">
        <v>305200768</v>
      </c>
      <c r="P64" s="80">
        <v>4.8000000000000007</v>
      </c>
      <c r="Q64" s="80">
        <v>1</v>
      </c>
      <c r="R64" s="80" t="s">
        <v>3642</v>
      </c>
      <c r="S64" s="80">
        <v>727</v>
      </c>
      <c r="T64" s="80">
        <v>7275</v>
      </c>
      <c r="U64" s="85" t="s">
        <v>344</v>
      </c>
      <c r="X64" s="80" t="s">
        <v>116</v>
      </c>
      <c r="Y64" s="80">
        <v>0</v>
      </c>
      <c r="AA64">
        <f t="shared" si="0"/>
        <v>2178</v>
      </c>
      <c r="AB64" t="str">
        <f t="shared" si="1"/>
        <v>ZAFAROVA SITORA</v>
      </c>
      <c r="AC64" t="str">
        <f t="shared" si="2"/>
        <v>AB5141555</v>
      </c>
      <c r="AD64">
        <f t="shared" si="3"/>
        <v>4.8000000000000007</v>
      </c>
      <c r="AE64">
        <f t="shared" si="4"/>
        <v>15</v>
      </c>
    </row>
    <row r="65" spans="1:31" x14ac:dyDescent="0.25">
      <c r="A65" s="80">
        <v>65</v>
      </c>
      <c r="B65" s="80">
        <v>2179</v>
      </c>
      <c r="C65" s="82">
        <v>44206</v>
      </c>
      <c r="D65" s="82" t="s">
        <v>2354</v>
      </c>
      <c r="E65" s="82" t="s">
        <v>2355</v>
      </c>
      <c r="G65" s="80">
        <v>1</v>
      </c>
      <c r="H65" s="80" t="s">
        <v>151</v>
      </c>
      <c r="I65" s="80">
        <v>45</v>
      </c>
      <c r="J65" s="80">
        <v>860</v>
      </c>
      <c r="K65" s="80">
        <v>792</v>
      </c>
      <c r="L65" s="80">
        <v>860</v>
      </c>
      <c r="M65" s="73">
        <v>44206</v>
      </c>
      <c r="N65" s="80" t="b">
        <v>1</v>
      </c>
      <c r="O65" s="80">
        <v>305200768</v>
      </c>
      <c r="P65" s="80">
        <v>5.04</v>
      </c>
      <c r="Q65" s="80">
        <v>1</v>
      </c>
      <c r="R65" s="80" t="s">
        <v>3642</v>
      </c>
      <c r="S65" s="80">
        <v>727</v>
      </c>
      <c r="T65" s="80">
        <v>7278</v>
      </c>
      <c r="U65" s="85" t="s">
        <v>2353</v>
      </c>
      <c r="X65" s="80" t="s">
        <v>71</v>
      </c>
      <c r="Y65" s="80">
        <v>0</v>
      </c>
      <c r="AA65">
        <f t="shared" si="0"/>
        <v>2179</v>
      </c>
      <c r="AB65" t="str">
        <f t="shared" si="1"/>
        <v>MALOVA OLGA</v>
      </c>
      <c r="AC65" t="str">
        <f t="shared" si="2"/>
        <v>AA0956151</v>
      </c>
      <c r="AD65">
        <f t="shared" si="3"/>
        <v>5.04</v>
      </c>
      <c r="AE65">
        <f t="shared" si="4"/>
        <v>45</v>
      </c>
    </row>
    <row r="66" spans="1:31" x14ac:dyDescent="0.25">
      <c r="A66" s="80">
        <v>66</v>
      </c>
      <c r="B66" s="80">
        <v>2180</v>
      </c>
      <c r="C66" s="82">
        <v>44206</v>
      </c>
      <c r="D66" s="82" t="s">
        <v>3690</v>
      </c>
      <c r="E66" s="82" t="s">
        <v>3656</v>
      </c>
      <c r="G66" s="80">
        <v>1</v>
      </c>
      <c r="H66" s="80" t="s">
        <v>151</v>
      </c>
      <c r="I66" s="80">
        <v>62</v>
      </c>
      <c r="J66" s="80">
        <v>860</v>
      </c>
      <c r="K66" s="80">
        <v>792</v>
      </c>
      <c r="L66" s="80">
        <v>860</v>
      </c>
      <c r="M66" s="73">
        <v>44206</v>
      </c>
      <c r="N66" s="80" t="b">
        <v>1</v>
      </c>
      <c r="O66" s="80">
        <v>305200768</v>
      </c>
      <c r="P66" s="80">
        <v>14.45</v>
      </c>
      <c r="Q66" s="80">
        <v>1</v>
      </c>
      <c r="R66" s="80" t="s">
        <v>3642</v>
      </c>
      <c r="S66" s="80">
        <v>727</v>
      </c>
      <c r="T66" s="80">
        <v>7272</v>
      </c>
      <c r="U66" s="85" t="s">
        <v>3457</v>
      </c>
      <c r="X66" s="80" t="s">
        <v>71</v>
      </c>
      <c r="Y66" s="80">
        <v>0</v>
      </c>
      <c r="AA66">
        <f t="shared" si="0"/>
        <v>2180</v>
      </c>
      <c r="AB66" t="str">
        <f t="shared" si="1"/>
        <v>NIZOMOV ILXOM</v>
      </c>
      <c r="AC66" t="str">
        <f t="shared" si="2"/>
        <v>AA6791220</v>
      </c>
      <c r="AD66">
        <f t="shared" si="3"/>
        <v>14.45</v>
      </c>
      <c r="AE66">
        <f t="shared" si="4"/>
        <v>62</v>
      </c>
    </row>
    <row r="67" spans="1:31" x14ac:dyDescent="0.25">
      <c r="A67" s="80">
        <v>67</v>
      </c>
      <c r="B67" s="80">
        <v>2181</v>
      </c>
      <c r="C67" s="82">
        <v>44206</v>
      </c>
      <c r="D67" s="82" t="s">
        <v>3690</v>
      </c>
      <c r="E67" s="82" t="s">
        <v>3656</v>
      </c>
      <c r="G67" s="80">
        <v>1</v>
      </c>
      <c r="H67" s="80" t="s">
        <v>151</v>
      </c>
      <c r="I67" s="80">
        <v>26</v>
      </c>
      <c r="J67" s="80">
        <v>860</v>
      </c>
      <c r="K67" s="80">
        <v>792</v>
      </c>
      <c r="L67" s="80">
        <v>860</v>
      </c>
      <c r="M67" s="73">
        <v>44206</v>
      </c>
      <c r="N67" s="80" t="b">
        <v>1</v>
      </c>
      <c r="O67" s="80">
        <v>305200768</v>
      </c>
      <c r="P67" s="80">
        <v>6.93</v>
      </c>
      <c r="Q67" s="80">
        <v>1</v>
      </c>
      <c r="R67" s="80" t="s">
        <v>3642</v>
      </c>
      <c r="S67" s="80">
        <v>727</v>
      </c>
      <c r="T67" s="80">
        <v>7276</v>
      </c>
      <c r="U67" s="85" t="s">
        <v>3457</v>
      </c>
      <c r="X67" s="80" t="s">
        <v>71</v>
      </c>
      <c r="Y67" s="80">
        <v>0</v>
      </c>
      <c r="AA67">
        <f t="shared" ref="AA67:AA130" si="5">B67</f>
        <v>2181</v>
      </c>
      <c r="AB67" t="str">
        <f t="shared" ref="AB67:AB130" si="6">D67&amp;" "&amp;E67</f>
        <v>NIZOMOV ILXOM</v>
      </c>
      <c r="AC67" t="str">
        <f t="shared" ref="AC67:AC130" si="7">X67&amp;U67</f>
        <v>AA6791220</v>
      </c>
      <c r="AD67">
        <f t="shared" ref="AD67:AD130" si="8">P67</f>
        <v>6.93</v>
      </c>
      <c r="AE67">
        <f t="shared" ref="AE67:AE130" si="9">I67</f>
        <v>26</v>
      </c>
    </row>
    <row r="68" spans="1:31" x14ac:dyDescent="0.25">
      <c r="A68" s="80">
        <v>68</v>
      </c>
      <c r="B68" s="80">
        <v>2202</v>
      </c>
      <c r="C68" s="82">
        <v>44206</v>
      </c>
      <c r="D68" s="82" t="s">
        <v>3687</v>
      </c>
      <c r="E68" s="82" t="s">
        <v>3654</v>
      </c>
      <c r="G68" s="80">
        <v>1</v>
      </c>
      <c r="H68" s="80" t="s">
        <v>122</v>
      </c>
      <c r="I68" s="80">
        <v>22</v>
      </c>
      <c r="J68" s="80">
        <v>860</v>
      </c>
      <c r="K68" s="80">
        <v>792</v>
      </c>
      <c r="L68" s="80">
        <v>860</v>
      </c>
      <c r="M68" s="73">
        <v>44206</v>
      </c>
      <c r="N68" s="80" t="b">
        <v>1</v>
      </c>
      <c r="O68" s="80">
        <v>305200768</v>
      </c>
      <c r="P68" s="80">
        <v>9.17</v>
      </c>
      <c r="Q68" s="80">
        <v>1</v>
      </c>
      <c r="R68" s="80" t="s">
        <v>3642</v>
      </c>
      <c r="S68" s="80">
        <v>706</v>
      </c>
      <c r="T68" s="80">
        <v>7062</v>
      </c>
      <c r="U68" s="85" t="s">
        <v>3471</v>
      </c>
      <c r="X68" s="80" t="s">
        <v>71</v>
      </c>
      <c r="Y68" s="80">
        <v>0</v>
      </c>
      <c r="AA68">
        <f t="shared" si="5"/>
        <v>2202</v>
      </c>
      <c r="AB68" t="str">
        <f t="shared" si="6"/>
        <v>IBROGIMOV ABDURAXMON</v>
      </c>
      <c r="AC68" t="str">
        <f t="shared" si="7"/>
        <v>AA5370945</v>
      </c>
      <c r="AD68">
        <f t="shared" si="8"/>
        <v>9.17</v>
      </c>
      <c r="AE68">
        <f t="shared" si="9"/>
        <v>22</v>
      </c>
    </row>
    <row r="69" spans="1:31" x14ac:dyDescent="0.25">
      <c r="A69" s="80">
        <v>69</v>
      </c>
      <c r="B69" s="80">
        <v>2203</v>
      </c>
      <c r="C69" s="82">
        <v>44206</v>
      </c>
      <c r="D69" s="82" t="s">
        <v>3680</v>
      </c>
      <c r="E69" s="82" t="s">
        <v>3650</v>
      </c>
      <c r="G69" s="80">
        <v>1</v>
      </c>
      <c r="H69" s="80" t="s">
        <v>151</v>
      </c>
      <c r="I69" s="80">
        <v>34</v>
      </c>
      <c r="J69" s="80">
        <v>860</v>
      </c>
      <c r="K69" s="80">
        <v>792</v>
      </c>
      <c r="L69" s="80">
        <v>860</v>
      </c>
      <c r="M69" s="73">
        <v>44206</v>
      </c>
      <c r="N69" s="80" t="b">
        <v>1</v>
      </c>
      <c r="O69" s="80">
        <v>305200768</v>
      </c>
      <c r="P69" s="80">
        <v>8.91</v>
      </c>
      <c r="Q69" s="80">
        <v>1</v>
      </c>
      <c r="R69" s="80" t="s">
        <v>3642</v>
      </c>
      <c r="S69" s="80">
        <v>727</v>
      </c>
      <c r="T69" s="80">
        <v>7278</v>
      </c>
      <c r="U69" s="85" t="s">
        <v>2405</v>
      </c>
      <c r="X69" s="80" t="s">
        <v>71</v>
      </c>
      <c r="Y69" s="80">
        <v>0</v>
      </c>
      <c r="AA69">
        <f t="shared" si="5"/>
        <v>2203</v>
      </c>
      <c r="AB69" t="str">
        <f t="shared" si="6"/>
        <v>KADIROVA SABRINA</v>
      </c>
      <c r="AC69" t="str">
        <f t="shared" si="7"/>
        <v>AA2533163</v>
      </c>
      <c r="AD69">
        <f t="shared" si="8"/>
        <v>8.91</v>
      </c>
      <c r="AE69">
        <f t="shared" si="9"/>
        <v>34</v>
      </c>
    </row>
    <row r="70" spans="1:31" x14ac:dyDescent="0.25">
      <c r="A70" s="80">
        <v>70</v>
      </c>
      <c r="B70" s="80">
        <v>2192</v>
      </c>
      <c r="C70" s="82">
        <v>44206</v>
      </c>
      <c r="D70" s="82" t="s">
        <v>3195</v>
      </c>
      <c r="E70" s="82" t="s">
        <v>2425</v>
      </c>
      <c r="G70" s="80">
        <v>1</v>
      </c>
      <c r="H70" s="80" t="s">
        <v>151</v>
      </c>
      <c r="I70" s="80">
        <v>17</v>
      </c>
      <c r="J70" s="80">
        <v>860</v>
      </c>
      <c r="K70" s="80">
        <v>792</v>
      </c>
      <c r="L70" s="80">
        <v>860</v>
      </c>
      <c r="M70" s="73">
        <v>44206</v>
      </c>
      <c r="N70" s="80" t="b">
        <v>1</v>
      </c>
      <c r="O70" s="80">
        <v>305200768</v>
      </c>
      <c r="P70" s="80">
        <v>7.28</v>
      </c>
      <c r="Q70" s="80">
        <v>1</v>
      </c>
      <c r="R70" s="80" t="s">
        <v>3642</v>
      </c>
      <c r="S70" s="80">
        <v>727</v>
      </c>
      <c r="T70" s="80">
        <v>7272</v>
      </c>
      <c r="U70" s="85" t="s">
        <v>2424</v>
      </c>
      <c r="X70" s="80" t="s">
        <v>1939</v>
      </c>
      <c r="Y70" s="80">
        <v>0</v>
      </c>
      <c r="AA70">
        <f t="shared" si="5"/>
        <v>2192</v>
      </c>
      <c r="AB70" t="str">
        <f t="shared" si="6"/>
        <v>XALIMOV AGZAM</v>
      </c>
      <c r="AC70" t="str">
        <f t="shared" si="7"/>
        <v>KA0236911</v>
      </c>
      <c r="AD70">
        <f t="shared" si="8"/>
        <v>7.28</v>
      </c>
      <c r="AE70">
        <f t="shared" si="9"/>
        <v>17</v>
      </c>
    </row>
    <row r="71" spans="1:31" x14ac:dyDescent="0.25">
      <c r="A71" s="80">
        <v>71</v>
      </c>
      <c r="B71" s="80">
        <v>2205</v>
      </c>
      <c r="C71" s="82">
        <v>44206</v>
      </c>
      <c r="D71" s="82" t="s">
        <v>3195</v>
      </c>
      <c r="E71" s="82" t="s">
        <v>2425</v>
      </c>
      <c r="G71" s="80">
        <v>1</v>
      </c>
      <c r="H71" s="80" t="s">
        <v>151</v>
      </c>
      <c r="I71" s="80">
        <v>24</v>
      </c>
      <c r="J71" s="80">
        <v>860</v>
      </c>
      <c r="K71" s="80">
        <v>792</v>
      </c>
      <c r="L71" s="80">
        <v>860</v>
      </c>
      <c r="M71" s="73">
        <v>44206</v>
      </c>
      <c r="N71" s="80" t="b">
        <v>1</v>
      </c>
      <c r="O71" s="80">
        <v>305200768</v>
      </c>
      <c r="P71" s="80">
        <v>10.199999999999999</v>
      </c>
      <c r="Q71" s="80">
        <v>1</v>
      </c>
      <c r="R71" s="80" t="s">
        <v>3642</v>
      </c>
      <c r="S71" s="80">
        <v>727</v>
      </c>
      <c r="T71" s="80">
        <v>7272</v>
      </c>
      <c r="U71" s="85" t="s">
        <v>2424</v>
      </c>
      <c r="X71" s="80" t="s">
        <v>1939</v>
      </c>
      <c r="Y71" s="80">
        <v>0</v>
      </c>
      <c r="AA71">
        <f t="shared" si="5"/>
        <v>2205</v>
      </c>
      <c r="AB71" t="str">
        <f t="shared" si="6"/>
        <v>XALIMOV AGZAM</v>
      </c>
      <c r="AC71" t="str">
        <f t="shared" si="7"/>
        <v>KA0236911</v>
      </c>
      <c r="AD71">
        <f t="shared" si="8"/>
        <v>10.199999999999999</v>
      </c>
      <c r="AE71">
        <f t="shared" si="9"/>
        <v>24</v>
      </c>
    </row>
    <row r="72" spans="1:31" x14ac:dyDescent="0.25">
      <c r="A72" s="80">
        <v>72</v>
      </c>
      <c r="B72" s="80">
        <v>2198</v>
      </c>
      <c r="C72" s="82">
        <v>44206</v>
      </c>
      <c r="D72" s="82" t="s">
        <v>3676</v>
      </c>
      <c r="E72" s="82" t="s">
        <v>788</v>
      </c>
      <c r="G72" s="80">
        <v>1</v>
      </c>
      <c r="H72" s="80" t="s">
        <v>151</v>
      </c>
      <c r="I72" s="80">
        <v>14</v>
      </c>
      <c r="J72" s="80">
        <v>860</v>
      </c>
      <c r="K72" s="80">
        <v>792</v>
      </c>
      <c r="L72" s="80">
        <v>860</v>
      </c>
      <c r="M72" s="73">
        <v>44206</v>
      </c>
      <c r="N72" s="80" t="b">
        <v>1</v>
      </c>
      <c r="O72" s="80">
        <v>305200768</v>
      </c>
      <c r="P72" s="80">
        <v>4.8000000000000007</v>
      </c>
      <c r="Q72" s="80">
        <v>1</v>
      </c>
      <c r="R72" s="80" t="s">
        <v>3642</v>
      </c>
      <c r="S72" s="80">
        <v>727</v>
      </c>
      <c r="T72" s="80">
        <v>7277</v>
      </c>
      <c r="U72" s="85" t="s">
        <v>3488</v>
      </c>
      <c r="X72" s="80" t="s">
        <v>71</v>
      </c>
      <c r="Y72" s="80">
        <v>0</v>
      </c>
      <c r="AA72">
        <f t="shared" si="5"/>
        <v>2198</v>
      </c>
      <c r="AB72" t="str">
        <f t="shared" si="6"/>
        <v>ABDUVOHIDOVA SHAXNOZA</v>
      </c>
      <c r="AC72" t="str">
        <f t="shared" si="7"/>
        <v>AA2056824</v>
      </c>
      <c r="AD72">
        <f t="shared" si="8"/>
        <v>4.8000000000000007</v>
      </c>
      <c r="AE72">
        <f t="shared" si="9"/>
        <v>14</v>
      </c>
    </row>
    <row r="73" spans="1:31" x14ac:dyDescent="0.25">
      <c r="A73" s="80">
        <v>73</v>
      </c>
      <c r="B73" s="80">
        <v>2185</v>
      </c>
      <c r="C73" s="82">
        <v>44206</v>
      </c>
      <c r="D73" s="82" t="s">
        <v>3684</v>
      </c>
      <c r="E73" s="82" t="s">
        <v>329</v>
      </c>
      <c r="G73" s="80">
        <v>1</v>
      </c>
      <c r="H73" s="80" t="s">
        <v>151</v>
      </c>
      <c r="I73" s="80">
        <v>18</v>
      </c>
      <c r="J73" s="80">
        <v>860</v>
      </c>
      <c r="K73" s="80">
        <v>792</v>
      </c>
      <c r="L73" s="80">
        <v>860</v>
      </c>
      <c r="M73" s="73">
        <v>44206</v>
      </c>
      <c r="N73" s="80" t="b">
        <v>1</v>
      </c>
      <c r="O73" s="80">
        <v>305200768</v>
      </c>
      <c r="P73" s="80">
        <v>3.7800000000000002</v>
      </c>
      <c r="Q73" s="80">
        <v>1</v>
      </c>
      <c r="R73" s="80" t="s">
        <v>3642</v>
      </c>
      <c r="S73" s="80">
        <v>727</v>
      </c>
      <c r="T73" s="80">
        <v>7275</v>
      </c>
      <c r="U73" s="85" t="s">
        <v>2452</v>
      </c>
      <c r="X73" s="80" t="s">
        <v>71</v>
      </c>
      <c r="Y73" s="80">
        <v>0</v>
      </c>
      <c r="AA73">
        <f t="shared" si="5"/>
        <v>2185</v>
      </c>
      <c r="AB73" t="str">
        <f t="shared" si="6"/>
        <v>ISHANXANOVA NILUFAR</v>
      </c>
      <c r="AC73" t="str">
        <f t="shared" si="7"/>
        <v>AA4749692</v>
      </c>
      <c r="AD73">
        <f t="shared" si="8"/>
        <v>3.7800000000000002</v>
      </c>
      <c r="AE73">
        <f t="shared" si="9"/>
        <v>18</v>
      </c>
    </row>
    <row r="74" spans="1:31" x14ac:dyDescent="0.25">
      <c r="A74" s="80">
        <v>74</v>
      </c>
      <c r="B74" s="80">
        <v>2187</v>
      </c>
      <c r="C74" s="82">
        <v>44206</v>
      </c>
      <c r="D74" s="82" t="s">
        <v>301</v>
      </c>
      <c r="E74" s="82" t="s">
        <v>2279</v>
      </c>
      <c r="G74" s="80">
        <v>1</v>
      </c>
      <c r="H74" s="80" t="s">
        <v>151</v>
      </c>
      <c r="I74" s="80">
        <v>51</v>
      </c>
      <c r="J74" s="80">
        <v>860</v>
      </c>
      <c r="K74" s="80">
        <v>792</v>
      </c>
      <c r="L74" s="80">
        <v>860</v>
      </c>
      <c r="M74" s="73">
        <v>44206</v>
      </c>
      <c r="N74" s="80" t="b">
        <v>1</v>
      </c>
      <c r="O74" s="80">
        <v>305200768</v>
      </c>
      <c r="P74" s="80">
        <v>7.04</v>
      </c>
      <c r="Q74" s="80">
        <v>1</v>
      </c>
      <c r="R74" s="80" t="s">
        <v>3642</v>
      </c>
      <c r="S74" s="80">
        <v>727</v>
      </c>
      <c r="T74" s="80">
        <v>7278</v>
      </c>
      <c r="U74" s="85" t="s">
        <v>2278</v>
      </c>
      <c r="X74" s="80" t="s">
        <v>71</v>
      </c>
      <c r="Y74" s="80">
        <v>0</v>
      </c>
      <c r="AA74">
        <f t="shared" si="5"/>
        <v>2187</v>
      </c>
      <c r="AB74" t="str">
        <f t="shared" si="6"/>
        <v>UMAROVA XAKIMA</v>
      </c>
      <c r="AC74" t="str">
        <f t="shared" si="7"/>
        <v>AA0523717</v>
      </c>
      <c r="AD74">
        <f t="shared" si="8"/>
        <v>7.04</v>
      </c>
      <c r="AE74">
        <f t="shared" si="9"/>
        <v>51</v>
      </c>
    </row>
    <row r="75" spans="1:31" x14ac:dyDescent="0.25">
      <c r="A75" s="80">
        <v>75</v>
      </c>
      <c r="B75" s="80">
        <v>2204</v>
      </c>
      <c r="C75" s="82">
        <v>44206</v>
      </c>
      <c r="D75" s="82" t="s">
        <v>1828</v>
      </c>
      <c r="E75" s="82" t="s">
        <v>1645</v>
      </c>
      <c r="G75" s="80">
        <v>1</v>
      </c>
      <c r="H75" s="80" t="s">
        <v>151</v>
      </c>
      <c r="I75" s="80">
        <v>12</v>
      </c>
      <c r="J75" s="80">
        <v>860</v>
      </c>
      <c r="K75" s="80">
        <v>792</v>
      </c>
      <c r="L75" s="80">
        <v>860</v>
      </c>
      <c r="M75" s="73">
        <v>44206</v>
      </c>
      <c r="N75" s="80" t="b">
        <v>1</v>
      </c>
      <c r="O75" s="80">
        <v>305200768</v>
      </c>
      <c r="P75" s="80">
        <v>6.72</v>
      </c>
      <c r="Q75" s="80">
        <v>1</v>
      </c>
      <c r="R75" s="80" t="s">
        <v>3642</v>
      </c>
      <c r="S75" s="80">
        <v>727</v>
      </c>
      <c r="T75" s="80">
        <v>7274</v>
      </c>
      <c r="U75" s="85" t="s">
        <v>2399</v>
      </c>
      <c r="X75" s="80" t="s">
        <v>116</v>
      </c>
      <c r="Y75" s="80">
        <v>0</v>
      </c>
      <c r="AA75">
        <f t="shared" si="5"/>
        <v>2204</v>
      </c>
      <c r="AB75" t="str">
        <f t="shared" si="6"/>
        <v>AKBAROVA KOMILA</v>
      </c>
      <c r="AC75" t="str">
        <f t="shared" si="7"/>
        <v>AB2387893</v>
      </c>
      <c r="AD75">
        <f t="shared" si="8"/>
        <v>6.72</v>
      </c>
      <c r="AE75">
        <f t="shared" si="9"/>
        <v>12</v>
      </c>
    </row>
    <row r="76" spans="1:31" x14ac:dyDescent="0.25">
      <c r="A76" s="80">
        <v>76</v>
      </c>
      <c r="B76" s="80">
        <v>2212</v>
      </c>
      <c r="C76" s="82">
        <v>44206</v>
      </c>
      <c r="D76" s="82" t="s">
        <v>3229</v>
      </c>
      <c r="E76" s="82" t="s">
        <v>3651</v>
      </c>
      <c r="G76" s="80">
        <v>1</v>
      </c>
      <c r="H76" s="80" t="s">
        <v>151</v>
      </c>
      <c r="I76" s="80">
        <v>17</v>
      </c>
      <c r="J76" s="80">
        <v>860</v>
      </c>
      <c r="K76" s="80">
        <v>792</v>
      </c>
      <c r="L76" s="80">
        <v>860</v>
      </c>
      <c r="M76" s="73">
        <v>44206</v>
      </c>
      <c r="N76" s="80" t="b">
        <v>1</v>
      </c>
      <c r="O76" s="80">
        <v>305200768</v>
      </c>
      <c r="P76" s="80">
        <v>3.44</v>
      </c>
      <c r="Q76" s="80">
        <v>1</v>
      </c>
      <c r="R76" s="80" t="s">
        <v>3642</v>
      </c>
      <c r="S76" s="80">
        <v>727</v>
      </c>
      <c r="T76" s="80">
        <v>7273</v>
      </c>
      <c r="U76" s="85" t="s">
        <v>2385</v>
      </c>
      <c r="X76" s="80" t="s">
        <v>71</v>
      </c>
      <c r="Y76" s="80">
        <v>0</v>
      </c>
      <c r="AA76">
        <f t="shared" si="5"/>
        <v>2212</v>
      </c>
      <c r="AB76" t="str">
        <f t="shared" si="6"/>
        <v>XUSANOV IBROXIM</v>
      </c>
      <c r="AC76" t="str">
        <f t="shared" si="7"/>
        <v>AA4176420</v>
      </c>
      <c r="AD76">
        <f t="shared" si="8"/>
        <v>3.44</v>
      </c>
      <c r="AE76">
        <f t="shared" si="9"/>
        <v>17</v>
      </c>
    </row>
    <row r="77" spans="1:31" x14ac:dyDescent="0.25">
      <c r="A77" s="80">
        <v>77</v>
      </c>
      <c r="B77" s="80">
        <v>2193</v>
      </c>
      <c r="C77" s="82">
        <v>44206</v>
      </c>
      <c r="D77" s="82" t="s">
        <v>398</v>
      </c>
      <c r="E77" s="82" t="s">
        <v>485</v>
      </c>
      <c r="G77" s="80">
        <v>1</v>
      </c>
      <c r="H77" s="80" t="s">
        <v>151</v>
      </c>
      <c r="I77" s="80">
        <v>31</v>
      </c>
      <c r="J77" s="80">
        <v>860</v>
      </c>
      <c r="K77" s="80">
        <v>792</v>
      </c>
      <c r="L77" s="80">
        <v>860</v>
      </c>
      <c r="M77" s="73">
        <v>44206</v>
      </c>
      <c r="N77" s="80" t="b">
        <v>1</v>
      </c>
      <c r="O77" s="80">
        <v>305200768</v>
      </c>
      <c r="P77" s="80">
        <v>6</v>
      </c>
      <c r="Q77" s="80">
        <v>1</v>
      </c>
      <c r="R77" s="80" t="s">
        <v>3642</v>
      </c>
      <c r="S77" s="80">
        <v>727</v>
      </c>
      <c r="T77" s="80">
        <v>7278</v>
      </c>
      <c r="U77" s="85" t="s">
        <v>2356</v>
      </c>
      <c r="X77" s="80" t="s">
        <v>71</v>
      </c>
      <c r="Y77" s="80">
        <v>0</v>
      </c>
      <c r="AA77">
        <f t="shared" si="5"/>
        <v>2193</v>
      </c>
      <c r="AB77" t="str">
        <f t="shared" si="6"/>
        <v>ABDULLAYEVA MAVJUDA</v>
      </c>
      <c r="AC77" t="str">
        <f t="shared" si="7"/>
        <v>AA0366420</v>
      </c>
      <c r="AD77">
        <f t="shared" si="8"/>
        <v>6</v>
      </c>
      <c r="AE77">
        <f t="shared" si="9"/>
        <v>31</v>
      </c>
    </row>
    <row r="78" spans="1:31" x14ac:dyDescent="0.25">
      <c r="A78" s="80">
        <v>78</v>
      </c>
      <c r="B78" s="80">
        <v>2214</v>
      </c>
      <c r="C78" s="82">
        <v>44206</v>
      </c>
      <c r="D78" s="82" t="s">
        <v>1271</v>
      </c>
      <c r="E78" s="82" t="s">
        <v>329</v>
      </c>
      <c r="G78" s="80">
        <v>1</v>
      </c>
      <c r="H78" s="80" t="s">
        <v>151</v>
      </c>
      <c r="I78" s="80">
        <v>14</v>
      </c>
      <c r="J78" s="80">
        <v>860</v>
      </c>
      <c r="K78" s="80">
        <v>792</v>
      </c>
      <c r="L78" s="80">
        <v>860</v>
      </c>
      <c r="M78" s="73">
        <v>44206</v>
      </c>
      <c r="N78" s="80" t="b">
        <v>1</v>
      </c>
      <c r="O78" s="80">
        <v>305200768</v>
      </c>
      <c r="P78" s="80">
        <v>1.5</v>
      </c>
      <c r="Q78" s="80">
        <v>1</v>
      </c>
      <c r="R78" s="80" t="s">
        <v>3642</v>
      </c>
      <c r="S78" s="80">
        <v>727</v>
      </c>
      <c r="T78" s="80">
        <v>7276</v>
      </c>
      <c r="U78" s="85" t="s">
        <v>2570</v>
      </c>
      <c r="X78" s="80" t="s">
        <v>71</v>
      </c>
      <c r="Y78" s="80">
        <v>0</v>
      </c>
      <c r="AA78">
        <f t="shared" si="5"/>
        <v>2214</v>
      </c>
      <c r="AB78" t="str">
        <f t="shared" si="6"/>
        <v>FAYZULLAYEVA NILUFAR</v>
      </c>
      <c r="AC78" t="str">
        <f t="shared" si="7"/>
        <v>AA1290036</v>
      </c>
      <c r="AD78">
        <f t="shared" si="8"/>
        <v>1.5</v>
      </c>
      <c r="AE78">
        <f t="shared" si="9"/>
        <v>14</v>
      </c>
    </row>
    <row r="79" spans="1:31" x14ac:dyDescent="0.25">
      <c r="A79" s="80">
        <v>79</v>
      </c>
      <c r="B79" s="80">
        <v>2208</v>
      </c>
      <c r="C79" s="82">
        <v>44206</v>
      </c>
      <c r="D79" s="82" t="s">
        <v>595</v>
      </c>
      <c r="E79" s="82" t="s">
        <v>770</v>
      </c>
      <c r="G79" s="80">
        <v>1</v>
      </c>
      <c r="H79" s="80" t="s">
        <v>118</v>
      </c>
      <c r="I79" s="80">
        <v>6</v>
      </c>
      <c r="J79" s="80">
        <v>860</v>
      </c>
      <c r="K79" s="80">
        <v>792</v>
      </c>
      <c r="L79" s="80">
        <v>860</v>
      </c>
      <c r="M79" s="73">
        <v>44206</v>
      </c>
      <c r="N79" s="80" t="b">
        <v>1</v>
      </c>
      <c r="O79" s="80">
        <v>305200768</v>
      </c>
      <c r="P79" s="80">
        <v>1</v>
      </c>
      <c r="Q79" s="80">
        <v>1</v>
      </c>
      <c r="R79" s="80" t="s">
        <v>3642</v>
      </c>
      <c r="S79" s="80">
        <v>730</v>
      </c>
      <c r="T79" s="80">
        <v>7303</v>
      </c>
      <c r="U79" s="85" t="s">
        <v>2419</v>
      </c>
      <c r="X79" s="80" t="s">
        <v>71</v>
      </c>
      <c r="Y79" s="80">
        <v>0</v>
      </c>
      <c r="AA79">
        <f t="shared" si="5"/>
        <v>2208</v>
      </c>
      <c r="AB79" t="str">
        <f t="shared" si="6"/>
        <v>IKRAMOVA LYUBOV</v>
      </c>
      <c r="AC79" t="str">
        <f t="shared" si="7"/>
        <v>AA9169011</v>
      </c>
      <c r="AD79">
        <f t="shared" si="8"/>
        <v>1</v>
      </c>
      <c r="AE79">
        <f t="shared" si="9"/>
        <v>6</v>
      </c>
    </row>
    <row r="80" spans="1:31" x14ac:dyDescent="0.25">
      <c r="A80" s="80">
        <v>80</v>
      </c>
      <c r="B80" s="80">
        <v>2210</v>
      </c>
      <c r="C80" s="82">
        <v>44206</v>
      </c>
      <c r="D80" s="82" t="s">
        <v>595</v>
      </c>
      <c r="E80" s="82" t="s">
        <v>770</v>
      </c>
      <c r="G80" s="80">
        <v>1</v>
      </c>
      <c r="H80" s="80" t="s">
        <v>151</v>
      </c>
      <c r="I80" s="80">
        <v>27</v>
      </c>
      <c r="J80" s="80">
        <v>860</v>
      </c>
      <c r="K80" s="80">
        <v>792</v>
      </c>
      <c r="L80" s="80">
        <v>860</v>
      </c>
      <c r="M80" s="73">
        <v>44206</v>
      </c>
      <c r="N80" s="80" t="b">
        <v>1</v>
      </c>
      <c r="O80" s="80">
        <v>305200768</v>
      </c>
      <c r="P80" s="80">
        <v>1.52</v>
      </c>
      <c r="Q80" s="80">
        <v>1</v>
      </c>
      <c r="R80" s="80" t="s">
        <v>3642</v>
      </c>
      <c r="S80" s="80">
        <v>727</v>
      </c>
      <c r="T80" s="80">
        <v>7277</v>
      </c>
      <c r="U80" s="85" t="s">
        <v>2419</v>
      </c>
      <c r="X80" s="80" t="s">
        <v>71</v>
      </c>
      <c r="Y80" s="80">
        <v>0</v>
      </c>
      <c r="AA80">
        <f t="shared" si="5"/>
        <v>2210</v>
      </c>
      <c r="AB80" t="str">
        <f t="shared" si="6"/>
        <v>IKRAMOVA LYUBOV</v>
      </c>
      <c r="AC80" t="str">
        <f t="shared" si="7"/>
        <v>AA9169011</v>
      </c>
      <c r="AD80">
        <f t="shared" si="8"/>
        <v>1.52</v>
      </c>
      <c r="AE80">
        <f t="shared" si="9"/>
        <v>27</v>
      </c>
    </row>
    <row r="81" spans="1:31" x14ac:dyDescent="0.25">
      <c r="A81" s="80">
        <v>81</v>
      </c>
      <c r="B81" s="80">
        <v>2199</v>
      </c>
      <c r="C81" s="82">
        <v>44206</v>
      </c>
      <c r="D81" s="82" t="s">
        <v>1986</v>
      </c>
      <c r="E81" s="82" t="s">
        <v>633</v>
      </c>
      <c r="G81" s="80">
        <v>1</v>
      </c>
      <c r="H81" s="80" t="s">
        <v>151</v>
      </c>
      <c r="I81" s="80">
        <v>14</v>
      </c>
      <c r="J81" s="80">
        <v>860</v>
      </c>
      <c r="K81" s="80">
        <v>792</v>
      </c>
      <c r="L81" s="80">
        <v>860</v>
      </c>
      <c r="M81" s="73">
        <v>44206</v>
      </c>
      <c r="N81" s="80" t="b">
        <v>1</v>
      </c>
      <c r="O81" s="80">
        <v>305200768</v>
      </c>
      <c r="P81" s="80">
        <v>4.9000000000000004</v>
      </c>
      <c r="Q81" s="80">
        <v>1</v>
      </c>
      <c r="R81" s="80" t="s">
        <v>3642</v>
      </c>
      <c r="S81" s="80">
        <v>727</v>
      </c>
      <c r="T81" s="80">
        <v>7274</v>
      </c>
      <c r="U81" s="85" t="s">
        <v>3513</v>
      </c>
      <c r="X81" s="80" t="s">
        <v>71</v>
      </c>
      <c r="Y81" s="80">
        <v>0</v>
      </c>
      <c r="AA81">
        <f t="shared" si="5"/>
        <v>2199</v>
      </c>
      <c r="AB81" t="str">
        <f t="shared" si="6"/>
        <v>XUSAINOVA KAMOLA</v>
      </c>
      <c r="AC81" t="str">
        <f t="shared" si="7"/>
        <v>AA1341656</v>
      </c>
      <c r="AD81">
        <f t="shared" si="8"/>
        <v>4.9000000000000004</v>
      </c>
      <c r="AE81">
        <f t="shared" si="9"/>
        <v>14</v>
      </c>
    </row>
    <row r="82" spans="1:31" x14ac:dyDescent="0.25">
      <c r="A82" s="80">
        <v>82</v>
      </c>
      <c r="B82" s="80">
        <v>2195</v>
      </c>
      <c r="C82" s="82">
        <v>44206</v>
      </c>
      <c r="D82" s="82" t="s">
        <v>3229</v>
      </c>
      <c r="E82" s="82" t="s">
        <v>715</v>
      </c>
      <c r="G82" s="80">
        <v>1</v>
      </c>
      <c r="H82" s="80" t="s">
        <v>151</v>
      </c>
      <c r="I82" s="80">
        <v>10</v>
      </c>
      <c r="J82" s="80">
        <v>860</v>
      </c>
      <c r="K82" s="80">
        <v>792</v>
      </c>
      <c r="L82" s="80">
        <v>860</v>
      </c>
      <c r="M82" s="73">
        <v>44206</v>
      </c>
      <c r="N82" s="80" t="b">
        <v>1</v>
      </c>
      <c r="O82" s="80">
        <v>305200768</v>
      </c>
      <c r="P82" s="80">
        <v>2.8</v>
      </c>
      <c r="Q82" s="80">
        <v>1</v>
      </c>
      <c r="R82" s="80" t="s">
        <v>3642</v>
      </c>
      <c r="S82" s="80">
        <v>727</v>
      </c>
      <c r="T82" s="80">
        <v>7272</v>
      </c>
      <c r="U82" s="85" t="s">
        <v>3515</v>
      </c>
      <c r="X82" s="80" t="s">
        <v>116</v>
      </c>
      <c r="Y82" s="80">
        <v>0</v>
      </c>
      <c r="AA82">
        <f t="shared" si="5"/>
        <v>2195</v>
      </c>
      <c r="AB82" t="str">
        <f t="shared" si="6"/>
        <v>XUSANOV SARDOR</v>
      </c>
      <c r="AC82" t="str">
        <f t="shared" si="7"/>
        <v>AB6387259</v>
      </c>
      <c r="AD82">
        <f t="shared" si="8"/>
        <v>2.8</v>
      </c>
      <c r="AE82">
        <f t="shared" si="9"/>
        <v>10</v>
      </c>
    </row>
    <row r="83" spans="1:31" x14ac:dyDescent="0.25">
      <c r="A83" s="80">
        <v>83</v>
      </c>
      <c r="B83" s="80">
        <v>2200</v>
      </c>
      <c r="C83" s="82">
        <v>44206</v>
      </c>
      <c r="D83" s="82" t="s">
        <v>2378</v>
      </c>
      <c r="E83" s="82" t="s">
        <v>2379</v>
      </c>
      <c r="G83" s="80">
        <v>1</v>
      </c>
      <c r="H83" s="80" t="s">
        <v>151</v>
      </c>
      <c r="I83" s="80">
        <v>14</v>
      </c>
      <c r="J83" s="80">
        <v>860</v>
      </c>
      <c r="K83" s="80">
        <v>792</v>
      </c>
      <c r="L83" s="80">
        <v>860</v>
      </c>
      <c r="M83" s="73">
        <v>44206</v>
      </c>
      <c r="N83" s="80" t="b">
        <v>1</v>
      </c>
      <c r="O83" s="80">
        <v>305200768</v>
      </c>
      <c r="P83" s="80">
        <v>1.2</v>
      </c>
      <c r="Q83" s="80">
        <v>1</v>
      </c>
      <c r="R83" s="80" t="s">
        <v>3642</v>
      </c>
      <c r="S83" s="80">
        <v>727</v>
      </c>
      <c r="T83" s="80">
        <v>7277</v>
      </c>
      <c r="U83" s="85" t="s">
        <v>2377</v>
      </c>
      <c r="X83" s="80" t="s">
        <v>71</v>
      </c>
      <c r="Y83" s="80">
        <v>0</v>
      </c>
      <c r="AA83">
        <f t="shared" si="5"/>
        <v>2200</v>
      </c>
      <c r="AB83" t="str">
        <f t="shared" si="6"/>
        <v>ROMASHEVSKAYA TATYANA</v>
      </c>
      <c r="AC83" t="str">
        <f t="shared" si="7"/>
        <v>AA5164694</v>
      </c>
      <c r="AD83">
        <f t="shared" si="8"/>
        <v>1.2</v>
      </c>
      <c r="AE83">
        <f t="shared" si="9"/>
        <v>14</v>
      </c>
    </row>
    <row r="84" spans="1:31" x14ac:dyDescent="0.25">
      <c r="A84" s="80">
        <v>84</v>
      </c>
      <c r="B84" s="80">
        <v>2191</v>
      </c>
      <c r="C84" s="82">
        <v>44206</v>
      </c>
      <c r="D84" s="82" t="s">
        <v>1828</v>
      </c>
      <c r="E84" s="82" t="s">
        <v>1645</v>
      </c>
      <c r="G84" s="80">
        <v>1</v>
      </c>
      <c r="H84" s="80" t="s">
        <v>151</v>
      </c>
      <c r="I84" s="80">
        <v>48</v>
      </c>
      <c r="J84" s="80">
        <v>860</v>
      </c>
      <c r="K84" s="80">
        <v>792</v>
      </c>
      <c r="L84" s="80">
        <v>860</v>
      </c>
      <c r="M84" s="73">
        <v>44206</v>
      </c>
      <c r="N84" s="80" t="b">
        <v>1</v>
      </c>
      <c r="O84" s="80">
        <v>305200768</v>
      </c>
      <c r="P84" s="80">
        <v>10.88</v>
      </c>
      <c r="Q84" s="80">
        <v>1</v>
      </c>
      <c r="R84" s="80" t="s">
        <v>3642</v>
      </c>
      <c r="S84" s="80">
        <v>727</v>
      </c>
      <c r="T84" s="80">
        <v>7277</v>
      </c>
      <c r="U84" s="85" t="s">
        <v>2399</v>
      </c>
      <c r="X84" s="80" t="s">
        <v>116</v>
      </c>
      <c r="Y84" s="80">
        <v>0</v>
      </c>
      <c r="AA84">
        <f t="shared" si="5"/>
        <v>2191</v>
      </c>
      <c r="AB84" t="str">
        <f t="shared" si="6"/>
        <v>AKBAROVA KOMILA</v>
      </c>
      <c r="AC84" t="str">
        <f t="shared" si="7"/>
        <v>AB2387893</v>
      </c>
      <c r="AD84">
        <f t="shared" si="8"/>
        <v>10.88</v>
      </c>
      <c r="AE84">
        <f t="shared" si="9"/>
        <v>48</v>
      </c>
    </row>
    <row r="85" spans="1:31" x14ac:dyDescent="0.25">
      <c r="A85" s="80">
        <v>85</v>
      </c>
      <c r="B85" s="80">
        <v>2184</v>
      </c>
      <c r="C85" s="82">
        <v>44206</v>
      </c>
      <c r="D85" s="82" t="s">
        <v>3401</v>
      </c>
      <c r="E85" s="82" t="s">
        <v>1090</v>
      </c>
      <c r="G85" s="80">
        <v>1</v>
      </c>
      <c r="H85" s="80" t="s">
        <v>151</v>
      </c>
      <c r="I85" s="80">
        <v>5</v>
      </c>
      <c r="J85" s="80">
        <v>860</v>
      </c>
      <c r="K85" s="80">
        <v>792</v>
      </c>
      <c r="L85" s="80">
        <v>860</v>
      </c>
      <c r="M85" s="73">
        <v>44206</v>
      </c>
      <c r="N85" s="80" t="b">
        <v>1</v>
      </c>
      <c r="O85" s="80">
        <v>305200768</v>
      </c>
      <c r="P85" s="80">
        <v>2.9</v>
      </c>
      <c r="Q85" s="80">
        <v>1</v>
      </c>
      <c r="R85" s="80" t="s">
        <v>3642</v>
      </c>
      <c r="S85" s="80">
        <v>727</v>
      </c>
      <c r="T85" s="80">
        <v>7275</v>
      </c>
      <c r="U85" s="85" t="s">
        <v>2348</v>
      </c>
      <c r="X85" s="80" t="s">
        <v>116</v>
      </c>
      <c r="Y85" s="80">
        <v>0</v>
      </c>
      <c r="AA85">
        <f t="shared" si="5"/>
        <v>2184</v>
      </c>
      <c r="AB85" t="str">
        <f t="shared" si="6"/>
        <v>SHANASIROVA MUNAVVAR</v>
      </c>
      <c r="AC85" t="str">
        <f t="shared" si="7"/>
        <v>AB4317219</v>
      </c>
      <c r="AD85">
        <f t="shared" si="8"/>
        <v>2.9</v>
      </c>
      <c r="AE85">
        <f t="shared" si="9"/>
        <v>5</v>
      </c>
    </row>
    <row r="86" spans="1:31" x14ac:dyDescent="0.25">
      <c r="A86" s="80">
        <v>86</v>
      </c>
      <c r="B86" s="80">
        <v>2189</v>
      </c>
      <c r="C86" s="82">
        <v>44206</v>
      </c>
      <c r="D86" s="82" t="s">
        <v>3676</v>
      </c>
      <c r="E86" s="82" t="s">
        <v>788</v>
      </c>
      <c r="G86" s="80">
        <v>1</v>
      </c>
      <c r="H86" s="80" t="s">
        <v>151</v>
      </c>
      <c r="I86" s="80">
        <v>13</v>
      </c>
      <c r="J86" s="80">
        <v>860</v>
      </c>
      <c r="K86" s="80">
        <v>792</v>
      </c>
      <c r="L86" s="80">
        <v>860</v>
      </c>
      <c r="M86" s="73">
        <v>44206</v>
      </c>
      <c r="N86" s="80" t="b">
        <v>1</v>
      </c>
      <c r="O86" s="80">
        <v>305200768</v>
      </c>
      <c r="P86" s="80">
        <v>3.3000000000000003</v>
      </c>
      <c r="Q86" s="80">
        <v>1</v>
      </c>
      <c r="R86" s="80" t="s">
        <v>3642</v>
      </c>
      <c r="S86" s="80">
        <v>727</v>
      </c>
      <c r="T86" s="80">
        <v>7271</v>
      </c>
      <c r="U86" s="85" t="s">
        <v>3488</v>
      </c>
      <c r="X86" s="80" t="s">
        <v>71</v>
      </c>
      <c r="Y86" s="80">
        <v>0</v>
      </c>
      <c r="AA86">
        <f t="shared" si="5"/>
        <v>2189</v>
      </c>
      <c r="AB86" t="str">
        <f t="shared" si="6"/>
        <v>ABDUVOHIDOVA SHAXNOZA</v>
      </c>
      <c r="AC86" t="str">
        <f t="shared" si="7"/>
        <v>AA2056824</v>
      </c>
      <c r="AD86">
        <f t="shared" si="8"/>
        <v>3.3000000000000003</v>
      </c>
      <c r="AE86">
        <f t="shared" si="9"/>
        <v>13</v>
      </c>
    </row>
    <row r="87" spans="1:31" x14ac:dyDescent="0.25">
      <c r="A87" s="80">
        <v>87</v>
      </c>
      <c r="B87" s="80">
        <v>2190</v>
      </c>
      <c r="C87" s="82">
        <v>44206</v>
      </c>
      <c r="D87" s="82" t="s">
        <v>3256</v>
      </c>
      <c r="E87" s="82" t="s">
        <v>645</v>
      </c>
      <c r="G87" s="80">
        <v>1</v>
      </c>
      <c r="H87" s="80" t="s">
        <v>151</v>
      </c>
      <c r="I87" s="80">
        <v>57</v>
      </c>
      <c r="J87" s="80">
        <v>860</v>
      </c>
      <c r="K87" s="80">
        <v>792</v>
      </c>
      <c r="L87" s="80">
        <v>860</v>
      </c>
      <c r="M87" s="73">
        <v>44206</v>
      </c>
      <c r="N87" s="80" t="b">
        <v>1</v>
      </c>
      <c r="O87" s="80">
        <v>305200768</v>
      </c>
      <c r="P87" s="80">
        <v>10.37</v>
      </c>
      <c r="Q87" s="80">
        <v>1</v>
      </c>
      <c r="R87" s="80" t="s">
        <v>3642</v>
      </c>
      <c r="S87" s="80">
        <v>727</v>
      </c>
      <c r="T87" s="80">
        <v>7276</v>
      </c>
      <c r="U87" s="85" t="s">
        <v>330</v>
      </c>
      <c r="X87" s="80" t="s">
        <v>116</v>
      </c>
      <c r="Y87" s="80">
        <v>0</v>
      </c>
      <c r="AA87">
        <f t="shared" si="5"/>
        <v>2190</v>
      </c>
      <c r="AB87" t="str">
        <f t="shared" si="6"/>
        <v>MIRNIYAZOV BAXROM</v>
      </c>
      <c r="AC87" t="str">
        <f t="shared" si="7"/>
        <v>AB3058899</v>
      </c>
      <c r="AD87">
        <f t="shared" si="8"/>
        <v>10.37</v>
      </c>
      <c r="AE87">
        <f t="shared" si="9"/>
        <v>57</v>
      </c>
    </row>
    <row r="88" spans="1:31" x14ac:dyDescent="0.25">
      <c r="A88" s="80">
        <v>88</v>
      </c>
      <c r="B88" s="80">
        <v>2209</v>
      </c>
      <c r="C88" s="82">
        <v>44206</v>
      </c>
      <c r="D88" s="82" t="s">
        <v>3541</v>
      </c>
      <c r="E88" s="82" t="s">
        <v>197</v>
      </c>
      <c r="G88" s="80">
        <v>1</v>
      </c>
      <c r="H88" s="80" t="s">
        <v>151</v>
      </c>
      <c r="I88" s="80">
        <v>6</v>
      </c>
      <c r="J88" s="80">
        <v>860</v>
      </c>
      <c r="K88" s="80">
        <v>792</v>
      </c>
      <c r="L88" s="80">
        <v>860</v>
      </c>
      <c r="M88" s="73">
        <v>44206</v>
      </c>
      <c r="N88" s="80" t="b">
        <v>1</v>
      </c>
      <c r="O88" s="80">
        <v>305200768</v>
      </c>
      <c r="P88" s="80">
        <v>1.7</v>
      </c>
      <c r="Q88" s="80">
        <v>1</v>
      </c>
      <c r="R88" s="80" t="s">
        <v>3642</v>
      </c>
      <c r="S88" s="80">
        <v>727</v>
      </c>
      <c r="T88" s="80">
        <v>7271</v>
      </c>
      <c r="U88" s="85" t="s">
        <v>3542</v>
      </c>
      <c r="X88" s="80" t="s">
        <v>71</v>
      </c>
      <c r="Y88" s="80">
        <v>0</v>
      </c>
      <c r="AA88">
        <f t="shared" si="5"/>
        <v>2209</v>
      </c>
      <c r="AB88" t="str">
        <f t="shared" si="6"/>
        <v>ROZUMBETOVA NASIBA</v>
      </c>
      <c r="AC88" t="str">
        <f t="shared" si="7"/>
        <v>AA8110253</v>
      </c>
      <c r="AD88">
        <f t="shared" si="8"/>
        <v>1.7</v>
      </c>
      <c r="AE88">
        <f t="shared" si="9"/>
        <v>6</v>
      </c>
    </row>
    <row r="89" spans="1:31" x14ac:dyDescent="0.25">
      <c r="A89" s="80">
        <v>89</v>
      </c>
      <c r="B89" s="80">
        <v>2223</v>
      </c>
      <c r="C89" s="82">
        <v>44206</v>
      </c>
      <c r="D89" s="82" t="s">
        <v>3550</v>
      </c>
      <c r="E89" s="82" t="s">
        <v>3549</v>
      </c>
      <c r="G89" s="80">
        <v>1</v>
      </c>
      <c r="H89" s="80" t="s">
        <v>151</v>
      </c>
      <c r="I89" s="80">
        <v>16</v>
      </c>
      <c r="J89" s="80">
        <v>860</v>
      </c>
      <c r="K89" s="80">
        <v>792</v>
      </c>
      <c r="L89" s="80">
        <v>860</v>
      </c>
      <c r="M89" s="73">
        <v>44206</v>
      </c>
      <c r="N89" s="80" t="b">
        <v>1</v>
      </c>
      <c r="O89" s="80">
        <v>305200768</v>
      </c>
      <c r="P89" s="80">
        <v>4.62</v>
      </c>
      <c r="Q89" s="80">
        <v>1</v>
      </c>
      <c r="R89" s="80" t="s">
        <v>3642</v>
      </c>
      <c r="S89" s="80">
        <v>727</v>
      </c>
      <c r="T89" s="80">
        <v>7274</v>
      </c>
      <c r="U89" s="85" t="s">
        <v>3551</v>
      </c>
      <c r="X89" s="80" t="s">
        <v>116</v>
      </c>
      <c r="Y89" s="80">
        <v>0</v>
      </c>
      <c r="AA89">
        <f t="shared" si="5"/>
        <v>2223</v>
      </c>
      <c r="AB89" t="str">
        <f t="shared" si="6"/>
        <v>TILLABOYEVA MUMTOZBEGIM</v>
      </c>
      <c r="AC89" t="str">
        <f t="shared" si="7"/>
        <v>AB9906145</v>
      </c>
      <c r="AD89">
        <f t="shared" si="8"/>
        <v>4.62</v>
      </c>
      <c r="AE89">
        <f t="shared" si="9"/>
        <v>16</v>
      </c>
    </row>
    <row r="90" spans="1:31" x14ac:dyDescent="0.25">
      <c r="A90" s="80">
        <v>90</v>
      </c>
      <c r="B90" s="80">
        <v>2222</v>
      </c>
      <c r="C90" s="82">
        <v>44206</v>
      </c>
      <c r="D90" s="82" t="s">
        <v>3045</v>
      </c>
      <c r="E90" s="82" t="s">
        <v>3557</v>
      </c>
      <c r="G90" s="80">
        <v>1</v>
      </c>
      <c r="H90" s="80" t="s">
        <v>118</v>
      </c>
      <c r="I90" s="80">
        <v>10</v>
      </c>
      <c r="J90" s="80">
        <v>860</v>
      </c>
      <c r="K90" s="80">
        <v>792</v>
      </c>
      <c r="L90" s="80">
        <v>860</v>
      </c>
      <c r="M90" s="73">
        <v>44206</v>
      </c>
      <c r="N90" s="80" t="b">
        <v>1</v>
      </c>
      <c r="O90" s="80">
        <v>305200768</v>
      </c>
      <c r="P90" s="80">
        <v>4.2</v>
      </c>
      <c r="Q90" s="80">
        <v>1</v>
      </c>
      <c r="R90" s="80" t="s">
        <v>3642</v>
      </c>
      <c r="S90" s="80">
        <v>730</v>
      </c>
      <c r="T90" s="80">
        <v>7305</v>
      </c>
      <c r="U90" s="85" t="s">
        <v>2368</v>
      </c>
      <c r="X90" s="80" t="s">
        <v>116</v>
      </c>
      <c r="Y90" s="80">
        <v>0</v>
      </c>
      <c r="AA90">
        <f t="shared" si="5"/>
        <v>2222</v>
      </c>
      <c r="AB90" t="str">
        <f t="shared" si="6"/>
        <v>XAMIDOVA ZULXUMOR</v>
      </c>
      <c r="AC90" t="str">
        <f t="shared" si="7"/>
        <v>AB2018299</v>
      </c>
      <c r="AD90">
        <f t="shared" si="8"/>
        <v>4.2</v>
      </c>
      <c r="AE90">
        <f t="shared" si="9"/>
        <v>10</v>
      </c>
    </row>
    <row r="91" spans="1:31" x14ac:dyDescent="0.25">
      <c r="A91" s="80">
        <v>91</v>
      </c>
      <c r="B91" s="80">
        <v>2221</v>
      </c>
      <c r="C91" s="82">
        <v>44206</v>
      </c>
      <c r="D91" s="82" t="s">
        <v>3045</v>
      </c>
      <c r="E91" s="82" t="s">
        <v>3557</v>
      </c>
      <c r="G91" s="80">
        <v>1</v>
      </c>
      <c r="H91" s="80" t="s">
        <v>118</v>
      </c>
      <c r="I91" s="80">
        <v>16</v>
      </c>
      <c r="J91" s="80">
        <v>860</v>
      </c>
      <c r="K91" s="80">
        <v>792</v>
      </c>
      <c r="L91" s="80">
        <v>860</v>
      </c>
      <c r="M91" s="73">
        <v>44206</v>
      </c>
      <c r="N91" s="80" t="b">
        <v>1</v>
      </c>
      <c r="O91" s="80">
        <v>305200768</v>
      </c>
      <c r="P91" s="80">
        <v>4.92</v>
      </c>
      <c r="Q91" s="80">
        <v>1</v>
      </c>
      <c r="R91" s="80" t="s">
        <v>3642</v>
      </c>
      <c r="S91" s="80">
        <v>730</v>
      </c>
      <c r="T91" s="80">
        <v>7306</v>
      </c>
      <c r="U91" s="85" t="s">
        <v>2368</v>
      </c>
      <c r="X91" s="80" t="s">
        <v>116</v>
      </c>
      <c r="Y91" s="80">
        <v>0</v>
      </c>
      <c r="AA91">
        <f t="shared" si="5"/>
        <v>2221</v>
      </c>
      <c r="AB91" t="str">
        <f t="shared" si="6"/>
        <v>XAMIDOVA ZULXUMOR</v>
      </c>
      <c r="AC91" t="str">
        <f t="shared" si="7"/>
        <v>AB2018299</v>
      </c>
      <c r="AD91">
        <f t="shared" si="8"/>
        <v>4.92</v>
      </c>
      <c r="AE91">
        <f t="shared" si="9"/>
        <v>16</v>
      </c>
    </row>
    <row r="92" spans="1:31" x14ac:dyDescent="0.25">
      <c r="A92" s="80">
        <v>92</v>
      </c>
      <c r="B92" s="80">
        <v>2224</v>
      </c>
      <c r="C92" s="82">
        <v>44206</v>
      </c>
      <c r="D92" s="82" t="s">
        <v>3186</v>
      </c>
      <c r="E92" s="82" t="s">
        <v>876</v>
      </c>
      <c r="G92" s="80">
        <v>1</v>
      </c>
      <c r="H92" s="80" t="s">
        <v>151</v>
      </c>
      <c r="I92" s="80">
        <v>45</v>
      </c>
      <c r="J92" s="80">
        <v>860</v>
      </c>
      <c r="K92" s="80">
        <v>792</v>
      </c>
      <c r="L92" s="80">
        <v>860</v>
      </c>
      <c r="M92" s="73">
        <v>44206</v>
      </c>
      <c r="N92" s="80" t="b">
        <v>1</v>
      </c>
      <c r="O92" s="80">
        <v>305200768</v>
      </c>
      <c r="P92" s="80">
        <v>13.600000000000001</v>
      </c>
      <c r="Q92" s="80">
        <v>1</v>
      </c>
      <c r="R92" s="80" t="s">
        <v>3642</v>
      </c>
      <c r="S92" s="80">
        <v>727</v>
      </c>
      <c r="T92" s="80">
        <v>7273</v>
      </c>
      <c r="U92" s="85" t="s">
        <v>3569</v>
      </c>
      <c r="X92" s="80" t="s">
        <v>71</v>
      </c>
      <c r="Y92" s="80">
        <v>0</v>
      </c>
      <c r="AA92">
        <f t="shared" si="5"/>
        <v>2224</v>
      </c>
      <c r="AB92" t="str">
        <f t="shared" si="6"/>
        <v>MADJITOV ULUGBEK</v>
      </c>
      <c r="AC92" t="str">
        <f t="shared" si="7"/>
        <v>AA2749758</v>
      </c>
      <c r="AD92">
        <f t="shared" si="8"/>
        <v>13.600000000000001</v>
      </c>
      <c r="AE92">
        <f t="shared" si="9"/>
        <v>45</v>
      </c>
    </row>
    <row r="93" spans="1:31" x14ac:dyDescent="0.25">
      <c r="A93" s="80">
        <v>93</v>
      </c>
      <c r="B93" s="80">
        <v>2225</v>
      </c>
      <c r="C93" s="82">
        <v>44206</v>
      </c>
      <c r="D93" s="82" t="s">
        <v>3186</v>
      </c>
      <c r="E93" s="82" t="s">
        <v>876</v>
      </c>
      <c r="G93" s="80">
        <v>1</v>
      </c>
      <c r="H93" s="80" t="s">
        <v>151</v>
      </c>
      <c r="I93" s="80">
        <v>48</v>
      </c>
      <c r="J93" s="80">
        <v>860</v>
      </c>
      <c r="K93" s="80">
        <v>792</v>
      </c>
      <c r="L93" s="80">
        <v>860</v>
      </c>
      <c r="M93" s="73">
        <v>44206</v>
      </c>
      <c r="N93" s="80" t="b">
        <v>1</v>
      </c>
      <c r="O93" s="80">
        <v>305200768</v>
      </c>
      <c r="P93" s="80">
        <v>10.050000000000001</v>
      </c>
      <c r="Q93" s="80">
        <v>1</v>
      </c>
      <c r="R93" s="80" t="s">
        <v>3642</v>
      </c>
      <c r="S93" s="80">
        <v>727</v>
      </c>
      <c r="T93" s="80">
        <v>7274</v>
      </c>
      <c r="U93" s="85" t="s">
        <v>3569</v>
      </c>
      <c r="X93" s="80" t="s">
        <v>71</v>
      </c>
      <c r="Y93" s="80">
        <v>0</v>
      </c>
      <c r="AA93">
        <f t="shared" si="5"/>
        <v>2225</v>
      </c>
      <c r="AB93" t="str">
        <f t="shared" si="6"/>
        <v>MADJITOV ULUGBEK</v>
      </c>
      <c r="AC93" t="str">
        <f t="shared" si="7"/>
        <v>AA2749758</v>
      </c>
      <c r="AD93">
        <f t="shared" si="8"/>
        <v>10.050000000000001</v>
      </c>
      <c r="AE93">
        <f t="shared" si="9"/>
        <v>48</v>
      </c>
    </row>
    <row r="94" spans="1:31" x14ac:dyDescent="0.25">
      <c r="A94" s="80">
        <v>94</v>
      </c>
      <c r="B94" s="80">
        <v>2220</v>
      </c>
      <c r="C94" s="82">
        <v>44206</v>
      </c>
      <c r="D94" s="82" t="s">
        <v>3045</v>
      </c>
      <c r="E94" s="82" t="s">
        <v>3557</v>
      </c>
      <c r="G94" s="80">
        <v>1</v>
      </c>
      <c r="H94" s="80" t="s">
        <v>118</v>
      </c>
      <c r="I94" s="80">
        <v>12</v>
      </c>
      <c r="J94" s="80">
        <v>860</v>
      </c>
      <c r="K94" s="80">
        <v>792</v>
      </c>
      <c r="L94" s="80">
        <v>860</v>
      </c>
      <c r="M94" s="73">
        <v>44206</v>
      </c>
      <c r="N94" s="80" t="b">
        <v>1</v>
      </c>
      <c r="O94" s="80">
        <v>305200768</v>
      </c>
      <c r="P94" s="80">
        <v>5.4</v>
      </c>
      <c r="Q94" s="80">
        <v>1</v>
      </c>
      <c r="R94" s="80" t="s">
        <v>3642</v>
      </c>
      <c r="S94" s="80">
        <v>730</v>
      </c>
      <c r="T94" s="80">
        <v>7306</v>
      </c>
      <c r="U94" s="85" t="s">
        <v>2368</v>
      </c>
      <c r="X94" s="80" t="s">
        <v>116</v>
      </c>
      <c r="Y94" s="80">
        <v>0</v>
      </c>
      <c r="AA94">
        <f t="shared" si="5"/>
        <v>2220</v>
      </c>
      <c r="AB94" t="str">
        <f t="shared" si="6"/>
        <v>XAMIDOVA ZULXUMOR</v>
      </c>
      <c r="AC94" t="str">
        <f t="shared" si="7"/>
        <v>AB2018299</v>
      </c>
      <c r="AD94">
        <f t="shared" si="8"/>
        <v>5.4</v>
      </c>
      <c r="AE94">
        <f t="shared" si="9"/>
        <v>12</v>
      </c>
    </row>
    <row r="95" spans="1:31" x14ac:dyDescent="0.25">
      <c r="A95" s="80">
        <v>95</v>
      </c>
      <c r="B95" s="80">
        <v>2226</v>
      </c>
      <c r="C95" s="82">
        <v>44206</v>
      </c>
      <c r="D95" s="82" t="s">
        <v>3186</v>
      </c>
      <c r="E95" s="82" t="s">
        <v>876</v>
      </c>
      <c r="G95" s="80">
        <v>1</v>
      </c>
      <c r="H95" s="80" t="s">
        <v>151</v>
      </c>
      <c r="I95" s="80">
        <v>59</v>
      </c>
      <c r="J95" s="80">
        <v>860</v>
      </c>
      <c r="K95" s="80">
        <v>792</v>
      </c>
      <c r="L95" s="80">
        <v>860</v>
      </c>
      <c r="M95" s="73">
        <v>44206</v>
      </c>
      <c r="N95" s="80" t="b">
        <v>1</v>
      </c>
      <c r="O95" s="80">
        <v>305200768</v>
      </c>
      <c r="P95" s="80">
        <v>14.96</v>
      </c>
      <c r="Q95" s="80">
        <v>1</v>
      </c>
      <c r="R95" s="80" t="s">
        <v>3642</v>
      </c>
      <c r="S95" s="80">
        <v>727</v>
      </c>
      <c r="T95" s="80">
        <v>7273</v>
      </c>
      <c r="U95" s="85" t="s">
        <v>3569</v>
      </c>
      <c r="X95" s="80" t="s">
        <v>71</v>
      </c>
      <c r="Y95" s="80">
        <v>0</v>
      </c>
      <c r="AA95">
        <f t="shared" si="5"/>
        <v>2226</v>
      </c>
      <c r="AB95" t="str">
        <f t="shared" si="6"/>
        <v>MADJITOV ULUGBEK</v>
      </c>
      <c r="AC95" t="str">
        <f t="shared" si="7"/>
        <v>AA2749758</v>
      </c>
      <c r="AD95">
        <f t="shared" si="8"/>
        <v>14.96</v>
      </c>
      <c r="AE95">
        <f t="shared" si="9"/>
        <v>59</v>
      </c>
    </row>
    <row r="96" spans="1:31" x14ac:dyDescent="0.25">
      <c r="A96" s="80">
        <v>96</v>
      </c>
      <c r="B96" s="80">
        <v>2227</v>
      </c>
      <c r="C96" s="82">
        <v>44206</v>
      </c>
      <c r="D96" s="82" t="s">
        <v>3595</v>
      </c>
      <c r="E96" s="82" t="s">
        <v>3596</v>
      </c>
      <c r="G96" s="80">
        <v>1</v>
      </c>
      <c r="H96" s="80" t="s">
        <v>151</v>
      </c>
      <c r="I96" s="80">
        <v>30</v>
      </c>
      <c r="J96" s="80">
        <v>860</v>
      </c>
      <c r="K96" s="80">
        <v>792</v>
      </c>
      <c r="L96" s="80">
        <v>860</v>
      </c>
      <c r="M96" s="73">
        <v>44206</v>
      </c>
      <c r="N96" s="80" t="b">
        <v>1</v>
      </c>
      <c r="O96" s="80">
        <v>305200768</v>
      </c>
      <c r="P96" s="80">
        <v>24.6</v>
      </c>
      <c r="Q96" s="80">
        <v>1</v>
      </c>
      <c r="R96" s="80" t="s">
        <v>3642</v>
      </c>
      <c r="S96" s="80">
        <v>727</v>
      </c>
      <c r="T96" s="80">
        <v>7274</v>
      </c>
      <c r="U96" s="85" t="s">
        <v>3597</v>
      </c>
      <c r="X96" s="80" t="s">
        <v>71</v>
      </c>
      <c r="Y96" s="80">
        <v>0</v>
      </c>
      <c r="AA96">
        <f t="shared" si="5"/>
        <v>2227</v>
      </c>
      <c r="AB96" t="str">
        <f t="shared" si="6"/>
        <v>KUDRATULLAYEV LUTFULLA</v>
      </c>
      <c r="AC96" t="str">
        <f t="shared" si="7"/>
        <v>AA2978397</v>
      </c>
      <c r="AD96">
        <f t="shared" si="8"/>
        <v>24.6</v>
      </c>
      <c r="AE96">
        <f t="shared" si="9"/>
        <v>30</v>
      </c>
    </row>
    <row r="97" spans="1:31" x14ac:dyDescent="0.25">
      <c r="A97" s="80">
        <v>97</v>
      </c>
      <c r="B97" s="80">
        <v>2228</v>
      </c>
      <c r="C97" s="82">
        <v>44206</v>
      </c>
      <c r="D97" s="82" t="s">
        <v>2757</v>
      </c>
      <c r="E97" s="82" t="s">
        <v>516</v>
      </c>
      <c r="G97" s="80">
        <v>1</v>
      </c>
      <c r="H97" s="80" t="s">
        <v>151</v>
      </c>
      <c r="I97" s="80">
        <v>40</v>
      </c>
      <c r="J97" s="80">
        <v>860</v>
      </c>
      <c r="K97" s="80">
        <v>792</v>
      </c>
      <c r="L97" s="80">
        <v>860</v>
      </c>
      <c r="M97" s="73">
        <v>44206</v>
      </c>
      <c r="N97" s="80" t="b">
        <v>1</v>
      </c>
      <c r="O97" s="80">
        <v>305200768</v>
      </c>
      <c r="P97" s="80">
        <v>23.3</v>
      </c>
      <c r="Q97" s="80">
        <v>1</v>
      </c>
      <c r="R97" s="80" t="s">
        <v>3642</v>
      </c>
      <c r="S97" s="80">
        <v>727</v>
      </c>
      <c r="T97" s="80">
        <v>7276</v>
      </c>
      <c r="U97" s="85" t="s">
        <v>2756</v>
      </c>
      <c r="X97" s="80" t="s">
        <v>116</v>
      </c>
      <c r="Y97" s="80">
        <v>0</v>
      </c>
      <c r="AA97">
        <f t="shared" si="5"/>
        <v>2228</v>
      </c>
      <c r="AB97" t="str">
        <f t="shared" si="6"/>
        <v>TURAQULOVA IRODA</v>
      </c>
      <c r="AC97" t="str">
        <f t="shared" si="7"/>
        <v>AB2611755</v>
      </c>
      <c r="AD97">
        <f t="shared" si="8"/>
        <v>23.3</v>
      </c>
      <c r="AE97">
        <f t="shared" si="9"/>
        <v>40</v>
      </c>
    </row>
    <row r="98" spans="1:31" x14ac:dyDescent="0.25">
      <c r="A98" s="80">
        <v>98</v>
      </c>
      <c r="B98" s="80">
        <v>2229</v>
      </c>
      <c r="C98" s="82">
        <v>44206</v>
      </c>
      <c r="D98" s="82" t="s">
        <v>3054</v>
      </c>
      <c r="E98" s="82" t="s">
        <v>266</v>
      </c>
      <c r="G98" s="80">
        <v>1</v>
      </c>
      <c r="H98" s="80" t="s">
        <v>151</v>
      </c>
      <c r="I98" s="80">
        <v>40</v>
      </c>
      <c r="J98" s="80">
        <v>860</v>
      </c>
      <c r="K98" s="80">
        <v>792</v>
      </c>
      <c r="L98" s="80">
        <v>860</v>
      </c>
      <c r="M98" s="73">
        <v>44206</v>
      </c>
      <c r="N98" s="80" t="b">
        <v>1</v>
      </c>
      <c r="O98" s="80">
        <v>305200768</v>
      </c>
      <c r="P98" s="80">
        <v>25.6</v>
      </c>
      <c r="Q98" s="80">
        <v>1</v>
      </c>
      <c r="R98" s="80" t="s">
        <v>3642</v>
      </c>
      <c r="S98" s="80">
        <v>727</v>
      </c>
      <c r="T98" s="80">
        <v>7272</v>
      </c>
      <c r="U98" s="85" t="s">
        <v>3598</v>
      </c>
      <c r="X98" s="80" t="s">
        <v>116</v>
      </c>
      <c r="Y98" s="80">
        <v>0</v>
      </c>
      <c r="AA98">
        <f t="shared" si="5"/>
        <v>2229</v>
      </c>
      <c r="AB98" t="str">
        <f t="shared" si="6"/>
        <v>JO‘RAYEV DILMUROD</v>
      </c>
      <c r="AC98" t="str">
        <f t="shared" si="7"/>
        <v>AB7380213</v>
      </c>
      <c r="AD98">
        <f t="shared" si="8"/>
        <v>25.6</v>
      </c>
      <c r="AE98">
        <f t="shared" si="9"/>
        <v>40</v>
      </c>
    </row>
    <row r="99" spans="1:31" x14ac:dyDescent="0.25">
      <c r="A99" s="80">
        <v>99</v>
      </c>
      <c r="B99" s="80">
        <v>2230</v>
      </c>
      <c r="C99" s="82">
        <v>44206</v>
      </c>
      <c r="D99" s="82" t="s">
        <v>3705</v>
      </c>
      <c r="E99" s="82" t="s">
        <v>2259</v>
      </c>
      <c r="G99" s="80">
        <v>1</v>
      </c>
      <c r="H99" s="80" t="s">
        <v>151</v>
      </c>
      <c r="I99" s="80">
        <v>40</v>
      </c>
      <c r="J99" s="80">
        <v>860</v>
      </c>
      <c r="K99" s="80">
        <v>792</v>
      </c>
      <c r="L99" s="80">
        <v>860</v>
      </c>
      <c r="M99" s="73">
        <v>44206</v>
      </c>
      <c r="N99" s="80" t="b">
        <v>1</v>
      </c>
      <c r="O99" s="80">
        <v>305200768</v>
      </c>
      <c r="P99" s="80">
        <v>20.9</v>
      </c>
      <c r="Q99" s="80">
        <v>1</v>
      </c>
      <c r="R99" s="80" t="s">
        <v>3642</v>
      </c>
      <c r="S99" s="80">
        <v>727</v>
      </c>
      <c r="T99" s="80">
        <v>7278</v>
      </c>
      <c r="U99" s="85" t="s">
        <v>2257</v>
      </c>
      <c r="X99" s="80" t="s">
        <v>116</v>
      </c>
      <c r="Y99" s="80">
        <v>0</v>
      </c>
      <c r="AA99">
        <f t="shared" si="5"/>
        <v>2230</v>
      </c>
      <c r="AB99" t="str">
        <f t="shared" si="6"/>
        <v>SHADMANOV TURDIALI</v>
      </c>
      <c r="AC99" t="str">
        <f t="shared" si="7"/>
        <v>AB8318690</v>
      </c>
      <c r="AD99">
        <f t="shared" si="8"/>
        <v>20.9</v>
      </c>
      <c r="AE99">
        <f t="shared" si="9"/>
        <v>40</v>
      </c>
    </row>
    <row r="100" spans="1:31" x14ac:dyDescent="0.25">
      <c r="A100" s="80">
        <v>100</v>
      </c>
      <c r="B100" s="80">
        <v>2231</v>
      </c>
      <c r="C100" s="82">
        <v>44206</v>
      </c>
      <c r="D100" s="82" t="s">
        <v>3703</v>
      </c>
      <c r="E100" s="82" t="s">
        <v>157</v>
      </c>
      <c r="G100" s="80">
        <v>1</v>
      </c>
      <c r="H100" s="80" t="s">
        <v>151</v>
      </c>
      <c r="I100" s="80">
        <v>50</v>
      </c>
      <c r="J100" s="80">
        <v>860</v>
      </c>
      <c r="K100" s="80">
        <v>792</v>
      </c>
      <c r="L100" s="80">
        <v>860</v>
      </c>
      <c r="M100" s="73">
        <v>44206</v>
      </c>
      <c r="N100" s="80" t="b">
        <v>1</v>
      </c>
      <c r="O100" s="80">
        <v>305200768</v>
      </c>
      <c r="P100" s="80">
        <v>23.1</v>
      </c>
      <c r="Q100" s="80">
        <v>1</v>
      </c>
      <c r="R100" s="80" t="s">
        <v>3642</v>
      </c>
      <c r="S100" s="80">
        <v>727</v>
      </c>
      <c r="T100" s="80">
        <v>7278</v>
      </c>
      <c r="U100" s="85" t="s">
        <v>3599</v>
      </c>
      <c r="X100" s="80" t="s">
        <v>116</v>
      </c>
      <c r="Y100" s="80">
        <v>0</v>
      </c>
      <c r="AA100">
        <f t="shared" si="5"/>
        <v>2231</v>
      </c>
      <c r="AB100" t="str">
        <f t="shared" si="6"/>
        <v>XAMRAYEVA AZIZA</v>
      </c>
      <c r="AC100" t="str">
        <f t="shared" si="7"/>
        <v>AB7687041</v>
      </c>
      <c r="AD100">
        <f t="shared" si="8"/>
        <v>23.1</v>
      </c>
      <c r="AE100">
        <f t="shared" si="9"/>
        <v>50</v>
      </c>
    </row>
    <row r="101" spans="1:31" x14ac:dyDescent="0.25">
      <c r="A101" s="80">
        <v>101</v>
      </c>
      <c r="B101" s="80">
        <v>2232</v>
      </c>
      <c r="C101" s="82">
        <v>44206</v>
      </c>
      <c r="D101" s="82" t="s">
        <v>3096</v>
      </c>
      <c r="E101" s="82" t="s">
        <v>3097</v>
      </c>
      <c r="G101" s="80">
        <v>1</v>
      </c>
      <c r="H101" s="80" t="s">
        <v>151</v>
      </c>
      <c r="I101" s="80">
        <v>50</v>
      </c>
      <c r="J101" s="80">
        <v>860</v>
      </c>
      <c r="K101" s="80">
        <v>792</v>
      </c>
      <c r="L101" s="80">
        <v>860</v>
      </c>
      <c r="M101" s="73">
        <v>44206</v>
      </c>
      <c r="N101" s="80" t="b">
        <v>1</v>
      </c>
      <c r="O101" s="80">
        <v>305200768</v>
      </c>
      <c r="P101" s="80">
        <v>24.9</v>
      </c>
      <c r="Q101" s="80">
        <v>1</v>
      </c>
      <c r="R101" s="80" t="s">
        <v>3642</v>
      </c>
      <c r="S101" s="80">
        <v>727</v>
      </c>
      <c r="T101" s="80">
        <v>7278</v>
      </c>
      <c r="U101" s="85" t="s">
        <v>3600</v>
      </c>
      <c r="X101" s="80" t="s">
        <v>116</v>
      </c>
      <c r="Y101" s="80">
        <v>0</v>
      </c>
      <c r="AA101">
        <f t="shared" si="5"/>
        <v>2232</v>
      </c>
      <c r="AB101" t="str">
        <f t="shared" si="6"/>
        <v>BAHODIROV MOHIRJON</v>
      </c>
      <c r="AC101" t="str">
        <f t="shared" si="7"/>
        <v>AB6255569</v>
      </c>
      <c r="AD101">
        <f t="shared" si="8"/>
        <v>24.9</v>
      </c>
      <c r="AE101">
        <f t="shared" si="9"/>
        <v>50</v>
      </c>
    </row>
    <row r="102" spans="1:31" x14ac:dyDescent="0.25">
      <c r="A102" s="80">
        <v>102</v>
      </c>
      <c r="B102" s="80">
        <v>2233</v>
      </c>
      <c r="C102" s="82">
        <v>44206</v>
      </c>
      <c r="D102" s="82" t="s">
        <v>649</v>
      </c>
      <c r="E102" s="82" t="s">
        <v>3655</v>
      </c>
      <c r="G102" s="80">
        <v>1</v>
      </c>
      <c r="H102" s="80" t="s">
        <v>151</v>
      </c>
      <c r="I102" s="80">
        <v>50</v>
      </c>
      <c r="J102" s="80">
        <v>860</v>
      </c>
      <c r="K102" s="80">
        <v>792</v>
      </c>
      <c r="L102" s="80">
        <v>860</v>
      </c>
      <c r="M102" s="73">
        <v>44206</v>
      </c>
      <c r="N102" s="80" t="b">
        <v>1</v>
      </c>
      <c r="O102" s="80">
        <v>305200768</v>
      </c>
      <c r="P102" s="80">
        <v>24.5</v>
      </c>
      <c r="Q102" s="80">
        <v>1</v>
      </c>
      <c r="R102" s="80" t="s">
        <v>3642</v>
      </c>
      <c r="S102" s="80">
        <v>727</v>
      </c>
      <c r="T102" s="80">
        <v>7271</v>
      </c>
      <c r="U102" s="85" t="s">
        <v>2775</v>
      </c>
      <c r="X102" s="80" t="s">
        <v>71</v>
      </c>
      <c r="Y102" s="80">
        <v>0</v>
      </c>
      <c r="AA102">
        <f t="shared" si="5"/>
        <v>2233</v>
      </c>
      <c r="AB102" t="str">
        <f t="shared" si="6"/>
        <v>SULTONOV DAURANBEK</v>
      </c>
      <c r="AC102" t="str">
        <f t="shared" si="7"/>
        <v>AA5655595</v>
      </c>
      <c r="AD102">
        <f t="shared" si="8"/>
        <v>24.5</v>
      </c>
      <c r="AE102">
        <f t="shared" si="9"/>
        <v>50</v>
      </c>
    </row>
    <row r="103" spans="1:31" x14ac:dyDescent="0.25">
      <c r="A103" s="80">
        <v>103</v>
      </c>
      <c r="B103" s="80">
        <v>2234</v>
      </c>
      <c r="C103" s="82">
        <v>44206</v>
      </c>
      <c r="D103" s="82" t="s">
        <v>3231</v>
      </c>
      <c r="E103" s="82" t="s">
        <v>631</v>
      </c>
      <c r="G103" s="80">
        <v>1</v>
      </c>
      <c r="H103" s="80" t="s">
        <v>151</v>
      </c>
      <c r="I103" s="80">
        <v>4</v>
      </c>
      <c r="J103" s="80">
        <v>860</v>
      </c>
      <c r="K103" s="80">
        <v>792</v>
      </c>
      <c r="L103" s="80">
        <v>860</v>
      </c>
      <c r="M103" s="73">
        <v>44206</v>
      </c>
      <c r="N103" s="80" t="b">
        <v>1</v>
      </c>
      <c r="O103" s="80">
        <v>305200768</v>
      </c>
      <c r="P103" s="80">
        <v>1.2</v>
      </c>
      <c r="Q103" s="80">
        <v>1</v>
      </c>
      <c r="R103" s="80" t="s">
        <v>3642</v>
      </c>
      <c r="S103" s="80">
        <v>727</v>
      </c>
      <c r="T103" s="80">
        <v>7273</v>
      </c>
      <c r="U103" s="85" t="s">
        <v>3378</v>
      </c>
      <c r="X103" s="80" t="s">
        <v>71</v>
      </c>
      <c r="Y103" s="80">
        <v>0</v>
      </c>
      <c r="AA103">
        <f t="shared" si="5"/>
        <v>2234</v>
      </c>
      <c r="AB103" t="str">
        <f t="shared" si="6"/>
        <v>TURATOVA MOXICHEXRA</v>
      </c>
      <c r="AC103" t="str">
        <f t="shared" si="7"/>
        <v>AA1280109</v>
      </c>
      <c r="AD103">
        <f t="shared" si="8"/>
        <v>1.2</v>
      </c>
      <c r="AE103">
        <f t="shared" si="9"/>
        <v>4</v>
      </c>
    </row>
    <row r="104" spans="1:31" x14ac:dyDescent="0.25">
      <c r="A104" s="80">
        <v>104</v>
      </c>
      <c r="B104" s="80">
        <v>2194</v>
      </c>
      <c r="C104" s="82">
        <v>44206</v>
      </c>
      <c r="D104" s="82" t="s">
        <v>1348</v>
      </c>
      <c r="E104" s="82" t="s">
        <v>1405</v>
      </c>
      <c r="G104" s="80">
        <v>1</v>
      </c>
      <c r="H104" s="80" t="s">
        <v>151</v>
      </c>
      <c r="I104" s="80">
        <v>5</v>
      </c>
      <c r="J104" s="80">
        <v>860</v>
      </c>
      <c r="K104" s="80">
        <v>792</v>
      </c>
      <c r="L104" s="80">
        <v>860</v>
      </c>
      <c r="M104" s="73">
        <v>44206</v>
      </c>
      <c r="N104" s="80" t="b">
        <v>1</v>
      </c>
      <c r="O104" s="80">
        <v>305200768</v>
      </c>
      <c r="P104" s="80">
        <v>1</v>
      </c>
      <c r="Q104" s="80">
        <v>1</v>
      </c>
      <c r="R104" s="80" t="s">
        <v>3642</v>
      </c>
      <c r="S104" s="80">
        <v>727</v>
      </c>
      <c r="T104" s="80">
        <v>7271</v>
      </c>
      <c r="U104" s="85" t="s">
        <v>2367</v>
      </c>
      <c r="X104" s="80" t="s">
        <v>71</v>
      </c>
      <c r="Y104" s="80">
        <v>0</v>
      </c>
      <c r="AA104">
        <f t="shared" si="5"/>
        <v>2194</v>
      </c>
      <c r="AB104" t="str">
        <f t="shared" si="6"/>
        <v>OMONOVA CHAROS</v>
      </c>
      <c r="AC104" t="str">
        <f t="shared" si="7"/>
        <v>AA4149211</v>
      </c>
      <c r="AD104">
        <f t="shared" si="8"/>
        <v>1</v>
      </c>
      <c r="AE104">
        <f t="shared" si="9"/>
        <v>5</v>
      </c>
    </row>
    <row r="105" spans="1:31" x14ac:dyDescent="0.25">
      <c r="A105" s="80">
        <v>105</v>
      </c>
      <c r="B105" s="80">
        <v>2197</v>
      </c>
      <c r="C105" s="82">
        <v>44206</v>
      </c>
      <c r="D105" s="82" t="s">
        <v>3682</v>
      </c>
      <c r="E105" s="82" t="s">
        <v>444</v>
      </c>
      <c r="G105" s="80">
        <v>1</v>
      </c>
      <c r="H105" s="80" t="s">
        <v>151</v>
      </c>
      <c r="I105" s="80">
        <v>2</v>
      </c>
      <c r="J105" s="80">
        <v>860</v>
      </c>
      <c r="K105" s="80">
        <v>792</v>
      </c>
      <c r="L105" s="80">
        <v>860</v>
      </c>
      <c r="M105" s="73">
        <v>44206</v>
      </c>
      <c r="N105" s="80" t="b">
        <v>1</v>
      </c>
      <c r="O105" s="80">
        <v>305200768</v>
      </c>
      <c r="P105" s="80">
        <v>1</v>
      </c>
      <c r="Q105" s="80">
        <v>1</v>
      </c>
      <c r="R105" s="80" t="s">
        <v>3642</v>
      </c>
      <c r="S105" s="80">
        <v>727</v>
      </c>
      <c r="T105" s="80">
        <v>7278</v>
      </c>
      <c r="U105" s="85" t="s">
        <v>345</v>
      </c>
      <c r="X105" s="80" t="s">
        <v>71</v>
      </c>
      <c r="Y105" s="80">
        <v>0</v>
      </c>
      <c r="AA105">
        <f t="shared" si="5"/>
        <v>2197</v>
      </c>
      <c r="AB105" t="str">
        <f t="shared" si="6"/>
        <v>FARMANOV AKOBIR</v>
      </c>
      <c r="AC105" t="str">
        <f t="shared" si="7"/>
        <v>AA3815921</v>
      </c>
      <c r="AD105">
        <f t="shared" si="8"/>
        <v>1</v>
      </c>
      <c r="AE105">
        <f t="shared" si="9"/>
        <v>2</v>
      </c>
    </row>
    <row r="106" spans="1:31" x14ac:dyDescent="0.25">
      <c r="A106" s="80">
        <v>106</v>
      </c>
      <c r="B106" s="80">
        <v>2206</v>
      </c>
      <c r="C106" s="82">
        <v>44206</v>
      </c>
      <c r="D106" s="82" t="s">
        <v>3232</v>
      </c>
      <c r="E106" s="82" t="s">
        <v>2466</v>
      </c>
      <c r="G106" s="80">
        <v>1</v>
      </c>
      <c r="H106" s="80" t="s">
        <v>151</v>
      </c>
      <c r="I106" s="80">
        <v>2</v>
      </c>
      <c r="J106" s="80">
        <v>860</v>
      </c>
      <c r="K106" s="80">
        <v>792</v>
      </c>
      <c r="L106" s="80">
        <v>860</v>
      </c>
      <c r="M106" s="73">
        <v>44206</v>
      </c>
      <c r="N106" s="80" t="b">
        <v>1</v>
      </c>
      <c r="O106" s="80">
        <v>305200768</v>
      </c>
      <c r="P106" s="80">
        <v>1</v>
      </c>
      <c r="Q106" s="80">
        <v>1</v>
      </c>
      <c r="R106" s="80" t="s">
        <v>3642</v>
      </c>
      <c r="S106" s="80">
        <v>727</v>
      </c>
      <c r="T106" s="80">
        <v>7273</v>
      </c>
      <c r="U106" s="85" t="s">
        <v>3601</v>
      </c>
      <c r="X106" s="80" t="s">
        <v>71</v>
      </c>
      <c r="Y106" s="80">
        <v>0</v>
      </c>
      <c r="AA106">
        <f t="shared" si="5"/>
        <v>2206</v>
      </c>
      <c r="AB106" t="str">
        <f t="shared" si="6"/>
        <v>GABBASOV RASHID</v>
      </c>
      <c r="AC106" t="str">
        <f t="shared" si="7"/>
        <v>AA8066086</v>
      </c>
      <c r="AD106">
        <f t="shared" si="8"/>
        <v>1</v>
      </c>
      <c r="AE106">
        <f t="shared" si="9"/>
        <v>2</v>
      </c>
    </row>
    <row r="107" spans="1:31" x14ac:dyDescent="0.25">
      <c r="A107" s="80">
        <v>107</v>
      </c>
      <c r="B107" s="80">
        <v>2216</v>
      </c>
      <c r="C107" s="82">
        <v>44206</v>
      </c>
      <c r="D107" s="82" t="s">
        <v>3360</v>
      </c>
      <c r="E107" s="82" t="s">
        <v>3662</v>
      </c>
      <c r="G107" s="80">
        <v>1</v>
      </c>
      <c r="H107" s="80" t="s">
        <v>151</v>
      </c>
      <c r="I107" s="80">
        <v>22</v>
      </c>
      <c r="J107" s="80">
        <v>860</v>
      </c>
      <c r="K107" s="80">
        <v>792</v>
      </c>
      <c r="L107" s="80">
        <v>860</v>
      </c>
      <c r="M107" s="73">
        <v>44206</v>
      </c>
      <c r="N107" s="80" t="b">
        <v>1</v>
      </c>
      <c r="O107" s="80">
        <v>305200768</v>
      </c>
      <c r="P107" s="80">
        <v>1.32</v>
      </c>
      <c r="Q107" s="80">
        <v>1</v>
      </c>
      <c r="R107" s="80" t="s">
        <v>3642</v>
      </c>
      <c r="S107" s="80">
        <v>727</v>
      </c>
      <c r="T107" s="80">
        <v>7272</v>
      </c>
      <c r="U107" s="85" t="s">
        <v>3361</v>
      </c>
      <c r="X107" s="80" t="s">
        <v>116</v>
      </c>
      <c r="Y107" s="80">
        <v>0</v>
      </c>
      <c r="AA107">
        <f t="shared" si="5"/>
        <v>2216</v>
      </c>
      <c r="AB107" t="str">
        <f t="shared" si="6"/>
        <v>BELOVA YELENA</v>
      </c>
      <c r="AC107" t="str">
        <f t="shared" si="7"/>
        <v>AB6855588</v>
      </c>
      <c r="AD107">
        <f t="shared" si="8"/>
        <v>1.32</v>
      </c>
      <c r="AE107">
        <f t="shared" si="9"/>
        <v>22</v>
      </c>
    </row>
    <row r="108" spans="1:31" x14ac:dyDescent="0.25">
      <c r="A108" s="80">
        <v>108</v>
      </c>
      <c r="B108" s="80">
        <v>2217</v>
      </c>
      <c r="C108" s="82">
        <v>44206</v>
      </c>
      <c r="D108" s="82" t="s">
        <v>3675</v>
      </c>
      <c r="E108" s="82" t="s">
        <v>3648</v>
      </c>
      <c r="G108" s="80">
        <v>1</v>
      </c>
      <c r="H108" s="80" t="s">
        <v>151</v>
      </c>
      <c r="I108" s="80">
        <v>3</v>
      </c>
      <c r="J108" s="80">
        <v>860</v>
      </c>
      <c r="K108" s="80">
        <v>792</v>
      </c>
      <c r="L108" s="80">
        <v>860</v>
      </c>
      <c r="M108" s="73">
        <v>44206</v>
      </c>
      <c r="N108" s="80" t="b">
        <v>1</v>
      </c>
      <c r="O108" s="80">
        <v>305200768</v>
      </c>
      <c r="P108" s="80">
        <v>1</v>
      </c>
      <c r="Q108" s="80">
        <v>1</v>
      </c>
      <c r="R108" s="80" t="s">
        <v>3642</v>
      </c>
      <c r="S108" s="80">
        <v>727</v>
      </c>
      <c r="T108" s="80">
        <v>7276</v>
      </c>
      <c r="U108" s="85" t="s">
        <v>2389</v>
      </c>
      <c r="X108" s="80" t="s">
        <v>71</v>
      </c>
      <c r="Y108" s="80">
        <v>0</v>
      </c>
      <c r="AA108">
        <f t="shared" si="5"/>
        <v>2217</v>
      </c>
      <c r="AB108" t="str">
        <f t="shared" si="6"/>
        <v>DJALALOV ABBAS</v>
      </c>
      <c r="AC108" t="str">
        <f t="shared" si="7"/>
        <v>AA1962431</v>
      </c>
      <c r="AD108">
        <f t="shared" si="8"/>
        <v>1</v>
      </c>
      <c r="AE108">
        <f t="shared" si="9"/>
        <v>3</v>
      </c>
    </row>
    <row r="109" spans="1:31" x14ac:dyDescent="0.25">
      <c r="A109" s="80">
        <v>109</v>
      </c>
      <c r="B109" s="80">
        <v>2207</v>
      </c>
      <c r="C109" s="82">
        <v>44206</v>
      </c>
      <c r="D109" s="82" t="s">
        <v>3681</v>
      </c>
      <c r="E109" s="82" t="s">
        <v>2576</v>
      </c>
      <c r="G109" s="80">
        <v>1</v>
      </c>
      <c r="H109" s="80" t="s">
        <v>151</v>
      </c>
      <c r="I109" s="80">
        <v>6</v>
      </c>
      <c r="J109" s="80">
        <v>860</v>
      </c>
      <c r="K109" s="80">
        <v>792</v>
      </c>
      <c r="L109" s="80">
        <v>860</v>
      </c>
      <c r="M109" s="73">
        <v>44206</v>
      </c>
      <c r="N109" s="80" t="b">
        <v>1</v>
      </c>
      <c r="O109" s="80">
        <v>305200768</v>
      </c>
      <c r="P109" s="80">
        <v>1</v>
      </c>
      <c r="Q109" s="80">
        <v>1</v>
      </c>
      <c r="R109" s="80" t="s">
        <v>3642</v>
      </c>
      <c r="S109" s="80">
        <v>727</v>
      </c>
      <c r="T109" s="80">
        <v>7273</v>
      </c>
      <c r="U109" s="85" t="s">
        <v>2575</v>
      </c>
      <c r="X109" s="80" t="s">
        <v>71</v>
      </c>
      <c r="Y109" s="80">
        <v>0</v>
      </c>
      <c r="AA109">
        <f t="shared" si="5"/>
        <v>2207</v>
      </c>
      <c r="AB109" t="str">
        <f t="shared" si="6"/>
        <v>ABDALIYEVA TALUAS</v>
      </c>
      <c r="AC109" t="str">
        <f t="shared" si="7"/>
        <v>AA2824375</v>
      </c>
      <c r="AD109">
        <f t="shared" si="8"/>
        <v>1</v>
      </c>
      <c r="AE109">
        <f t="shared" si="9"/>
        <v>6</v>
      </c>
    </row>
    <row r="110" spans="1:31" x14ac:dyDescent="0.25">
      <c r="A110" s="80">
        <v>110</v>
      </c>
      <c r="B110" s="80">
        <v>2201</v>
      </c>
      <c r="C110" s="82">
        <v>44206</v>
      </c>
      <c r="D110" s="82" t="s">
        <v>3669</v>
      </c>
      <c r="E110" s="82" t="s">
        <v>3643</v>
      </c>
      <c r="G110" s="80">
        <v>1</v>
      </c>
      <c r="H110" s="80" t="s">
        <v>151</v>
      </c>
      <c r="I110" s="80">
        <v>1</v>
      </c>
      <c r="J110" s="80">
        <v>860</v>
      </c>
      <c r="K110" s="80">
        <v>792</v>
      </c>
      <c r="L110" s="80">
        <v>860</v>
      </c>
      <c r="M110" s="73">
        <v>44206</v>
      </c>
      <c r="N110" s="80" t="b">
        <v>1</v>
      </c>
      <c r="O110" s="80">
        <v>305200768</v>
      </c>
      <c r="P110" s="80">
        <v>1</v>
      </c>
      <c r="Q110" s="80">
        <v>1</v>
      </c>
      <c r="R110" s="80" t="s">
        <v>3642</v>
      </c>
      <c r="S110" s="80">
        <v>727</v>
      </c>
      <c r="T110" s="80">
        <v>7272</v>
      </c>
      <c r="U110" s="85" t="s">
        <v>338</v>
      </c>
      <c r="X110" s="80" t="s">
        <v>71</v>
      </c>
      <c r="Y110" s="80">
        <v>0</v>
      </c>
      <c r="AA110">
        <f t="shared" si="5"/>
        <v>2201</v>
      </c>
      <c r="AB110" t="str">
        <f t="shared" si="6"/>
        <v>SOY YEKATERINA</v>
      </c>
      <c r="AC110" t="str">
        <f t="shared" si="7"/>
        <v>AA0386119</v>
      </c>
      <c r="AD110">
        <f t="shared" si="8"/>
        <v>1</v>
      </c>
      <c r="AE110">
        <f t="shared" si="9"/>
        <v>1</v>
      </c>
    </row>
    <row r="111" spans="1:31" x14ac:dyDescent="0.25">
      <c r="A111" s="80">
        <v>111</v>
      </c>
      <c r="B111" s="80">
        <v>2217</v>
      </c>
      <c r="C111" s="82">
        <v>44206</v>
      </c>
      <c r="D111" s="82" t="s">
        <v>3695</v>
      </c>
      <c r="E111" s="82" t="s">
        <v>3603</v>
      </c>
      <c r="G111" s="80">
        <v>1</v>
      </c>
      <c r="H111" s="80" t="s">
        <v>151</v>
      </c>
      <c r="I111" s="80">
        <v>10</v>
      </c>
      <c r="J111" s="80">
        <v>860</v>
      </c>
      <c r="K111" s="80">
        <v>792</v>
      </c>
      <c r="L111" s="80">
        <v>860</v>
      </c>
      <c r="M111" s="73">
        <v>44206</v>
      </c>
      <c r="N111" s="80" t="b">
        <v>1</v>
      </c>
      <c r="O111" s="80">
        <v>305200768</v>
      </c>
      <c r="P111" s="80">
        <v>1.1200000000000001</v>
      </c>
      <c r="Q111" s="80">
        <v>1</v>
      </c>
      <c r="R111" s="80" t="s">
        <v>3642</v>
      </c>
      <c r="S111" s="80">
        <v>727</v>
      </c>
      <c r="T111" s="80">
        <v>7273</v>
      </c>
      <c r="U111" s="85" t="s">
        <v>3604</v>
      </c>
      <c r="X111" s="80" t="s">
        <v>71</v>
      </c>
      <c r="Y111" s="80">
        <v>0</v>
      </c>
      <c r="AA111">
        <f t="shared" si="5"/>
        <v>2217</v>
      </c>
      <c r="AB111" t="str">
        <f t="shared" si="6"/>
        <v>SULEYMANOVA LILIANA</v>
      </c>
      <c r="AC111" t="str">
        <f t="shared" si="7"/>
        <v>AA9188207</v>
      </c>
      <c r="AD111">
        <f t="shared" si="8"/>
        <v>1.1200000000000001</v>
      </c>
      <c r="AE111">
        <f t="shared" si="9"/>
        <v>10</v>
      </c>
    </row>
    <row r="112" spans="1:31" x14ac:dyDescent="0.25">
      <c r="A112" s="80">
        <v>112</v>
      </c>
      <c r="B112" s="80">
        <v>2215</v>
      </c>
      <c r="C112" s="82">
        <v>44206</v>
      </c>
      <c r="D112" s="82" t="s">
        <v>398</v>
      </c>
      <c r="E112" s="82" t="s">
        <v>329</v>
      </c>
      <c r="G112" s="80">
        <v>1</v>
      </c>
      <c r="H112" s="80" t="s">
        <v>151</v>
      </c>
      <c r="I112" s="80">
        <v>1</v>
      </c>
      <c r="J112" s="80">
        <v>860</v>
      </c>
      <c r="K112" s="80">
        <v>792</v>
      </c>
      <c r="L112" s="80">
        <v>860</v>
      </c>
      <c r="M112" s="73">
        <v>44206</v>
      </c>
      <c r="N112" s="80" t="b">
        <v>1</v>
      </c>
      <c r="O112" s="80">
        <v>305200768</v>
      </c>
      <c r="P112" s="80">
        <v>1</v>
      </c>
      <c r="Q112" s="80">
        <v>1</v>
      </c>
      <c r="R112" s="80" t="s">
        <v>3642</v>
      </c>
      <c r="S112" s="80">
        <v>727</v>
      </c>
      <c r="T112" s="80">
        <v>7272</v>
      </c>
      <c r="U112" s="85" t="s">
        <v>332</v>
      </c>
      <c r="X112" s="80" t="s">
        <v>71</v>
      </c>
      <c r="Y112" s="80">
        <v>0</v>
      </c>
      <c r="AA112">
        <f t="shared" si="5"/>
        <v>2215</v>
      </c>
      <c r="AB112" t="str">
        <f t="shared" si="6"/>
        <v>ABDULLAYEVA NILUFAR</v>
      </c>
      <c r="AC112" t="str">
        <f t="shared" si="7"/>
        <v>AA6669540</v>
      </c>
      <c r="AD112">
        <f t="shared" si="8"/>
        <v>1</v>
      </c>
      <c r="AE112">
        <f t="shared" si="9"/>
        <v>1</v>
      </c>
    </row>
    <row r="113" spans="1:31" x14ac:dyDescent="0.25">
      <c r="A113" s="80">
        <v>113</v>
      </c>
      <c r="B113" s="80">
        <v>2211</v>
      </c>
      <c r="C113" s="82">
        <v>44206</v>
      </c>
      <c r="D113" s="82" t="s">
        <v>3699</v>
      </c>
      <c r="E113" s="82" t="s">
        <v>552</v>
      </c>
      <c r="G113" s="80">
        <v>1</v>
      </c>
      <c r="H113" s="80" t="s">
        <v>151</v>
      </c>
      <c r="I113" s="80">
        <v>3</v>
      </c>
      <c r="J113" s="80">
        <v>860</v>
      </c>
      <c r="K113" s="80">
        <v>792</v>
      </c>
      <c r="L113" s="80">
        <v>860</v>
      </c>
      <c r="M113" s="73">
        <v>44206</v>
      </c>
      <c r="N113" s="80" t="b">
        <v>1</v>
      </c>
      <c r="O113" s="80">
        <v>305200768</v>
      </c>
      <c r="P113" s="80">
        <v>1</v>
      </c>
      <c r="Q113" s="80">
        <v>1</v>
      </c>
      <c r="R113" s="80" t="s">
        <v>3642</v>
      </c>
      <c r="S113" s="80">
        <v>727</v>
      </c>
      <c r="T113" s="80">
        <v>7272</v>
      </c>
      <c r="U113" s="85" t="s">
        <v>2428</v>
      </c>
      <c r="X113" s="80" t="s">
        <v>116</v>
      </c>
      <c r="Y113" s="80">
        <v>0</v>
      </c>
      <c r="AA113">
        <f t="shared" si="5"/>
        <v>2211</v>
      </c>
      <c r="AB113" t="str">
        <f t="shared" si="6"/>
        <v>BO‘STANOVA GULASAL</v>
      </c>
      <c r="AC113" t="str">
        <f t="shared" si="7"/>
        <v>AB3905432</v>
      </c>
      <c r="AD113">
        <f t="shared" si="8"/>
        <v>1</v>
      </c>
      <c r="AE113">
        <f t="shared" si="9"/>
        <v>3</v>
      </c>
    </row>
    <row r="114" spans="1:31" x14ac:dyDescent="0.25">
      <c r="A114" s="80">
        <v>114</v>
      </c>
      <c r="B114" s="80">
        <v>2213</v>
      </c>
      <c r="C114" s="82">
        <v>44206</v>
      </c>
      <c r="D114" s="82" t="s">
        <v>3381</v>
      </c>
      <c r="E114" s="82" t="s">
        <v>673</v>
      </c>
      <c r="G114" s="80">
        <v>1</v>
      </c>
      <c r="H114" s="80" t="s">
        <v>151</v>
      </c>
      <c r="I114" s="80">
        <v>8</v>
      </c>
      <c r="J114" s="80">
        <v>860</v>
      </c>
      <c r="K114" s="80">
        <v>792</v>
      </c>
      <c r="L114" s="80">
        <v>860</v>
      </c>
      <c r="M114" s="73">
        <v>44206</v>
      </c>
      <c r="N114" s="80" t="b">
        <v>1</v>
      </c>
      <c r="O114" s="80">
        <v>305200768</v>
      </c>
      <c r="P114" s="80">
        <v>1</v>
      </c>
      <c r="Q114" s="80">
        <v>1</v>
      </c>
      <c r="R114" s="80" t="s">
        <v>3642</v>
      </c>
      <c r="S114" s="80">
        <v>727</v>
      </c>
      <c r="T114" s="80">
        <v>7278</v>
      </c>
      <c r="U114" s="85" t="s">
        <v>2426</v>
      </c>
      <c r="X114" s="80" t="s">
        <v>116</v>
      </c>
      <c r="Y114" s="80">
        <v>0</v>
      </c>
      <c r="AA114">
        <f t="shared" si="5"/>
        <v>2213</v>
      </c>
      <c r="AB114" t="str">
        <f t="shared" si="6"/>
        <v>ESANOVA MALIKA</v>
      </c>
      <c r="AC114" t="str">
        <f t="shared" si="7"/>
        <v>AB5986679</v>
      </c>
      <c r="AD114">
        <f t="shared" si="8"/>
        <v>1</v>
      </c>
      <c r="AE114">
        <f t="shared" si="9"/>
        <v>8</v>
      </c>
    </row>
    <row r="115" spans="1:31" x14ac:dyDescent="0.25">
      <c r="A115" s="80">
        <v>115</v>
      </c>
      <c r="B115" s="80">
        <v>2186</v>
      </c>
      <c r="C115" s="82">
        <v>44206</v>
      </c>
      <c r="D115" s="82" t="s">
        <v>3674</v>
      </c>
      <c r="E115" s="82" t="s">
        <v>2346</v>
      </c>
      <c r="G115" s="80">
        <v>1</v>
      </c>
      <c r="H115" s="80" t="s">
        <v>151</v>
      </c>
      <c r="I115" s="80">
        <v>2</v>
      </c>
      <c r="J115" s="80">
        <v>860</v>
      </c>
      <c r="K115" s="80">
        <v>792</v>
      </c>
      <c r="L115" s="80">
        <v>860</v>
      </c>
      <c r="M115" s="73">
        <v>44206</v>
      </c>
      <c r="N115" s="80" t="b">
        <v>1</v>
      </c>
      <c r="O115" s="80">
        <v>305200768</v>
      </c>
      <c r="P115" s="80">
        <v>1</v>
      </c>
      <c r="Q115" s="80">
        <v>1</v>
      </c>
      <c r="R115" s="80" t="s">
        <v>3642</v>
      </c>
      <c r="S115" s="80">
        <v>727</v>
      </c>
      <c r="T115" s="80">
        <v>7278</v>
      </c>
      <c r="U115" s="85" t="s">
        <v>2344</v>
      </c>
      <c r="X115" s="80" t="s">
        <v>71</v>
      </c>
      <c r="Y115" s="80">
        <v>0</v>
      </c>
      <c r="AA115">
        <f t="shared" si="5"/>
        <v>2186</v>
      </c>
      <c r="AB115" t="str">
        <f t="shared" si="6"/>
        <v>NISHANBAYEVA TURSINAY</v>
      </c>
      <c r="AC115" t="str">
        <f t="shared" si="7"/>
        <v>AA1621690</v>
      </c>
      <c r="AD115">
        <f t="shared" si="8"/>
        <v>1</v>
      </c>
      <c r="AE115">
        <f t="shared" si="9"/>
        <v>2</v>
      </c>
    </row>
    <row r="116" spans="1:31" x14ac:dyDescent="0.25">
      <c r="A116" s="80">
        <v>116</v>
      </c>
      <c r="B116" s="80">
        <v>2219</v>
      </c>
      <c r="C116" s="82">
        <v>44206</v>
      </c>
      <c r="D116" s="82" t="s">
        <v>351</v>
      </c>
      <c r="E116" s="82" t="s">
        <v>242</v>
      </c>
      <c r="G116" s="80">
        <v>1</v>
      </c>
      <c r="H116" s="80" t="s">
        <v>151</v>
      </c>
      <c r="I116" s="80">
        <v>8</v>
      </c>
      <c r="J116" s="80">
        <v>860</v>
      </c>
      <c r="K116" s="80">
        <v>792</v>
      </c>
      <c r="L116" s="80">
        <v>860</v>
      </c>
      <c r="M116" s="73">
        <v>44206</v>
      </c>
      <c r="N116" s="80" t="b">
        <v>1</v>
      </c>
      <c r="O116" s="80">
        <v>305200768</v>
      </c>
      <c r="P116" s="80">
        <v>0.99</v>
      </c>
      <c r="Q116" s="80">
        <v>1</v>
      </c>
      <c r="R116" s="80" t="s">
        <v>3642</v>
      </c>
      <c r="S116" s="80">
        <v>727</v>
      </c>
      <c r="T116" s="80">
        <v>7272</v>
      </c>
      <c r="U116" s="85" t="s">
        <v>352</v>
      </c>
      <c r="X116" s="80" t="s">
        <v>71</v>
      </c>
      <c r="Y116" s="80">
        <v>0</v>
      </c>
      <c r="AA116">
        <f t="shared" si="5"/>
        <v>2219</v>
      </c>
      <c r="AB116" t="str">
        <f t="shared" si="6"/>
        <v>AZIZOVA MADINA</v>
      </c>
      <c r="AC116" t="str">
        <f t="shared" si="7"/>
        <v>AA7341103</v>
      </c>
      <c r="AD116">
        <f t="shared" si="8"/>
        <v>0.99</v>
      </c>
      <c r="AE116">
        <f t="shared" si="9"/>
        <v>8</v>
      </c>
    </row>
    <row r="117" spans="1:31" x14ac:dyDescent="0.25">
      <c r="A117" s="80">
        <v>117</v>
      </c>
      <c r="B117" s="80">
        <v>172</v>
      </c>
      <c r="C117" s="82">
        <v>44206</v>
      </c>
      <c r="D117" s="82" t="s">
        <v>3702</v>
      </c>
      <c r="E117" s="82" t="s">
        <v>3606</v>
      </c>
      <c r="G117" s="80">
        <v>1</v>
      </c>
      <c r="H117" s="80" t="s">
        <v>151</v>
      </c>
      <c r="I117" s="80">
        <v>20</v>
      </c>
      <c r="J117" s="80">
        <v>860</v>
      </c>
      <c r="K117" s="80">
        <v>792</v>
      </c>
      <c r="L117" s="80">
        <v>860</v>
      </c>
      <c r="M117" s="73">
        <v>44206</v>
      </c>
      <c r="N117" s="80" t="b">
        <v>1</v>
      </c>
      <c r="O117" s="80">
        <v>305200768</v>
      </c>
      <c r="P117" s="80">
        <v>5.8</v>
      </c>
      <c r="Q117" s="80">
        <v>1</v>
      </c>
      <c r="R117" s="80" t="s">
        <v>3642</v>
      </c>
      <c r="S117" s="80">
        <v>727</v>
      </c>
      <c r="T117" s="80">
        <v>7276</v>
      </c>
      <c r="U117" s="85" t="s">
        <v>3607</v>
      </c>
      <c r="X117" s="80" t="s">
        <v>116</v>
      </c>
      <c r="Y117" s="80">
        <v>0</v>
      </c>
      <c r="AA117">
        <f t="shared" si="5"/>
        <v>172</v>
      </c>
      <c r="AB117" t="str">
        <f t="shared" si="6"/>
        <v>ATAJONOVA ROZA</v>
      </c>
      <c r="AC117" t="str">
        <f t="shared" si="7"/>
        <v>AB6371991</v>
      </c>
      <c r="AD117">
        <f t="shared" si="8"/>
        <v>5.8</v>
      </c>
      <c r="AE117">
        <f t="shared" si="9"/>
        <v>20</v>
      </c>
    </row>
    <row r="118" spans="1:31" x14ac:dyDescent="0.25">
      <c r="A118" s="80">
        <v>118</v>
      </c>
      <c r="B118" s="80">
        <v>173</v>
      </c>
      <c r="C118" s="82">
        <v>44206</v>
      </c>
      <c r="D118" s="82" t="s">
        <v>3702</v>
      </c>
      <c r="E118" s="82" t="s">
        <v>3606</v>
      </c>
      <c r="G118" s="80">
        <v>1</v>
      </c>
      <c r="H118" s="80" t="s">
        <v>151</v>
      </c>
      <c r="I118" s="80">
        <v>13</v>
      </c>
      <c r="J118" s="80">
        <v>860</v>
      </c>
      <c r="K118" s="80">
        <v>792</v>
      </c>
      <c r="L118" s="80">
        <v>860</v>
      </c>
      <c r="M118" s="73">
        <v>44206</v>
      </c>
      <c r="N118" s="80" t="b">
        <v>1</v>
      </c>
      <c r="O118" s="80">
        <v>305200768</v>
      </c>
      <c r="P118" s="80">
        <v>12.5</v>
      </c>
      <c r="Q118" s="80">
        <v>1</v>
      </c>
      <c r="R118" s="80" t="s">
        <v>3642</v>
      </c>
      <c r="S118" s="80">
        <v>727</v>
      </c>
      <c r="T118" s="80">
        <v>7271</v>
      </c>
      <c r="U118" s="85" t="s">
        <v>3607</v>
      </c>
      <c r="X118" s="80" t="s">
        <v>116</v>
      </c>
      <c r="Y118" s="80">
        <v>0</v>
      </c>
      <c r="AA118">
        <f t="shared" si="5"/>
        <v>173</v>
      </c>
      <c r="AB118" t="str">
        <f t="shared" si="6"/>
        <v>ATAJONOVA ROZA</v>
      </c>
      <c r="AC118" t="str">
        <f t="shared" si="7"/>
        <v>AB6371991</v>
      </c>
      <c r="AD118">
        <f t="shared" si="8"/>
        <v>12.5</v>
      </c>
      <c r="AE118">
        <f t="shared" si="9"/>
        <v>13</v>
      </c>
    </row>
    <row r="119" spans="1:31" x14ac:dyDescent="0.25">
      <c r="A119" s="80">
        <v>119</v>
      </c>
      <c r="B119" s="80">
        <v>174</v>
      </c>
      <c r="C119" s="82">
        <v>44206</v>
      </c>
      <c r="D119" s="82" t="s">
        <v>3707</v>
      </c>
      <c r="E119" s="82" t="s">
        <v>1725</v>
      </c>
      <c r="G119" s="80">
        <v>1</v>
      </c>
      <c r="H119" s="80" t="s">
        <v>151</v>
      </c>
      <c r="I119" s="80">
        <v>16</v>
      </c>
      <c r="J119" s="80">
        <v>860</v>
      </c>
      <c r="K119" s="80">
        <v>792</v>
      </c>
      <c r="L119" s="80">
        <v>860</v>
      </c>
      <c r="M119" s="73">
        <v>44206</v>
      </c>
      <c r="N119" s="80" t="b">
        <v>1</v>
      </c>
      <c r="O119" s="80">
        <v>305200768</v>
      </c>
      <c r="P119" s="80">
        <v>8.6999999999999993</v>
      </c>
      <c r="Q119" s="80">
        <v>1</v>
      </c>
      <c r="R119" s="80" t="s">
        <v>3642</v>
      </c>
      <c r="S119" s="80">
        <v>727</v>
      </c>
      <c r="T119" s="80">
        <v>7273</v>
      </c>
      <c r="U119" s="85" t="s">
        <v>1724</v>
      </c>
      <c r="X119" s="80" t="s">
        <v>116</v>
      </c>
      <c r="Y119" s="80">
        <v>0</v>
      </c>
      <c r="AA119">
        <f t="shared" si="5"/>
        <v>174</v>
      </c>
      <c r="AB119" t="str">
        <f t="shared" si="6"/>
        <v>BERDIMURODOVA JUMAGUL</v>
      </c>
      <c r="AC119" t="str">
        <f t="shared" si="7"/>
        <v>AB9391034</v>
      </c>
      <c r="AD119">
        <f t="shared" si="8"/>
        <v>8.6999999999999993</v>
      </c>
      <c r="AE119">
        <f t="shared" si="9"/>
        <v>16</v>
      </c>
    </row>
    <row r="120" spans="1:31" x14ac:dyDescent="0.25">
      <c r="A120" s="80">
        <v>120</v>
      </c>
      <c r="B120" s="80">
        <v>171</v>
      </c>
      <c r="C120" s="82">
        <v>44206</v>
      </c>
      <c r="D120" s="82" t="s">
        <v>3686</v>
      </c>
      <c r="E120" s="82" t="s">
        <v>3653</v>
      </c>
      <c r="G120" s="80">
        <v>1</v>
      </c>
      <c r="H120" s="80" t="s">
        <v>151</v>
      </c>
      <c r="I120" s="80">
        <v>19</v>
      </c>
      <c r="J120" s="80">
        <v>860</v>
      </c>
      <c r="K120" s="80">
        <v>792</v>
      </c>
      <c r="L120" s="80">
        <v>860</v>
      </c>
      <c r="M120" s="73">
        <v>44206</v>
      </c>
      <c r="N120" s="80" t="b">
        <v>1</v>
      </c>
      <c r="O120" s="80">
        <v>305200768</v>
      </c>
      <c r="P120" s="80">
        <v>5.0999999999999996</v>
      </c>
      <c r="Q120" s="80">
        <v>1</v>
      </c>
      <c r="R120" s="80" t="s">
        <v>3642</v>
      </c>
      <c r="S120" s="80">
        <v>727</v>
      </c>
      <c r="T120" s="80">
        <v>7274</v>
      </c>
      <c r="U120" s="85" t="s">
        <v>1315</v>
      </c>
      <c r="X120" s="80" t="s">
        <v>71</v>
      </c>
      <c r="Y120" s="80">
        <v>0</v>
      </c>
      <c r="AA120">
        <f t="shared" si="5"/>
        <v>171</v>
      </c>
      <c r="AB120" t="str">
        <f t="shared" si="6"/>
        <v>TO‘YCHIYEV ABSALOM</v>
      </c>
      <c r="AC120" t="str">
        <f t="shared" si="7"/>
        <v>AA5062462</v>
      </c>
      <c r="AD120">
        <f t="shared" si="8"/>
        <v>5.0999999999999996</v>
      </c>
      <c r="AE120">
        <f t="shared" si="9"/>
        <v>19</v>
      </c>
    </row>
    <row r="121" spans="1:31" x14ac:dyDescent="0.25">
      <c r="A121" s="80">
        <v>121</v>
      </c>
      <c r="B121" s="80">
        <v>170</v>
      </c>
      <c r="C121" s="82">
        <v>44206</v>
      </c>
      <c r="D121" s="82" t="s">
        <v>3677</v>
      </c>
      <c r="E121" s="82" t="s">
        <v>3649</v>
      </c>
      <c r="G121" s="80">
        <v>1</v>
      </c>
      <c r="H121" s="80" t="s">
        <v>151</v>
      </c>
      <c r="I121" s="80">
        <v>12</v>
      </c>
      <c r="J121" s="80">
        <v>860</v>
      </c>
      <c r="K121" s="80">
        <v>792</v>
      </c>
      <c r="L121" s="80">
        <v>860</v>
      </c>
      <c r="M121" s="73">
        <v>44206</v>
      </c>
      <c r="N121" s="80" t="b">
        <v>1</v>
      </c>
      <c r="O121" s="80">
        <v>305200768</v>
      </c>
      <c r="P121" s="80">
        <v>5.2</v>
      </c>
      <c r="Q121" s="80">
        <v>1</v>
      </c>
      <c r="R121" s="80" t="s">
        <v>3642</v>
      </c>
      <c r="S121" s="80">
        <v>727</v>
      </c>
      <c r="T121" s="80">
        <v>7271</v>
      </c>
      <c r="U121" s="85" t="s">
        <v>417</v>
      </c>
      <c r="X121" s="80" t="s">
        <v>71</v>
      </c>
      <c r="Y121" s="80">
        <v>0</v>
      </c>
      <c r="AA121">
        <f t="shared" si="5"/>
        <v>170</v>
      </c>
      <c r="AB121" t="str">
        <f t="shared" si="6"/>
        <v>XUDAYKULOVA DILORAM</v>
      </c>
      <c r="AC121" t="str">
        <f t="shared" si="7"/>
        <v>AA2387406</v>
      </c>
      <c r="AD121">
        <f t="shared" si="8"/>
        <v>5.2</v>
      </c>
      <c r="AE121">
        <f t="shared" si="9"/>
        <v>12</v>
      </c>
    </row>
    <row r="122" spans="1:31" x14ac:dyDescent="0.25">
      <c r="A122" s="80">
        <v>122</v>
      </c>
      <c r="B122" s="80">
        <v>164</v>
      </c>
      <c r="C122" s="82">
        <v>44206</v>
      </c>
      <c r="D122" s="82" t="s">
        <v>3683</v>
      </c>
      <c r="E122" s="82" t="s">
        <v>127</v>
      </c>
      <c r="G122" s="80">
        <v>1</v>
      </c>
      <c r="H122" s="80" t="s">
        <v>151</v>
      </c>
      <c r="I122" s="80">
        <v>14</v>
      </c>
      <c r="J122" s="80">
        <v>860</v>
      </c>
      <c r="K122" s="80">
        <v>792</v>
      </c>
      <c r="L122" s="80">
        <v>860</v>
      </c>
      <c r="M122" s="73">
        <v>44206</v>
      </c>
      <c r="N122" s="80" t="b">
        <v>1</v>
      </c>
      <c r="O122" s="80">
        <v>305200768</v>
      </c>
      <c r="P122" s="80">
        <v>5.79</v>
      </c>
      <c r="Q122" s="80">
        <v>1</v>
      </c>
      <c r="R122" s="80" t="s">
        <v>3642</v>
      </c>
      <c r="S122" s="80">
        <v>727</v>
      </c>
      <c r="T122" s="80">
        <v>7276</v>
      </c>
      <c r="U122" s="85" t="s">
        <v>128</v>
      </c>
      <c r="X122" s="80" t="s">
        <v>71</v>
      </c>
      <c r="Y122" s="80">
        <v>0</v>
      </c>
      <c r="AA122">
        <f t="shared" si="5"/>
        <v>164</v>
      </c>
      <c r="AB122" t="str">
        <f t="shared" si="6"/>
        <v>TASHKENBAYEVA SHIRIN</v>
      </c>
      <c r="AC122" t="str">
        <f t="shared" si="7"/>
        <v>AA4025654</v>
      </c>
      <c r="AD122">
        <f t="shared" si="8"/>
        <v>5.79</v>
      </c>
      <c r="AE122">
        <f t="shared" si="9"/>
        <v>14</v>
      </c>
    </row>
    <row r="123" spans="1:31" x14ac:dyDescent="0.25">
      <c r="A123" s="80">
        <v>123</v>
      </c>
      <c r="B123" s="80">
        <v>163</v>
      </c>
      <c r="C123" s="82">
        <v>44206</v>
      </c>
      <c r="D123" s="82" t="s">
        <v>1550</v>
      </c>
      <c r="E123" s="82" t="s">
        <v>496</v>
      </c>
      <c r="G123" s="80">
        <v>1</v>
      </c>
      <c r="H123" s="80" t="s">
        <v>151</v>
      </c>
      <c r="I123" s="80">
        <v>13</v>
      </c>
      <c r="J123" s="80">
        <v>860</v>
      </c>
      <c r="K123" s="80">
        <v>792</v>
      </c>
      <c r="L123" s="80">
        <v>860</v>
      </c>
      <c r="M123" s="73">
        <v>44206</v>
      </c>
      <c r="N123" s="80" t="b">
        <v>1</v>
      </c>
      <c r="O123" s="80">
        <v>305200768</v>
      </c>
      <c r="P123" s="80">
        <v>14.79</v>
      </c>
      <c r="Q123" s="80">
        <v>1</v>
      </c>
      <c r="R123" s="80" t="s">
        <v>3642</v>
      </c>
      <c r="S123" s="80">
        <v>727</v>
      </c>
      <c r="T123" s="80">
        <v>7273</v>
      </c>
      <c r="U123" s="85" t="s">
        <v>1549</v>
      </c>
      <c r="X123" s="80" t="s">
        <v>116</v>
      </c>
      <c r="Y123" s="80">
        <v>0</v>
      </c>
      <c r="AA123">
        <f t="shared" si="5"/>
        <v>163</v>
      </c>
      <c r="AB123" t="str">
        <f t="shared" si="6"/>
        <v>BOQIYEVA GULNOZA</v>
      </c>
      <c r="AC123" t="str">
        <f t="shared" si="7"/>
        <v>AB4217195</v>
      </c>
      <c r="AD123">
        <f t="shared" si="8"/>
        <v>14.79</v>
      </c>
      <c r="AE123">
        <f t="shared" si="9"/>
        <v>13</v>
      </c>
    </row>
    <row r="124" spans="1:31" x14ac:dyDescent="0.25">
      <c r="A124" s="80">
        <v>124</v>
      </c>
      <c r="B124" s="80">
        <v>165</v>
      </c>
      <c r="C124" s="82">
        <v>44206</v>
      </c>
      <c r="D124" s="82" t="s">
        <v>468</v>
      </c>
      <c r="E124" s="82" t="s">
        <v>469</v>
      </c>
      <c r="G124" s="80">
        <v>1</v>
      </c>
      <c r="H124" s="80" t="s">
        <v>151</v>
      </c>
      <c r="I124" s="80">
        <v>9</v>
      </c>
      <c r="J124" s="80">
        <v>860</v>
      </c>
      <c r="K124" s="80">
        <v>792</v>
      </c>
      <c r="L124" s="80">
        <v>860</v>
      </c>
      <c r="M124" s="73">
        <v>44206</v>
      </c>
      <c r="N124" s="80" t="b">
        <v>1</v>
      </c>
      <c r="O124" s="80">
        <v>305200768</v>
      </c>
      <c r="P124" s="80">
        <v>12.4</v>
      </c>
      <c r="Q124" s="80">
        <v>1</v>
      </c>
      <c r="R124" s="80" t="s">
        <v>3642</v>
      </c>
      <c r="S124" s="80">
        <v>727</v>
      </c>
      <c r="T124" s="80">
        <v>7277</v>
      </c>
      <c r="U124" s="85" t="s">
        <v>3611</v>
      </c>
      <c r="X124" s="80" t="s">
        <v>71</v>
      </c>
      <c r="Y124" s="80">
        <v>0</v>
      </c>
      <c r="AA124">
        <f t="shared" si="5"/>
        <v>165</v>
      </c>
      <c r="AB124" t="str">
        <f t="shared" si="6"/>
        <v>ESHQUVATOVA FARIDA</v>
      </c>
      <c r="AC124" t="str">
        <f t="shared" si="7"/>
        <v>AA1024291</v>
      </c>
      <c r="AD124">
        <f t="shared" si="8"/>
        <v>12.4</v>
      </c>
      <c r="AE124">
        <f t="shared" si="9"/>
        <v>9</v>
      </c>
    </row>
    <row r="125" spans="1:31" x14ac:dyDescent="0.25">
      <c r="A125" s="80">
        <v>125</v>
      </c>
      <c r="B125" s="80">
        <v>166</v>
      </c>
      <c r="C125" s="82">
        <v>44206</v>
      </c>
      <c r="D125" s="82" t="s">
        <v>1684</v>
      </c>
      <c r="E125" s="82" t="s">
        <v>788</v>
      </c>
      <c r="G125" s="80">
        <v>1</v>
      </c>
      <c r="H125" s="80" t="s">
        <v>151</v>
      </c>
      <c r="I125" s="80">
        <v>4</v>
      </c>
      <c r="J125" s="80">
        <v>860</v>
      </c>
      <c r="K125" s="80">
        <v>792</v>
      </c>
      <c r="L125" s="80">
        <v>860</v>
      </c>
      <c r="M125" s="73">
        <v>44206</v>
      </c>
      <c r="N125" s="80" t="b">
        <v>1</v>
      </c>
      <c r="O125" s="80">
        <v>305200768</v>
      </c>
      <c r="P125" s="80">
        <v>8.6</v>
      </c>
      <c r="Q125" s="80">
        <v>1</v>
      </c>
      <c r="R125" s="80" t="s">
        <v>3642</v>
      </c>
      <c r="S125" s="80">
        <v>727</v>
      </c>
      <c r="T125" s="80">
        <v>7273</v>
      </c>
      <c r="U125" s="85" t="s">
        <v>1683</v>
      </c>
      <c r="X125" s="80" t="s">
        <v>116</v>
      </c>
      <c r="Y125" s="80">
        <v>0</v>
      </c>
      <c r="AA125">
        <f t="shared" si="5"/>
        <v>166</v>
      </c>
      <c r="AB125" t="str">
        <f t="shared" si="6"/>
        <v>ASLIYEVA SHAXNOZA</v>
      </c>
      <c r="AC125" t="str">
        <f t="shared" si="7"/>
        <v>AB8200582</v>
      </c>
      <c r="AD125">
        <f t="shared" si="8"/>
        <v>8.6</v>
      </c>
      <c r="AE125">
        <f t="shared" si="9"/>
        <v>4</v>
      </c>
    </row>
    <row r="126" spans="1:31" x14ac:dyDescent="0.25">
      <c r="A126" s="80">
        <v>126</v>
      </c>
      <c r="B126" s="80">
        <v>167</v>
      </c>
      <c r="C126" s="82">
        <v>44206</v>
      </c>
      <c r="D126" s="82" t="s">
        <v>3703</v>
      </c>
      <c r="E126" s="82" t="s">
        <v>157</v>
      </c>
      <c r="G126" s="80">
        <v>1</v>
      </c>
      <c r="H126" s="80" t="s">
        <v>151</v>
      </c>
      <c r="I126" s="80">
        <v>5</v>
      </c>
      <c r="J126" s="80">
        <v>860</v>
      </c>
      <c r="K126" s="80">
        <v>792</v>
      </c>
      <c r="L126" s="80">
        <v>860</v>
      </c>
      <c r="M126" s="73">
        <v>44206</v>
      </c>
      <c r="N126" s="80" t="b">
        <v>1</v>
      </c>
      <c r="O126" s="80">
        <v>305200768</v>
      </c>
      <c r="P126" s="80">
        <v>6.5</v>
      </c>
      <c r="Q126" s="80">
        <v>1</v>
      </c>
      <c r="R126" s="80" t="s">
        <v>3642</v>
      </c>
      <c r="S126" s="80">
        <v>727</v>
      </c>
      <c r="T126" s="80">
        <v>7276</v>
      </c>
      <c r="U126" s="85" t="s">
        <v>3599</v>
      </c>
      <c r="X126" s="80" t="s">
        <v>116</v>
      </c>
      <c r="Y126" s="80">
        <v>0</v>
      </c>
      <c r="AA126">
        <f t="shared" si="5"/>
        <v>167</v>
      </c>
      <c r="AB126" t="str">
        <f t="shared" si="6"/>
        <v>XAMRAYEVA AZIZA</v>
      </c>
      <c r="AC126" t="str">
        <f t="shared" si="7"/>
        <v>AB7687041</v>
      </c>
      <c r="AD126">
        <f t="shared" si="8"/>
        <v>6.5</v>
      </c>
      <c r="AE126">
        <f t="shared" si="9"/>
        <v>5</v>
      </c>
    </row>
    <row r="127" spans="1:31" x14ac:dyDescent="0.25">
      <c r="A127" s="80">
        <v>127</v>
      </c>
      <c r="B127" s="80">
        <v>168</v>
      </c>
      <c r="C127" s="82">
        <v>44206</v>
      </c>
      <c r="D127" s="82" t="s">
        <v>3514</v>
      </c>
      <c r="E127" s="82" t="s">
        <v>588</v>
      </c>
      <c r="G127" s="80">
        <v>1</v>
      </c>
      <c r="H127" s="80" t="s">
        <v>151</v>
      </c>
      <c r="I127" s="80">
        <v>29</v>
      </c>
      <c r="J127" s="80">
        <v>860</v>
      </c>
      <c r="K127" s="80">
        <v>792</v>
      </c>
      <c r="L127" s="80">
        <v>860</v>
      </c>
      <c r="M127" s="73">
        <v>44206</v>
      </c>
      <c r="N127" s="80" t="b">
        <v>1</v>
      </c>
      <c r="O127" s="80">
        <v>305200768</v>
      </c>
      <c r="P127" s="80">
        <v>5.5</v>
      </c>
      <c r="Q127" s="80">
        <v>1</v>
      </c>
      <c r="R127" s="80" t="s">
        <v>3642</v>
      </c>
      <c r="S127" s="80">
        <v>727</v>
      </c>
      <c r="T127" s="80">
        <v>7275</v>
      </c>
      <c r="U127" s="85" t="s">
        <v>1784</v>
      </c>
      <c r="X127" s="80" t="s">
        <v>116</v>
      </c>
      <c r="Y127" s="80">
        <v>0</v>
      </c>
      <c r="AA127">
        <f t="shared" si="5"/>
        <v>168</v>
      </c>
      <c r="AB127" t="str">
        <f t="shared" si="6"/>
        <v>XASANOV AZIZBEK</v>
      </c>
      <c r="AC127" t="str">
        <f t="shared" si="7"/>
        <v>AB7942053</v>
      </c>
      <c r="AD127">
        <f t="shared" si="8"/>
        <v>5.5</v>
      </c>
      <c r="AE127">
        <f t="shared" si="9"/>
        <v>29</v>
      </c>
    </row>
    <row r="128" spans="1:31" x14ac:dyDescent="0.25">
      <c r="A128" s="80">
        <v>128</v>
      </c>
      <c r="B128" s="80">
        <v>169</v>
      </c>
      <c r="C128" s="82">
        <v>44206</v>
      </c>
      <c r="D128" s="82" t="s">
        <v>3696</v>
      </c>
      <c r="E128" s="82" t="s">
        <v>1678</v>
      </c>
      <c r="G128" s="80">
        <v>1</v>
      </c>
      <c r="H128" s="80" t="s">
        <v>151</v>
      </c>
      <c r="I128" s="80">
        <v>36</v>
      </c>
      <c r="J128" s="80">
        <v>860</v>
      </c>
      <c r="K128" s="80">
        <v>792</v>
      </c>
      <c r="L128" s="80">
        <v>860</v>
      </c>
      <c r="M128" s="73">
        <v>44206</v>
      </c>
      <c r="N128" s="80" t="b">
        <v>1</v>
      </c>
      <c r="O128" s="80">
        <v>305200768</v>
      </c>
      <c r="P128" s="80">
        <v>4.2</v>
      </c>
      <c r="Q128" s="80">
        <v>1</v>
      </c>
      <c r="R128" s="80" t="s">
        <v>3642</v>
      </c>
      <c r="S128" s="80">
        <v>727</v>
      </c>
      <c r="T128" s="80">
        <v>7271</v>
      </c>
      <c r="U128" s="85" t="s">
        <v>1981</v>
      </c>
      <c r="X128" s="80" t="s">
        <v>116</v>
      </c>
      <c r="Y128" s="80">
        <v>0</v>
      </c>
      <c r="AA128">
        <f t="shared" si="5"/>
        <v>169</v>
      </c>
      <c r="AB128" t="str">
        <f t="shared" si="6"/>
        <v>URINBOYEVA LOLAXON</v>
      </c>
      <c r="AC128" t="str">
        <f t="shared" si="7"/>
        <v>AB0890719</v>
      </c>
      <c r="AD128">
        <f t="shared" si="8"/>
        <v>4.2</v>
      </c>
      <c r="AE128">
        <f t="shared" si="9"/>
        <v>36</v>
      </c>
    </row>
    <row r="129" spans="1:31" x14ac:dyDescent="0.25">
      <c r="A129" s="80">
        <v>129</v>
      </c>
      <c r="B129" s="80">
        <v>162</v>
      </c>
      <c r="C129" s="82">
        <v>44206</v>
      </c>
      <c r="D129" s="82" t="s">
        <v>2978</v>
      </c>
      <c r="E129" s="82" t="s">
        <v>2709</v>
      </c>
      <c r="G129" s="80">
        <v>1</v>
      </c>
      <c r="H129" s="80" t="s">
        <v>151</v>
      </c>
      <c r="I129" s="80">
        <v>9</v>
      </c>
      <c r="J129" s="80">
        <v>860</v>
      </c>
      <c r="K129" s="80">
        <v>792</v>
      </c>
      <c r="L129" s="80">
        <v>860</v>
      </c>
      <c r="M129" s="73">
        <v>44206</v>
      </c>
      <c r="N129" s="80" t="b">
        <v>1</v>
      </c>
      <c r="O129" s="80">
        <v>305200768</v>
      </c>
      <c r="P129" s="80">
        <v>6.12</v>
      </c>
      <c r="Q129" s="80">
        <v>1</v>
      </c>
      <c r="R129" s="80" t="s">
        <v>3642</v>
      </c>
      <c r="S129" s="80">
        <v>727</v>
      </c>
      <c r="T129" s="80">
        <v>7273</v>
      </c>
      <c r="U129" s="85" t="s">
        <v>2979</v>
      </c>
      <c r="X129" s="80" t="s">
        <v>116</v>
      </c>
      <c r="Y129" s="80">
        <v>0</v>
      </c>
      <c r="AA129">
        <f t="shared" si="5"/>
        <v>162</v>
      </c>
      <c r="AB129" t="str">
        <f t="shared" si="6"/>
        <v>MATCHANOV ZAFAR</v>
      </c>
      <c r="AC129" t="str">
        <f t="shared" si="7"/>
        <v>AB9028421</v>
      </c>
      <c r="AD129">
        <f t="shared" si="8"/>
        <v>6.12</v>
      </c>
      <c r="AE129">
        <f t="shared" si="9"/>
        <v>9</v>
      </c>
    </row>
    <row r="130" spans="1:31" x14ac:dyDescent="0.25">
      <c r="A130" s="80">
        <v>130</v>
      </c>
      <c r="B130" s="80">
        <v>161</v>
      </c>
      <c r="C130" s="82">
        <v>44206</v>
      </c>
      <c r="D130" s="82" t="s">
        <v>3709</v>
      </c>
      <c r="E130" s="82" t="s">
        <v>219</v>
      </c>
      <c r="G130" s="80">
        <v>1</v>
      </c>
      <c r="H130" s="80" t="s">
        <v>151</v>
      </c>
      <c r="I130" s="80">
        <v>10</v>
      </c>
      <c r="J130" s="80">
        <v>860</v>
      </c>
      <c r="K130" s="80">
        <v>792</v>
      </c>
      <c r="L130" s="80">
        <v>860</v>
      </c>
      <c r="M130" s="73">
        <v>44206</v>
      </c>
      <c r="N130" s="80" t="b">
        <v>1</v>
      </c>
      <c r="O130" s="80">
        <v>305200768</v>
      </c>
      <c r="P130" s="80">
        <v>5.92</v>
      </c>
      <c r="Q130" s="80">
        <v>1</v>
      </c>
      <c r="R130" s="80" t="s">
        <v>3642</v>
      </c>
      <c r="S130" s="80">
        <v>727</v>
      </c>
      <c r="T130" s="80">
        <v>7277</v>
      </c>
      <c r="U130" s="85" t="s">
        <v>3615</v>
      </c>
      <c r="X130" s="80" t="s">
        <v>462</v>
      </c>
      <c r="Y130" s="80">
        <v>0</v>
      </c>
      <c r="AA130">
        <f t="shared" si="5"/>
        <v>161</v>
      </c>
      <c r="AB130" t="str">
        <f t="shared" si="6"/>
        <v>INAQOVA NARGIZA</v>
      </c>
      <c r="AC130" t="str">
        <f t="shared" si="7"/>
        <v>AC1716695</v>
      </c>
      <c r="AD130">
        <f t="shared" si="8"/>
        <v>5.92</v>
      </c>
      <c r="AE130">
        <f t="shared" si="9"/>
        <v>10</v>
      </c>
    </row>
    <row r="131" spans="1:31" x14ac:dyDescent="0.25">
      <c r="A131" s="80">
        <v>131</v>
      </c>
      <c r="B131" s="80">
        <v>175</v>
      </c>
      <c r="C131" s="82">
        <v>44206</v>
      </c>
      <c r="D131" s="82" t="s">
        <v>1599</v>
      </c>
      <c r="E131" s="82" t="s">
        <v>1600</v>
      </c>
      <c r="G131" s="80">
        <v>1</v>
      </c>
      <c r="H131" s="80" t="s">
        <v>151</v>
      </c>
      <c r="I131" s="80">
        <v>15</v>
      </c>
      <c r="J131" s="80">
        <v>860</v>
      </c>
      <c r="K131" s="80">
        <v>792</v>
      </c>
      <c r="L131" s="80">
        <v>860</v>
      </c>
      <c r="M131" s="73">
        <v>44206</v>
      </c>
      <c r="N131" s="80" t="b">
        <v>1</v>
      </c>
      <c r="O131" s="80">
        <v>305200768</v>
      </c>
      <c r="P131" s="80">
        <v>9.8699999999999992</v>
      </c>
      <c r="Q131" s="80">
        <v>1</v>
      </c>
      <c r="R131" s="80" t="s">
        <v>3642</v>
      </c>
      <c r="S131" s="80">
        <v>727</v>
      </c>
      <c r="T131" s="80">
        <v>7271</v>
      </c>
      <c r="U131" s="85" t="s">
        <v>1598</v>
      </c>
      <c r="X131" s="80" t="s">
        <v>116</v>
      </c>
      <c r="Y131" s="80">
        <v>0</v>
      </c>
      <c r="AA131">
        <f t="shared" ref="AA131:AA175" si="10">B131</f>
        <v>175</v>
      </c>
      <c r="AB131" t="str">
        <f t="shared" ref="AB131:AB175" si="11">D131&amp;" "&amp;E131</f>
        <v>BOYQOBILOVA LOBAR</v>
      </c>
      <c r="AC131" t="str">
        <f t="shared" ref="AC131:AC175" si="12">X131&amp;U131</f>
        <v>AB6414650</v>
      </c>
      <c r="AD131">
        <f t="shared" ref="AD131:AD175" si="13">P131</f>
        <v>9.8699999999999992</v>
      </c>
      <c r="AE131">
        <f t="shared" ref="AE131:AE175" si="14">I131</f>
        <v>15</v>
      </c>
    </row>
    <row r="132" spans="1:31" x14ac:dyDescent="0.25">
      <c r="A132" s="80">
        <v>132</v>
      </c>
      <c r="B132" s="80">
        <v>176</v>
      </c>
      <c r="C132" s="82">
        <v>44206</v>
      </c>
      <c r="D132" s="82" t="s">
        <v>1898</v>
      </c>
      <c r="E132" s="82" t="s">
        <v>1182</v>
      </c>
      <c r="G132" s="80">
        <v>1</v>
      </c>
      <c r="H132" s="80" t="s">
        <v>151</v>
      </c>
      <c r="I132" s="80">
        <v>17</v>
      </c>
      <c r="J132" s="80">
        <v>860</v>
      </c>
      <c r="K132" s="80">
        <v>792</v>
      </c>
      <c r="L132" s="80">
        <v>860</v>
      </c>
      <c r="M132" s="73">
        <v>44206</v>
      </c>
      <c r="N132" s="80" t="b">
        <v>1</v>
      </c>
      <c r="O132" s="80">
        <v>305200768</v>
      </c>
      <c r="P132" s="80">
        <v>9.8699999999999992</v>
      </c>
      <c r="Q132" s="80">
        <v>1</v>
      </c>
      <c r="R132" s="80" t="s">
        <v>3642</v>
      </c>
      <c r="S132" s="80">
        <v>727</v>
      </c>
      <c r="T132" s="80">
        <v>7274</v>
      </c>
      <c r="U132" s="85" t="s">
        <v>1180</v>
      </c>
      <c r="X132" s="80" t="s">
        <v>71</v>
      </c>
      <c r="Y132" s="80">
        <v>0</v>
      </c>
      <c r="AA132">
        <f t="shared" si="10"/>
        <v>176</v>
      </c>
      <c r="AB132" t="str">
        <f t="shared" si="11"/>
        <v>SOLIYEVA SHOXISTA</v>
      </c>
      <c r="AC132" t="str">
        <f t="shared" si="12"/>
        <v>AA0738433</v>
      </c>
      <c r="AD132">
        <f t="shared" si="13"/>
        <v>9.8699999999999992</v>
      </c>
      <c r="AE132">
        <f t="shared" si="14"/>
        <v>17</v>
      </c>
    </row>
    <row r="133" spans="1:31" x14ac:dyDescent="0.25">
      <c r="A133" s="80">
        <v>133</v>
      </c>
      <c r="B133" s="80">
        <v>177</v>
      </c>
      <c r="C133" s="82">
        <v>44206</v>
      </c>
      <c r="D133" s="82" t="s">
        <v>2034</v>
      </c>
      <c r="E133" s="82" t="s">
        <v>3646</v>
      </c>
      <c r="G133" s="80">
        <v>1</v>
      </c>
      <c r="H133" s="80" t="s">
        <v>151</v>
      </c>
      <c r="I133" s="80">
        <v>17</v>
      </c>
      <c r="J133" s="80">
        <v>860</v>
      </c>
      <c r="K133" s="80">
        <v>792</v>
      </c>
      <c r="L133" s="80">
        <v>860</v>
      </c>
      <c r="M133" s="73">
        <v>44206</v>
      </c>
      <c r="N133" s="80" t="b">
        <v>1</v>
      </c>
      <c r="O133" s="80">
        <v>305200768</v>
      </c>
      <c r="P133" s="80">
        <v>13.200000000000001</v>
      </c>
      <c r="Q133" s="80">
        <v>1</v>
      </c>
      <c r="R133" s="80" t="s">
        <v>3642</v>
      </c>
      <c r="S133" s="80">
        <v>727</v>
      </c>
      <c r="T133" s="80">
        <v>7276</v>
      </c>
      <c r="U133" s="85" t="s">
        <v>1115</v>
      </c>
      <c r="X133" s="80" t="s">
        <v>71</v>
      </c>
      <c r="Y133" s="80">
        <v>0</v>
      </c>
      <c r="AA133">
        <f t="shared" si="10"/>
        <v>177</v>
      </c>
      <c r="AB133" t="str">
        <f t="shared" si="11"/>
        <v>IKROMOV AKMALBEK</v>
      </c>
      <c r="AC133" t="str">
        <f t="shared" si="12"/>
        <v>AA1037119</v>
      </c>
      <c r="AD133">
        <f t="shared" si="13"/>
        <v>13.200000000000001</v>
      </c>
      <c r="AE133">
        <f t="shared" si="14"/>
        <v>17</v>
      </c>
    </row>
    <row r="134" spans="1:31" x14ac:dyDescent="0.25">
      <c r="A134" s="80">
        <v>134</v>
      </c>
      <c r="B134" s="80">
        <v>178</v>
      </c>
      <c r="C134" s="82">
        <v>44206</v>
      </c>
      <c r="D134" s="82" t="s">
        <v>3697</v>
      </c>
      <c r="E134" s="82" t="s">
        <v>238</v>
      </c>
      <c r="G134" s="80">
        <v>1</v>
      </c>
      <c r="H134" s="80" t="s">
        <v>151</v>
      </c>
      <c r="I134" s="80">
        <v>19</v>
      </c>
      <c r="J134" s="80">
        <v>860</v>
      </c>
      <c r="K134" s="80">
        <v>792</v>
      </c>
      <c r="L134" s="80">
        <v>860</v>
      </c>
      <c r="M134" s="73">
        <v>44206</v>
      </c>
      <c r="N134" s="80" t="b">
        <v>1</v>
      </c>
      <c r="O134" s="80">
        <v>305200768</v>
      </c>
      <c r="P134" s="80">
        <v>6.88</v>
      </c>
      <c r="Q134" s="80">
        <v>1</v>
      </c>
      <c r="R134" s="80" t="s">
        <v>3642</v>
      </c>
      <c r="S134" s="80">
        <v>727</v>
      </c>
      <c r="T134" s="80">
        <v>7276</v>
      </c>
      <c r="U134" s="85" t="s">
        <v>117</v>
      </c>
      <c r="X134" s="80" t="s">
        <v>116</v>
      </c>
      <c r="Y134" s="80">
        <v>0</v>
      </c>
      <c r="AA134">
        <f t="shared" si="10"/>
        <v>178</v>
      </c>
      <c r="AB134" t="str">
        <f t="shared" si="11"/>
        <v>MIRXONOVA XOLIDA</v>
      </c>
      <c r="AC134" t="str">
        <f t="shared" si="12"/>
        <v>AB2277490</v>
      </c>
      <c r="AD134">
        <f t="shared" si="13"/>
        <v>6.88</v>
      </c>
      <c r="AE134">
        <f t="shared" si="14"/>
        <v>19</v>
      </c>
    </row>
    <row r="135" spans="1:31" x14ac:dyDescent="0.25">
      <c r="A135" s="80">
        <v>135</v>
      </c>
      <c r="B135" s="80">
        <v>181</v>
      </c>
      <c r="C135" s="82">
        <v>44206</v>
      </c>
      <c r="D135" s="82" t="s">
        <v>398</v>
      </c>
      <c r="E135" s="82" t="s">
        <v>673</v>
      </c>
      <c r="G135" s="80">
        <v>1</v>
      </c>
      <c r="H135" s="80" t="s">
        <v>151</v>
      </c>
      <c r="I135" s="80">
        <v>11</v>
      </c>
      <c r="J135" s="80">
        <v>860</v>
      </c>
      <c r="K135" s="80">
        <v>792</v>
      </c>
      <c r="L135" s="80">
        <v>860</v>
      </c>
      <c r="M135" s="73">
        <v>44206</v>
      </c>
      <c r="N135" s="80" t="b">
        <v>1</v>
      </c>
      <c r="O135" s="80">
        <v>305200768</v>
      </c>
      <c r="P135" s="80">
        <v>8.5</v>
      </c>
      <c r="Q135" s="80">
        <v>1</v>
      </c>
      <c r="R135" s="80" t="s">
        <v>3642</v>
      </c>
      <c r="S135" s="80">
        <v>727</v>
      </c>
      <c r="T135" s="80">
        <v>7277</v>
      </c>
      <c r="U135" s="85" t="s">
        <v>3616</v>
      </c>
      <c r="X135" s="80" t="s">
        <v>71</v>
      </c>
      <c r="Y135" s="80">
        <v>0</v>
      </c>
      <c r="AA135">
        <f t="shared" si="10"/>
        <v>181</v>
      </c>
      <c r="AB135" t="str">
        <f t="shared" si="11"/>
        <v>ABDULLAYEVA MALIKA</v>
      </c>
      <c r="AC135" t="str">
        <f t="shared" si="12"/>
        <v>AA2443232</v>
      </c>
      <c r="AD135">
        <f t="shared" si="13"/>
        <v>8.5</v>
      </c>
      <c r="AE135">
        <f t="shared" si="14"/>
        <v>11</v>
      </c>
    </row>
    <row r="136" spans="1:31" x14ac:dyDescent="0.25">
      <c r="A136" s="80">
        <v>136</v>
      </c>
      <c r="B136" s="80">
        <v>183</v>
      </c>
      <c r="C136" s="82">
        <v>44206</v>
      </c>
      <c r="D136" s="82" t="s">
        <v>3666</v>
      </c>
      <c r="E136" s="82" t="s">
        <v>219</v>
      </c>
      <c r="G136" s="80">
        <v>1</v>
      </c>
      <c r="H136" s="80" t="s">
        <v>151</v>
      </c>
      <c r="I136" s="80">
        <v>18</v>
      </c>
      <c r="J136" s="80">
        <v>860</v>
      </c>
      <c r="K136" s="80">
        <v>792</v>
      </c>
      <c r="L136" s="80">
        <v>860</v>
      </c>
      <c r="M136" s="73">
        <v>44206</v>
      </c>
      <c r="N136" s="80" t="b">
        <v>1</v>
      </c>
      <c r="O136" s="80">
        <v>305200768</v>
      </c>
      <c r="P136" s="80">
        <v>12.419999999999998</v>
      </c>
      <c r="Q136" s="80">
        <v>1</v>
      </c>
      <c r="R136" s="80" t="s">
        <v>3642</v>
      </c>
      <c r="S136" s="80">
        <v>727</v>
      </c>
      <c r="T136" s="80">
        <v>7271</v>
      </c>
      <c r="U136" s="85" t="s">
        <v>1267</v>
      </c>
      <c r="X136" s="80" t="s">
        <v>71</v>
      </c>
      <c r="Y136" s="80">
        <v>0</v>
      </c>
      <c r="AA136">
        <f t="shared" si="10"/>
        <v>183</v>
      </c>
      <c r="AB136" t="str">
        <f t="shared" si="11"/>
        <v>KURBANALIYEVA NARGIZA</v>
      </c>
      <c r="AC136" t="str">
        <f t="shared" si="12"/>
        <v>AA0082069</v>
      </c>
      <c r="AD136">
        <f t="shared" si="13"/>
        <v>12.419999999999998</v>
      </c>
      <c r="AE136">
        <f t="shared" si="14"/>
        <v>18</v>
      </c>
    </row>
    <row r="137" spans="1:31" x14ac:dyDescent="0.25">
      <c r="A137" s="80">
        <v>137</v>
      </c>
      <c r="B137" s="80">
        <v>184</v>
      </c>
      <c r="C137" s="82">
        <v>44206</v>
      </c>
      <c r="D137" s="82" t="s">
        <v>3666</v>
      </c>
      <c r="E137" s="82" t="s">
        <v>219</v>
      </c>
      <c r="G137" s="80">
        <v>1</v>
      </c>
      <c r="H137" s="80" t="s">
        <v>151</v>
      </c>
      <c r="I137" s="80">
        <v>13</v>
      </c>
      <c r="J137" s="80">
        <v>860</v>
      </c>
      <c r="K137" s="80">
        <v>792</v>
      </c>
      <c r="L137" s="80">
        <v>860</v>
      </c>
      <c r="M137" s="73">
        <v>44206</v>
      </c>
      <c r="N137" s="80" t="b">
        <v>1</v>
      </c>
      <c r="O137" s="80">
        <v>305200768</v>
      </c>
      <c r="P137" s="80">
        <v>4.6000000000000005</v>
      </c>
      <c r="Q137" s="80">
        <v>1</v>
      </c>
      <c r="R137" s="80" t="s">
        <v>3642</v>
      </c>
      <c r="S137" s="80">
        <v>727</v>
      </c>
      <c r="T137" s="80">
        <v>7276</v>
      </c>
      <c r="U137" s="85" t="s">
        <v>1267</v>
      </c>
      <c r="X137" s="80" t="s">
        <v>71</v>
      </c>
      <c r="Y137" s="80">
        <v>0</v>
      </c>
      <c r="AA137">
        <f t="shared" si="10"/>
        <v>184</v>
      </c>
      <c r="AB137" t="str">
        <f t="shared" si="11"/>
        <v>KURBANALIYEVA NARGIZA</v>
      </c>
      <c r="AC137" t="str">
        <f t="shared" si="12"/>
        <v>AA0082069</v>
      </c>
      <c r="AD137">
        <f t="shared" si="13"/>
        <v>4.6000000000000005</v>
      </c>
      <c r="AE137">
        <f t="shared" si="14"/>
        <v>13</v>
      </c>
    </row>
    <row r="138" spans="1:31" x14ac:dyDescent="0.25">
      <c r="A138" s="80">
        <v>138</v>
      </c>
      <c r="B138" s="80">
        <v>160</v>
      </c>
      <c r="C138" s="82">
        <v>44206</v>
      </c>
      <c r="D138" s="82" t="s">
        <v>1520</v>
      </c>
      <c r="E138" s="82" t="s">
        <v>295</v>
      </c>
      <c r="G138" s="80">
        <v>1</v>
      </c>
      <c r="H138" s="80" t="s">
        <v>151</v>
      </c>
      <c r="I138" s="80">
        <v>4</v>
      </c>
      <c r="J138" s="80">
        <v>860</v>
      </c>
      <c r="K138" s="80">
        <v>792</v>
      </c>
      <c r="L138" s="80">
        <v>860</v>
      </c>
      <c r="M138" s="73">
        <v>44206</v>
      </c>
      <c r="N138" s="80" t="b">
        <v>1</v>
      </c>
      <c r="O138" s="80">
        <v>305200768</v>
      </c>
      <c r="P138" s="80">
        <v>2.8</v>
      </c>
      <c r="Q138" s="80">
        <v>1</v>
      </c>
      <c r="R138" s="80" t="s">
        <v>3642</v>
      </c>
      <c r="S138" s="80">
        <v>727</v>
      </c>
      <c r="T138" s="80">
        <v>7275</v>
      </c>
      <c r="U138" s="85" t="s">
        <v>936</v>
      </c>
      <c r="X138" s="80" t="s">
        <v>71</v>
      </c>
      <c r="Y138" s="80">
        <v>0</v>
      </c>
      <c r="AA138">
        <f t="shared" si="10"/>
        <v>160</v>
      </c>
      <c r="AB138" t="str">
        <f t="shared" si="11"/>
        <v>XAYDAROVA DILOROM</v>
      </c>
      <c r="AC138" t="str">
        <f t="shared" si="12"/>
        <v>AA7642441</v>
      </c>
      <c r="AD138">
        <f t="shared" si="13"/>
        <v>2.8</v>
      </c>
      <c r="AE138">
        <f t="shared" si="14"/>
        <v>4</v>
      </c>
    </row>
    <row r="139" spans="1:31" x14ac:dyDescent="0.25">
      <c r="A139" s="80">
        <v>139</v>
      </c>
      <c r="B139" s="80">
        <v>159</v>
      </c>
      <c r="C139" s="82">
        <v>44206</v>
      </c>
      <c r="D139" s="82" t="s">
        <v>1246</v>
      </c>
      <c r="E139" s="82" t="s">
        <v>3661</v>
      </c>
      <c r="G139" s="80">
        <v>1</v>
      </c>
      <c r="H139" s="80" t="s">
        <v>151</v>
      </c>
      <c r="I139" s="80">
        <v>27</v>
      </c>
      <c r="J139" s="80">
        <v>860</v>
      </c>
      <c r="K139" s="80">
        <v>792</v>
      </c>
      <c r="L139" s="80">
        <v>860</v>
      </c>
      <c r="M139" s="73">
        <v>44206</v>
      </c>
      <c r="N139" s="80" t="b">
        <v>1</v>
      </c>
      <c r="O139" s="80">
        <v>305200768</v>
      </c>
      <c r="P139" s="80">
        <v>11.790000000000001</v>
      </c>
      <c r="Q139" s="80">
        <v>1</v>
      </c>
      <c r="R139" s="80" t="s">
        <v>3642</v>
      </c>
      <c r="S139" s="80">
        <v>727</v>
      </c>
      <c r="T139" s="80">
        <v>7272</v>
      </c>
      <c r="U139" s="85" t="s">
        <v>2718</v>
      </c>
      <c r="X139" s="80" t="s">
        <v>116</v>
      </c>
      <c r="Y139" s="80">
        <v>0</v>
      </c>
      <c r="AA139">
        <f t="shared" si="10"/>
        <v>159</v>
      </c>
      <c r="AB139" t="str">
        <f t="shared" si="11"/>
        <v>YADGAROVA SABOXAT</v>
      </c>
      <c r="AC139" t="str">
        <f t="shared" si="12"/>
        <v>AB6290264</v>
      </c>
      <c r="AD139">
        <f t="shared" si="13"/>
        <v>11.790000000000001</v>
      </c>
      <c r="AE139">
        <f t="shared" si="14"/>
        <v>27</v>
      </c>
    </row>
    <row r="140" spans="1:31" x14ac:dyDescent="0.25">
      <c r="A140" s="80">
        <v>140</v>
      </c>
      <c r="B140" s="80">
        <v>180</v>
      </c>
      <c r="C140" s="82">
        <v>44206</v>
      </c>
      <c r="D140" s="82" t="s">
        <v>1520</v>
      </c>
      <c r="E140" s="82" t="s">
        <v>3557</v>
      </c>
      <c r="G140" s="80">
        <v>1</v>
      </c>
      <c r="H140" s="80" t="s">
        <v>151</v>
      </c>
      <c r="I140" s="80">
        <v>12</v>
      </c>
      <c r="J140" s="80">
        <v>860</v>
      </c>
      <c r="K140" s="80">
        <v>792</v>
      </c>
      <c r="L140" s="80">
        <v>860</v>
      </c>
      <c r="M140" s="73">
        <v>44206</v>
      </c>
      <c r="N140" s="80" t="b">
        <v>1</v>
      </c>
      <c r="O140" s="80">
        <v>305200768</v>
      </c>
      <c r="P140" s="80">
        <v>5.8</v>
      </c>
      <c r="Q140" s="80">
        <v>1</v>
      </c>
      <c r="R140" s="80" t="s">
        <v>3642</v>
      </c>
      <c r="S140" s="80">
        <v>727</v>
      </c>
      <c r="T140" s="80">
        <v>7272</v>
      </c>
      <c r="U140" s="85" t="s">
        <v>2141</v>
      </c>
      <c r="X140" s="80" t="s">
        <v>71</v>
      </c>
      <c r="Y140" s="80">
        <v>0</v>
      </c>
      <c r="AA140">
        <f t="shared" si="10"/>
        <v>180</v>
      </c>
      <c r="AB140" t="str">
        <f t="shared" si="11"/>
        <v>XAYDAROVA ZULXUMOR</v>
      </c>
      <c r="AC140" t="str">
        <f t="shared" si="12"/>
        <v>AA6376167</v>
      </c>
      <c r="AD140">
        <f t="shared" si="13"/>
        <v>5.8</v>
      </c>
      <c r="AE140">
        <f t="shared" si="14"/>
        <v>12</v>
      </c>
    </row>
    <row r="141" spans="1:31" x14ac:dyDescent="0.25">
      <c r="A141" s="80">
        <v>141</v>
      </c>
      <c r="B141" s="80">
        <v>179</v>
      </c>
      <c r="C141" s="82">
        <v>44206</v>
      </c>
      <c r="D141" s="82" t="s">
        <v>2295</v>
      </c>
      <c r="E141" s="82" t="s">
        <v>2296</v>
      </c>
      <c r="G141" s="80">
        <v>1</v>
      </c>
      <c r="H141" s="80" t="s">
        <v>151</v>
      </c>
      <c r="I141" s="80">
        <v>13</v>
      </c>
      <c r="J141" s="80">
        <v>860</v>
      </c>
      <c r="K141" s="80">
        <v>792</v>
      </c>
      <c r="L141" s="80">
        <v>860</v>
      </c>
      <c r="M141" s="73">
        <v>44206</v>
      </c>
      <c r="N141" s="80" t="b">
        <v>1</v>
      </c>
      <c r="O141" s="80">
        <v>305200768</v>
      </c>
      <c r="P141" s="80">
        <v>4.8899999999999997</v>
      </c>
      <c r="Q141" s="80">
        <v>1</v>
      </c>
      <c r="R141" s="80" t="s">
        <v>3642</v>
      </c>
      <c r="S141" s="80">
        <v>727</v>
      </c>
      <c r="T141" s="80">
        <v>7275</v>
      </c>
      <c r="U141" s="85" t="s">
        <v>2294</v>
      </c>
      <c r="X141" s="80" t="s">
        <v>71</v>
      </c>
      <c r="Y141" s="80">
        <v>0</v>
      </c>
      <c r="AA141">
        <f t="shared" si="10"/>
        <v>179</v>
      </c>
      <c r="AB141" t="str">
        <f t="shared" si="11"/>
        <v>MUKIMOVA SURAYYO</v>
      </c>
      <c r="AC141" t="str">
        <f t="shared" si="12"/>
        <v>AA4509857</v>
      </c>
      <c r="AD141">
        <f t="shared" si="13"/>
        <v>4.8899999999999997</v>
      </c>
      <c r="AE141">
        <f t="shared" si="14"/>
        <v>13</v>
      </c>
    </row>
    <row r="142" spans="1:31" x14ac:dyDescent="0.25">
      <c r="A142" s="80">
        <v>142</v>
      </c>
      <c r="B142" s="80">
        <v>185</v>
      </c>
      <c r="C142" s="82">
        <v>44206</v>
      </c>
      <c r="D142" s="82" t="s">
        <v>3678</v>
      </c>
      <c r="E142" s="82" t="s">
        <v>3557</v>
      </c>
      <c r="G142" s="80">
        <v>1</v>
      </c>
      <c r="H142" s="80" t="s">
        <v>151</v>
      </c>
      <c r="I142" s="80">
        <v>19</v>
      </c>
      <c r="J142" s="80">
        <v>860</v>
      </c>
      <c r="K142" s="80">
        <v>792</v>
      </c>
      <c r="L142" s="80">
        <v>860</v>
      </c>
      <c r="M142" s="73">
        <v>44206</v>
      </c>
      <c r="N142" s="80" t="b">
        <v>1</v>
      </c>
      <c r="O142" s="80">
        <v>305200768</v>
      </c>
      <c r="P142" s="80">
        <v>7.07</v>
      </c>
      <c r="Q142" s="80">
        <v>1</v>
      </c>
      <c r="R142" s="80" t="s">
        <v>3642</v>
      </c>
      <c r="S142" s="80">
        <v>727</v>
      </c>
      <c r="T142" s="80">
        <v>7273</v>
      </c>
      <c r="U142" s="85" t="s">
        <v>1160</v>
      </c>
      <c r="X142" s="80" t="s">
        <v>71</v>
      </c>
      <c r="Y142" s="80">
        <v>0</v>
      </c>
      <c r="AA142">
        <f t="shared" si="10"/>
        <v>185</v>
      </c>
      <c r="AB142" t="str">
        <f t="shared" si="11"/>
        <v>TULYAYEVA ZULXUMOR</v>
      </c>
      <c r="AC142" t="str">
        <f t="shared" si="12"/>
        <v>AA2441413</v>
      </c>
      <c r="AD142">
        <f t="shared" si="13"/>
        <v>7.07</v>
      </c>
      <c r="AE142">
        <f t="shared" si="14"/>
        <v>19</v>
      </c>
    </row>
    <row r="143" spans="1:31" x14ac:dyDescent="0.25">
      <c r="A143" s="80">
        <v>143</v>
      </c>
      <c r="B143" s="80">
        <v>186</v>
      </c>
      <c r="C143" s="82">
        <v>44206</v>
      </c>
      <c r="D143" s="82" t="s">
        <v>573</v>
      </c>
      <c r="E143" s="82" t="s">
        <v>574</v>
      </c>
      <c r="G143" s="80">
        <v>1</v>
      </c>
      <c r="H143" s="80" t="s">
        <v>151</v>
      </c>
      <c r="I143" s="80">
        <v>8</v>
      </c>
      <c r="J143" s="80">
        <v>860</v>
      </c>
      <c r="K143" s="80">
        <v>792</v>
      </c>
      <c r="L143" s="80">
        <v>860</v>
      </c>
      <c r="M143" s="73">
        <v>44206</v>
      </c>
      <c r="N143" s="80" t="b">
        <v>1</v>
      </c>
      <c r="O143" s="80">
        <v>305200768</v>
      </c>
      <c r="P143" s="80">
        <v>5.7</v>
      </c>
      <c r="Q143" s="80">
        <v>1</v>
      </c>
      <c r="R143" s="80" t="s">
        <v>3642</v>
      </c>
      <c r="S143" s="80">
        <v>727</v>
      </c>
      <c r="T143" s="80">
        <v>7278</v>
      </c>
      <c r="U143" s="85" t="s">
        <v>3630</v>
      </c>
      <c r="X143" s="80" t="s">
        <v>71</v>
      </c>
      <c r="Y143" s="80">
        <v>0</v>
      </c>
      <c r="AA143">
        <f t="shared" si="10"/>
        <v>186</v>
      </c>
      <c r="AB143" t="str">
        <f t="shared" si="11"/>
        <v>MIRSAIDOVA DILNOZA</v>
      </c>
      <c r="AC143" t="str">
        <f t="shared" si="12"/>
        <v>AA5885759</v>
      </c>
      <c r="AD143">
        <f t="shared" si="13"/>
        <v>5.7</v>
      </c>
      <c r="AE143">
        <f t="shared" si="14"/>
        <v>8</v>
      </c>
    </row>
    <row r="144" spans="1:31" x14ac:dyDescent="0.25">
      <c r="A144" s="80">
        <v>144</v>
      </c>
      <c r="B144" s="80">
        <v>188</v>
      </c>
      <c r="C144" s="82">
        <v>44206</v>
      </c>
      <c r="D144" s="82" t="s">
        <v>3670</v>
      </c>
      <c r="E144" s="82" t="s">
        <v>1480</v>
      </c>
      <c r="G144" s="80">
        <v>1</v>
      </c>
      <c r="H144" s="80" t="s">
        <v>151</v>
      </c>
      <c r="I144" s="80">
        <v>8</v>
      </c>
      <c r="J144" s="80">
        <v>860</v>
      </c>
      <c r="K144" s="80">
        <v>792</v>
      </c>
      <c r="L144" s="80">
        <v>860</v>
      </c>
      <c r="M144" s="73">
        <v>44206</v>
      </c>
      <c r="N144" s="80" t="b">
        <v>1</v>
      </c>
      <c r="O144" s="80">
        <v>305200768</v>
      </c>
      <c r="P144" s="80">
        <v>1.7999999999999998</v>
      </c>
      <c r="Q144" s="80">
        <v>1</v>
      </c>
      <c r="R144" s="80" t="s">
        <v>3642</v>
      </c>
      <c r="S144" s="80">
        <v>727</v>
      </c>
      <c r="T144" s="80">
        <v>7276</v>
      </c>
      <c r="U144" s="85" t="s">
        <v>2777</v>
      </c>
      <c r="X144" s="80" t="s">
        <v>71</v>
      </c>
      <c r="Y144" s="80">
        <v>0</v>
      </c>
      <c r="AA144">
        <f t="shared" si="10"/>
        <v>188</v>
      </c>
      <c r="AB144" t="str">
        <f t="shared" si="11"/>
        <v>PO‘LATOV BAXROMJON</v>
      </c>
      <c r="AC144" t="str">
        <f t="shared" si="12"/>
        <v>AA2656641</v>
      </c>
      <c r="AD144">
        <f t="shared" si="13"/>
        <v>1.7999999999999998</v>
      </c>
      <c r="AE144">
        <f t="shared" si="14"/>
        <v>8</v>
      </c>
    </row>
    <row r="145" spans="1:31" x14ac:dyDescent="0.25">
      <c r="A145" s="80">
        <v>145</v>
      </c>
      <c r="B145" s="80">
        <v>189</v>
      </c>
      <c r="C145" s="82">
        <v>44206</v>
      </c>
      <c r="D145" s="82" t="s">
        <v>3101</v>
      </c>
      <c r="E145" s="82" t="s">
        <v>3102</v>
      </c>
      <c r="G145" s="80">
        <v>1</v>
      </c>
      <c r="H145" s="80" t="s">
        <v>151</v>
      </c>
      <c r="I145" s="80">
        <v>25</v>
      </c>
      <c r="J145" s="80">
        <v>860</v>
      </c>
      <c r="K145" s="80">
        <v>792</v>
      </c>
      <c r="L145" s="80">
        <v>860</v>
      </c>
      <c r="M145" s="73">
        <v>44206</v>
      </c>
      <c r="N145" s="80" t="b">
        <v>1</v>
      </c>
      <c r="O145" s="80">
        <v>305200768</v>
      </c>
      <c r="P145" s="80">
        <v>11.6</v>
      </c>
      <c r="Q145" s="80">
        <v>1</v>
      </c>
      <c r="R145" s="80" t="s">
        <v>3642</v>
      </c>
      <c r="S145" s="80">
        <v>727</v>
      </c>
      <c r="T145" s="80">
        <v>7277</v>
      </c>
      <c r="U145" s="85" t="s">
        <v>3632</v>
      </c>
      <c r="X145" s="80" t="s">
        <v>116</v>
      </c>
      <c r="Y145" s="80">
        <v>0</v>
      </c>
      <c r="AA145">
        <f t="shared" si="10"/>
        <v>189</v>
      </c>
      <c r="AB145" t="str">
        <f t="shared" si="11"/>
        <v>YAHYOYEV SHAHZOD</v>
      </c>
      <c r="AC145" t="str">
        <f t="shared" si="12"/>
        <v>AB6253348</v>
      </c>
      <c r="AD145">
        <f t="shared" si="13"/>
        <v>11.6</v>
      </c>
      <c r="AE145">
        <f t="shared" si="14"/>
        <v>25</v>
      </c>
    </row>
    <row r="146" spans="1:31" x14ac:dyDescent="0.25">
      <c r="A146" s="80">
        <v>146</v>
      </c>
      <c r="B146" s="80">
        <v>190</v>
      </c>
      <c r="C146" s="82">
        <v>44206</v>
      </c>
      <c r="D146" s="82" t="s">
        <v>615</v>
      </c>
      <c r="E146" s="82" t="s">
        <v>616</v>
      </c>
      <c r="G146" s="80">
        <v>1</v>
      </c>
      <c r="H146" s="80" t="s">
        <v>151</v>
      </c>
      <c r="I146" s="80">
        <v>23</v>
      </c>
      <c r="J146" s="80">
        <v>860</v>
      </c>
      <c r="K146" s="80">
        <v>792</v>
      </c>
      <c r="L146" s="80">
        <v>860</v>
      </c>
      <c r="M146" s="73">
        <v>44206</v>
      </c>
      <c r="N146" s="80" t="b">
        <v>1</v>
      </c>
      <c r="O146" s="80">
        <v>305200768</v>
      </c>
      <c r="P146" s="80">
        <v>4.1999999999999993</v>
      </c>
      <c r="Q146" s="80">
        <v>1</v>
      </c>
      <c r="R146" s="80" t="s">
        <v>3642</v>
      </c>
      <c r="S146" s="80">
        <v>727</v>
      </c>
      <c r="T146" s="80">
        <v>7275</v>
      </c>
      <c r="U146" s="85" t="s">
        <v>3633</v>
      </c>
      <c r="X146" s="80" t="s">
        <v>71</v>
      </c>
      <c r="Y146" s="80">
        <v>0</v>
      </c>
      <c r="AA146">
        <f t="shared" si="10"/>
        <v>190</v>
      </c>
      <c r="AB146" t="str">
        <f t="shared" si="11"/>
        <v>AMINOVA GULSORA</v>
      </c>
      <c r="AC146" t="str">
        <f t="shared" si="12"/>
        <v>AA7537741</v>
      </c>
      <c r="AD146">
        <f t="shared" si="13"/>
        <v>4.1999999999999993</v>
      </c>
      <c r="AE146">
        <f t="shared" si="14"/>
        <v>23</v>
      </c>
    </row>
    <row r="147" spans="1:31" x14ac:dyDescent="0.25">
      <c r="A147" s="80">
        <v>147</v>
      </c>
      <c r="B147" s="80">
        <v>192</v>
      </c>
      <c r="C147" s="82">
        <v>44206</v>
      </c>
      <c r="D147" s="82" t="s">
        <v>3700</v>
      </c>
      <c r="E147" s="82" t="s">
        <v>651</v>
      </c>
      <c r="G147" s="80">
        <v>1</v>
      </c>
      <c r="H147" s="80" t="s">
        <v>151</v>
      </c>
      <c r="I147" s="80">
        <v>27</v>
      </c>
      <c r="J147" s="80">
        <v>860</v>
      </c>
      <c r="K147" s="80">
        <v>792</v>
      </c>
      <c r="L147" s="80">
        <v>860</v>
      </c>
      <c r="M147" s="73">
        <v>44206</v>
      </c>
      <c r="N147" s="80" t="b">
        <v>1</v>
      </c>
      <c r="O147" s="80">
        <v>305200768</v>
      </c>
      <c r="P147" s="80">
        <v>16</v>
      </c>
      <c r="Q147" s="80">
        <v>1</v>
      </c>
      <c r="R147" s="80" t="s">
        <v>3642</v>
      </c>
      <c r="S147" s="80">
        <v>727</v>
      </c>
      <c r="T147" s="80">
        <v>7277</v>
      </c>
      <c r="U147" s="85" t="s">
        <v>2809</v>
      </c>
      <c r="X147" s="80" t="s">
        <v>116</v>
      </c>
      <c r="Y147" s="80">
        <v>0</v>
      </c>
      <c r="AA147">
        <f t="shared" si="10"/>
        <v>192</v>
      </c>
      <c r="AB147" t="str">
        <f t="shared" si="11"/>
        <v>HAMROYEVA ZARINA</v>
      </c>
      <c r="AC147" t="str">
        <f t="shared" si="12"/>
        <v>AB5383935</v>
      </c>
      <c r="AD147">
        <f t="shared" si="13"/>
        <v>16</v>
      </c>
      <c r="AE147">
        <f t="shared" si="14"/>
        <v>27</v>
      </c>
    </row>
    <row r="148" spans="1:31" x14ac:dyDescent="0.25">
      <c r="A148" s="80">
        <v>148</v>
      </c>
      <c r="B148" s="80">
        <v>191</v>
      </c>
      <c r="C148" s="82">
        <v>44206</v>
      </c>
      <c r="D148" s="82" t="s">
        <v>2609</v>
      </c>
      <c r="E148" s="82" t="s">
        <v>2610</v>
      </c>
      <c r="G148" s="80">
        <v>1</v>
      </c>
      <c r="H148" s="80" t="s">
        <v>151</v>
      </c>
      <c r="I148" s="80">
        <v>33</v>
      </c>
      <c r="J148" s="80">
        <v>860</v>
      </c>
      <c r="K148" s="80">
        <v>792</v>
      </c>
      <c r="L148" s="80">
        <v>860</v>
      </c>
      <c r="M148" s="73">
        <v>44206</v>
      </c>
      <c r="N148" s="80" t="b">
        <v>1</v>
      </c>
      <c r="O148" s="80">
        <v>305200768</v>
      </c>
      <c r="P148" s="80">
        <v>18.809999999999999</v>
      </c>
      <c r="Q148" s="80">
        <v>1</v>
      </c>
      <c r="R148" s="80" t="s">
        <v>3642</v>
      </c>
      <c r="S148" s="80">
        <v>727</v>
      </c>
      <c r="T148" s="80">
        <v>7272</v>
      </c>
      <c r="U148" s="85" t="s">
        <v>2608</v>
      </c>
      <c r="X148" s="80" t="s">
        <v>116</v>
      </c>
      <c r="Y148" s="80">
        <v>0</v>
      </c>
      <c r="AA148">
        <f t="shared" si="10"/>
        <v>191</v>
      </c>
      <c r="AB148" t="str">
        <f t="shared" si="11"/>
        <v>SHUKUROV MUXSINJON</v>
      </c>
      <c r="AC148" t="str">
        <f t="shared" si="12"/>
        <v>AB4514098</v>
      </c>
      <c r="AD148">
        <f t="shared" si="13"/>
        <v>18.809999999999999</v>
      </c>
      <c r="AE148">
        <f t="shared" si="14"/>
        <v>33</v>
      </c>
    </row>
    <row r="149" spans="1:31" x14ac:dyDescent="0.25">
      <c r="A149" s="80">
        <v>149</v>
      </c>
      <c r="B149" s="80">
        <v>193</v>
      </c>
      <c r="C149" s="82">
        <v>44206</v>
      </c>
      <c r="D149" s="82" t="s">
        <v>3694</v>
      </c>
      <c r="E149" s="82" t="s">
        <v>780</v>
      </c>
      <c r="G149" s="80">
        <v>1</v>
      </c>
      <c r="H149" s="80" t="s">
        <v>151</v>
      </c>
      <c r="I149" s="80">
        <v>37</v>
      </c>
      <c r="J149" s="80">
        <v>860</v>
      </c>
      <c r="K149" s="80">
        <v>792</v>
      </c>
      <c r="L149" s="80">
        <v>860</v>
      </c>
      <c r="M149" s="73">
        <v>44206</v>
      </c>
      <c r="N149" s="80" t="b">
        <v>1</v>
      </c>
      <c r="O149" s="80">
        <v>305200768</v>
      </c>
      <c r="P149" s="80">
        <v>12.74</v>
      </c>
      <c r="Q149" s="80">
        <v>1</v>
      </c>
      <c r="R149" s="80" t="s">
        <v>3642</v>
      </c>
      <c r="S149" s="80">
        <v>727</v>
      </c>
      <c r="T149" s="80">
        <v>7274</v>
      </c>
      <c r="U149" s="85" t="s">
        <v>2654</v>
      </c>
      <c r="X149" s="80" t="s">
        <v>71</v>
      </c>
      <c r="Y149" s="80">
        <v>0</v>
      </c>
      <c r="AA149">
        <f t="shared" si="10"/>
        <v>193</v>
      </c>
      <c r="AB149" t="str">
        <f t="shared" si="11"/>
        <v>TADJIBAYEVA MAFTUNA</v>
      </c>
      <c r="AC149" t="str">
        <f t="shared" si="12"/>
        <v>AA9025665</v>
      </c>
      <c r="AD149">
        <f t="shared" si="13"/>
        <v>12.74</v>
      </c>
      <c r="AE149">
        <f t="shared" si="14"/>
        <v>37</v>
      </c>
    </row>
    <row r="150" spans="1:31" x14ac:dyDescent="0.25">
      <c r="A150" s="80">
        <v>150</v>
      </c>
      <c r="B150" s="80">
        <v>601</v>
      </c>
      <c r="C150" s="82">
        <v>44206</v>
      </c>
      <c r="D150" s="82" t="s">
        <v>3672</v>
      </c>
      <c r="E150" s="82" t="s">
        <v>2469</v>
      </c>
      <c r="G150" s="80">
        <v>1</v>
      </c>
      <c r="H150" s="80" t="s">
        <v>151</v>
      </c>
      <c r="I150" s="80">
        <v>30</v>
      </c>
      <c r="J150" s="80">
        <v>860</v>
      </c>
      <c r="K150" s="80">
        <v>792</v>
      </c>
      <c r="L150" s="80">
        <v>860</v>
      </c>
      <c r="M150" s="73">
        <v>44206</v>
      </c>
      <c r="N150" s="80" t="b">
        <v>1</v>
      </c>
      <c r="O150" s="80">
        <v>305200768</v>
      </c>
      <c r="P150" s="80">
        <v>14.040000000000001</v>
      </c>
      <c r="Q150" s="80">
        <v>1</v>
      </c>
      <c r="R150" s="80" t="s">
        <v>3642</v>
      </c>
      <c r="S150" s="80">
        <v>727</v>
      </c>
      <c r="T150" s="80">
        <v>7272</v>
      </c>
      <c r="U150" s="85" t="s">
        <v>2467</v>
      </c>
      <c r="X150" s="80" t="s">
        <v>71</v>
      </c>
      <c r="Y150" s="80">
        <v>0</v>
      </c>
      <c r="AA150">
        <f t="shared" si="10"/>
        <v>601</v>
      </c>
      <c r="AB150" t="str">
        <f t="shared" si="11"/>
        <v>SAMIYEVA SHAXLO</v>
      </c>
      <c r="AC150" t="str">
        <f t="shared" si="12"/>
        <v>AA1284596</v>
      </c>
      <c r="AD150">
        <f t="shared" si="13"/>
        <v>14.040000000000001</v>
      </c>
      <c r="AE150">
        <f t="shared" si="14"/>
        <v>30</v>
      </c>
    </row>
    <row r="151" spans="1:31" x14ac:dyDescent="0.25">
      <c r="A151" s="80">
        <v>151</v>
      </c>
      <c r="B151" s="80">
        <v>605</v>
      </c>
      <c r="C151" s="82">
        <v>44206</v>
      </c>
      <c r="D151" s="82" t="s">
        <v>2415</v>
      </c>
      <c r="E151" s="82" t="s">
        <v>1578</v>
      </c>
      <c r="G151" s="80">
        <v>1</v>
      </c>
      <c r="H151" s="80" t="s">
        <v>151</v>
      </c>
      <c r="I151" s="80">
        <v>13</v>
      </c>
      <c r="J151" s="80">
        <v>860</v>
      </c>
      <c r="K151" s="80">
        <v>792</v>
      </c>
      <c r="L151" s="80">
        <v>860</v>
      </c>
      <c r="M151" s="73">
        <v>44206</v>
      </c>
      <c r="N151" s="80" t="b">
        <v>1</v>
      </c>
      <c r="O151" s="80">
        <v>305200768</v>
      </c>
      <c r="P151" s="80">
        <v>14.209999999999999</v>
      </c>
      <c r="Q151" s="80">
        <v>1</v>
      </c>
      <c r="R151" s="80" t="s">
        <v>3642</v>
      </c>
      <c r="S151" s="80">
        <v>727</v>
      </c>
      <c r="T151" s="80">
        <v>7272</v>
      </c>
      <c r="U151" s="85" t="s">
        <v>2414</v>
      </c>
      <c r="X151" s="80" t="s">
        <v>71</v>
      </c>
      <c r="Y151" s="80">
        <v>0</v>
      </c>
      <c r="AA151">
        <f t="shared" si="10"/>
        <v>605</v>
      </c>
      <c r="AB151" t="str">
        <f t="shared" si="11"/>
        <v>MANSUROVA OZODA</v>
      </c>
      <c r="AC151" t="str">
        <f t="shared" si="12"/>
        <v>AA6295972</v>
      </c>
      <c r="AD151">
        <f t="shared" si="13"/>
        <v>14.209999999999999</v>
      </c>
      <c r="AE151">
        <f t="shared" si="14"/>
        <v>13</v>
      </c>
    </row>
    <row r="152" spans="1:31" x14ac:dyDescent="0.25">
      <c r="A152" s="80">
        <v>152</v>
      </c>
      <c r="B152" s="80">
        <v>606</v>
      </c>
      <c r="C152" s="82">
        <v>44206</v>
      </c>
      <c r="D152" s="82" t="s">
        <v>1883</v>
      </c>
      <c r="E152" s="82" t="s">
        <v>1884</v>
      </c>
      <c r="G152" s="80">
        <v>1</v>
      </c>
      <c r="H152" s="80" t="s">
        <v>151</v>
      </c>
      <c r="I152" s="80">
        <v>32</v>
      </c>
      <c r="J152" s="80">
        <v>860</v>
      </c>
      <c r="K152" s="80">
        <v>792</v>
      </c>
      <c r="L152" s="80">
        <v>860</v>
      </c>
      <c r="M152" s="73">
        <v>44206</v>
      </c>
      <c r="N152" s="80" t="b">
        <v>1</v>
      </c>
      <c r="O152" s="80">
        <v>305200768</v>
      </c>
      <c r="P152" s="80">
        <v>14.77</v>
      </c>
      <c r="Q152" s="80">
        <v>1</v>
      </c>
      <c r="R152" s="80" t="s">
        <v>3642</v>
      </c>
      <c r="S152" s="80">
        <v>727</v>
      </c>
      <c r="T152" s="80">
        <v>7278</v>
      </c>
      <c r="U152" s="85" t="s">
        <v>1882</v>
      </c>
      <c r="X152" s="80" t="s">
        <v>462</v>
      </c>
      <c r="Y152" s="80">
        <v>0</v>
      </c>
      <c r="AA152">
        <f t="shared" si="10"/>
        <v>606</v>
      </c>
      <c r="AB152" t="str">
        <f t="shared" si="11"/>
        <v>MIRZAUMIDOVA XAMIDA</v>
      </c>
      <c r="AC152" t="str">
        <f t="shared" si="12"/>
        <v>AC0472252</v>
      </c>
      <c r="AD152">
        <f t="shared" si="13"/>
        <v>14.77</v>
      </c>
      <c r="AE152">
        <f t="shared" si="14"/>
        <v>32</v>
      </c>
    </row>
    <row r="153" spans="1:31" x14ac:dyDescent="0.25">
      <c r="A153" s="80">
        <v>153</v>
      </c>
      <c r="B153" s="80">
        <v>604</v>
      </c>
      <c r="C153" s="82">
        <v>44206</v>
      </c>
      <c r="D153" s="82" t="s">
        <v>3689</v>
      </c>
      <c r="E153" s="82" t="s">
        <v>2122</v>
      </c>
      <c r="G153" s="80">
        <v>1</v>
      </c>
      <c r="H153" s="80" t="s">
        <v>151</v>
      </c>
      <c r="I153" s="80">
        <v>28</v>
      </c>
      <c r="J153" s="80">
        <v>860</v>
      </c>
      <c r="K153" s="80">
        <v>792</v>
      </c>
      <c r="L153" s="80">
        <v>860</v>
      </c>
      <c r="M153" s="73">
        <v>44206</v>
      </c>
      <c r="N153" s="80" t="b">
        <v>1</v>
      </c>
      <c r="O153" s="80">
        <v>305200768</v>
      </c>
      <c r="P153" s="80">
        <v>15.209999999999999</v>
      </c>
      <c r="Q153" s="80">
        <v>1</v>
      </c>
      <c r="R153" s="80" t="s">
        <v>3642</v>
      </c>
      <c r="S153" s="80">
        <v>727</v>
      </c>
      <c r="T153" s="80">
        <v>7275</v>
      </c>
      <c r="U153" s="85" t="s">
        <v>2484</v>
      </c>
      <c r="X153" s="80" t="s">
        <v>71</v>
      </c>
      <c r="Y153" s="80">
        <v>0</v>
      </c>
      <c r="AA153">
        <f t="shared" si="10"/>
        <v>604</v>
      </c>
      <c r="AB153" t="str">
        <f t="shared" si="11"/>
        <v>ABDURAXIMOV XURSHID</v>
      </c>
      <c r="AC153" t="str">
        <f t="shared" si="12"/>
        <v>AA6588360</v>
      </c>
      <c r="AD153">
        <f t="shared" si="13"/>
        <v>15.209999999999999</v>
      </c>
      <c r="AE153">
        <f t="shared" si="14"/>
        <v>28</v>
      </c>
    </row>
    <row r="154" spans="1:31" x14ac:dyDescent="0.25">
      <c r="A154" s="80">
        <v>154</v>
      </c>
      <c r="B154" s="80">
        <v>607</v>
      </c>
      <c r="C154" s="82">
        <v>44206</v>
      </c>
      <c r="D154" s="82" t="s">
        <v>3205</v>
      </c>
      <c r="E154" s="82" t="s">
        <v>3206</v>
      </c>
      <c r="G154" s="80">
        <v>1</v>
      </c>
      <c r="H154" s="80" t="s">
        <v>151</v>
      </c>
      <c r="I154" s="80">
        <v>25</v>
      </c>
      <c r="J154" s="80">
        <v>860</v>
      </c>
      <c r="K154" s="80">
        <v>792</v>
      </c>
      <c r="L154" s="80">
        <v>860</v>
      </c>
      <c r="M154" s="73">
        <v>44206</v>
      </c>
      <c r="N154" s="80" t="b">
        <v>1</v>
      </c>
      <c r="O154" s="80">
        <v>305200768</v>
      </c>
      <c r="P154" s="80">
        <v>18.64</v>
      </c>
      <c r="Q154" s="80">
        <v>1</v>
      </c>
      <c r="R154" s="80" t="s">
        <v>3642</v>
      </c>
      <c r="S154" s="80">
        <v>727</v>
      </c>
      <c r="T154" s="80">
        <v>7276</v>
      </c>
      <c r="U154" s="85" t="s">
        <v>3634</v>
      </c>
      <c r="X154" s="80" t="s">
        <v>71</v>
      </c>
      <c r="Y154" s="80">
        <v>0</v>
      </c>
      <c r="AA154">
        <f t="shared" si="10"/>
        <v>607</v>
      </c>
      <c r="AB154" t="str">
        <f t="shared" si="11"/>
        <v>QO‘YLANOV SHAROF</v>
      </c>
      <c r="AC154" t="str">
        <f t="shared" si="12"/>
        <v>AA4676231</v>
      </c>
      <c r="AD154">
        <f t="shared" si="13"/>
        <v>18.64</v>
      </c>
      <c r="AE154">
        <f t="shared" si="14"/>
        <v>25</v>
      </c>
    </row>
    <row r="155" spans="1:31" x14ac:dyDescent="0.25">
      <c r="A155" s="80">
        <v>155</v>
      </c>
      <c r="B155" s="80">
        <v>608</v>
      </c>
      <c r="C155" s="82">
        <v>44206</v>
      </c>
      <c r="D155" s="82" t="s">
        <v>3671</v>
      </c>
      <c r="E155" s="82" t="s">
        <v>3645</v>
      </c>
      <c r="G155" s="80">
        <v>1</v>
      </c>
      <c r="H155" s="80" t="s">
        <v>151</v>
      </c>
      <c r="I155" s="80">
        <v>9</v>
      </c>
      <c r="J155" s="80">
        <v>860</v>
      </c>
      <c r="K155" s="80">
        <v>792</v>
      </c>
      <c r="L155" s="80">
        <v>860</v>
      </c>
      <c r="M155" s="73">
        <v>44206</v>
      </c>
      <c r="N155" s="80" t="b">
        <v>1</v>
      </c>
      <c r="O155" s="80">
        <v>305200768</v>
      </c>
      <c r="P155" s="80">
        <v>8.01</v>
      </c>
      <c r="Q155" s="80">
        <v>1</v>
      </c>
      <c r="R155" s="80" t="s">
        <v>3642</v>
      </c>
      <c r="S155" s="80">
        <v>727</v>
      </c>
      <c r="T155" s="80">
        <v>7276</v>
      </c>
      <c r="U155" s="85" t="s">
        <v>3635</v>
      </c>
      <c r="X155" s="80" t="s">
        <v>71</v>
      </c>
      <c r="Y155" s="80">
        <v>0</v>
      </c>
      <c r="AA155">
        <f t="shared" si="10"/>
        <v>608</v>
      </c>
      <c r="AB155" t="str">
        <f t="shared" si="11"/>
        <v>ROZIKOVA NILUFARXON</v>
      </c>
      <c r="AC155" t="str">
        <f t="shared" si="12"/>
        <v>AA1009974</v>
      </c>
      <c r="AD155">
        <f t="shared" si="13"/>
        <v>8.01</v>
      </c>
      <c r="AE155">
        <f t="shared" si="14"/>
        <v>9</v>
      </c>
    </row>
    <row r="156" spans="1:31" x14ac:dyDescent="0.25">
      <c r="A156" s="80">
        <v>156</v>
      </c>
      <c r="B156" s="80">
        <v>609</v>
      </c>
      <c r="C156" s="82">
        <v>44206</v>
      </c>
      <c r="D156" s="82" t="s">
        <v>3671</v>
      </c>
      <c r="E156" s="82" t="s">
        <v>3645</v>
      </c>
      <c r="G156" s="80">
        <v>1</v>
      </c>
      <c r="H156" s="80" t="s">
        <v>151</v>
      </c>
      <c r="I156" s="80">
        <v>15</v>
      </c>
      <c r="J156" s="80">
        <v>860</v>
      </c>
      <c r="K156" s="80">
        <v>792</v>
      </c>
      <c r="L156" s="80">
        <v>860</v>
      </c>
      <c r="M156" s="73">
        <v>44206</v>
      </c>
      <c r="N156" s="80" t="b">
        <v>1</v>
      </c>
      <c r="O156" s="80">
        <v>305200768</v>
      </c>
      <c r="P156" s="80">
        <v>9.2000000000000011</v>
      </c>
      <c r="Q156" s="80">
        <v>1</v>
      </c>
      <c r="R156" s="80" t="s">
        <v>3642</v>
      </c>
      <c r="S156" s="80">
        <v>727</v>
      </c>
      <c r="T156" s="80">
        <v>7277</v>
      </c>
      <c r="U156" s="85" t="s">
        <v>3635</v>
      </c>
      <c r="X156" s="80" t="s">
        <v>71</v>
      </c>
      <c r="Y156" s="80">
        <v>0</v>
      </c>
      <c r="AA156">
        <f t="shared" si="10"/>
        <v>609</v>
      </c>
      <c r="AB156" t="str">
        <f t="shared" si="11"/>
        <v>ROZIKOVA NILUFARXON</v>
      </c>
      <c r="AC156" t="str">
        <f t="shared" si="12"/>
        <v>AA1009974</v>
      </c>
      <c r="AD156">
        <f t="shared" si="13"/>
        <v>9.2000000000000011</v>
      </c>
      <c r="AE156">
        <f t="shared" si="14"/>
        <v>15</v>
      </c>
    </row>
    <row r="157" spans="1:31" x14ac:dyDescent="0.25">
      <c r="A157" s="80">
        <v>157</v>
      </c>
      <c r="B157" s="80">
        <v>603</v>
      </c>
      <c r="C157" s="82">
        <v>44206</v>
      </c>
      <c r="D157" s="82" t="s">
        <v>3670</v>
      </c>
      <c r="E157" s="82" t="s">
        <v>3644</v>
      </c>
      <c r="G157" s="80">
        <v>1</v>
      </c>
      <c r="H157" s="80" t="s">
        <v>151</v>
      </c>
      <c r="I157" s="80">
        <v>20</v>
      </c>
      <c r="J157" s="80">
        <v>860</v>
      </c>
      <c r="K157" s="80">
        <v>792</v>
      </c>
      <c r="L157" s="80">
        <v>860</v>
      </c>
      <c r="M157" s="73">
        <v>44206</v>
      </c>
      <c r="N157" s="80" t="b">
        <v>1</v>
      </c>
      <c r="O157" s="80">
        <v>305200768</v>
      </c>
      <c r="P157" s="80">
        <v>14.8</v>
      </c>
      <c r="Q157" s="80">
        <v>1</v>
      </c>
      <c r="R157" s="80" t="s">
        <v>3642</v>
      </c>
      <c r="S157" s="80">
        <v>727</v>
      </c>
      <c r="T157" s="80">
        <v>7275</v>
      </c>
      <c r="U157" s="85" t="s">
        <v>737</v>
      </c>
      <c r="X157" s="80" t="s">
        <v>71</v>
      </c>
      <c r="Y157" s="80">
        <v>0</v>
      </c>
      <c r="AA157">
        <f t="shared" si="10"/>
        <v>603</v>
      </c>
      <c r="AB157" t="str">
        <f t="shared" si="11"/>
        <v>PO‘LATOV O‘TKIR</v>
      </c>
      <c r="AC157" t="str">
        <f t="shared" si="12"/>
        <v>AA1002103</v>
      </c>
      <c r="AD157">
        <f t="shared" si="13"/>
        <v>14.8</v>
      </c>
      <c r="AE157">
        <f t="shared" si="14"/>
        <v>20</v>
      </c>
    </row>
    <row r="158" spans="1:31" x14ac:dyDescent="0.25">
      <c r="A158" s="80">
        <v>158</v>
      </c>
      <c r="B158" s="80">
        <v>602</v>
      </c>
      <c r="C158" s="82">
        <v>44206</v>
      </c>
      <c r="D158" s="82" t="s">
        <v>526</v>
      </c>
      <c r="E158" s="82" t="s">
        <v>242</v>
      </c>
      <c r="G158" s="80">
        <v>1</v>
      </c>
      <c r="H158" s="80" t="s">
        <v>151</v>
      </c>
      <c r="I158" s="80">
        <v>20</v>
      </c>
      <c r="J158" s="80">
        <v>860</v>
      </c>
      <c r="K158" s="80">
        <v>792</v>
      </c>
      <c r="L158" s="80">
        <v>860</v>
      </c>
      <c r="M158" s="73">
        <v>44206</v>
      </c>
      <c r="N158" s="80" t="b">
        <v>1</v>
      </c>
      <c r="O158" s="80">
        <v>305200768</v>
      </c>
      <c r="P158" s="80">
        <v>16.8</v>
      </c>
      <c r="Q158" s="80">
        <v>1</v>
      </c>
      <c r="R158" s="80" t="s">
        <v>3642</v>
      </c>
      <c r="S158" s="80">
        <v>727</v>
      </c>
      <c r="T158" s="80">
        <v>7278</v>
      </c>
      <c r="U158" s="85" t="s">
        <v>2225</v>
      </c>
      <c r="X158" s="80" t="s">
        <v>71</v>
      </c>
      <c r="Y158" s="80">
        <v>0</v>
      </c>
      <c r="AA158">
        <f t="shared" si="10"/>
        <v>602</v>
      </c>
      <c r="AB158" t="str">
        <f t="shared" si="11"/>
        <v>ISMAILOVA MADINA</v>
      </c>
      <c r="AC158" t="str">
        <f t="shared" si="12"/>
        <v>AA4975968</v>
      </c>
      <c r="AD158">
        <f t="shared" si="13"/>
        <v>16.8</v>
      </c>
      <c r="AE158">
        <f t="shared" si="14"/>
        <v>20</v>
      </c>
    </row>
    <row r="159" spans="1:31" x14ac:dyDescent="0.25">
      <c r="A159" s="80">
        <v>159</v>
      </c>
      <c r="B159" s="80">
        <v>700</v>
      </c>
      <c r="C159" s="82">
        <v>44206</v>
      </c>
      <c r="D159" s="82" t="s">
        <v>383</v>
      </c>
      <c r="E159" s="82" t="s">
        <v>203</v>
      </c>
      <c r="G159" s="80">
        <v>1</v>
      </c>
      <c r="H159" s="80" t="s">
        <v>151</v>
      </c>
      <c r="I159" s="80">
        <v>31</v>
      </c>
      <c r="J159" s="80">
        <v>860</v>
      </c>
      <c r="K159" s="80">
        <v>792</v>
      </c>
      <c r="L159" s="80">
        <v>860</v>
      </c>
      <c r="M159" s="73">
        <v>44206</v>
      </c>
      <c r="N159" s="80" t="b">
        <v>1</v>
      </c>
      <c r="O159" s="80">
        <v>305200768</v>
      </c>
      <c r="P159" s="80">
        <v>9.9599999999999991</v>
      </c>
      <c r="Q159" s="80">
        <v>1</v>
      </c>
      <c r="R159" s="80" t="s">
        <v>3642</v>
      </c>
      <c r="S159" s="80">
        <v>727</v>
      </c>
      <c r="T159" s="80">
        <v>7271</v>
      </c>
      <c r="U159" s="85" t="s">
        <v>385</v>
      </c>
      <c r="X159" s="80" t="s">
        <v>71</v>
      </c>
      <c r="Y159" s="80">
        <v>0</v>
      </c>
      <c r="AA159">
        <f t="shared" si="10"/>
        <v>700</v>
      </c>
      <c r="AB159" t="str">
        <f t="shared" si="11"/>
        <v>PARDAYEV SUXROBJON</v>
      </c>
      <c r="AC159" t="str">
        <f t="shared" si="12"/>
        <v>AA9314193</v>
      </c>
      <c r="AD159">
        <f t="shared" si="13"/>
        <v>9.9599999999999991</v>
      </c>
      <c r="AE159">
        <f t="shared" si="14"/>
        <v>31</v>
      </c>
    </row>
    <row r="160" spans="1:31" x14ac:dyDescent="0.25">
      <c r="A160" s="80">
        <v>160</v>
      </c>
      <c r="B160" s="80">
        <v>701</v>
      </c>
      <c r="C160" s="82">
        <v>44206</v>
      </c>
      <c r="D160" s="82" t="s">
        <v>3698</v>
      </c>
      <c r="E160" s="82" t="s">
        <v>3660</v>
      </c>
      <c r="G160" s="80">
        <v>1</v>
      </c>
      <c r="H160" s="80" t="s">
        <v>151</v>
      </c>
      <c r="I160" s="80">
        <v>43</v>
      </c>
      <c r="J160" s="80">
        <v>860</v>
      </c>
      <c r="K160" s="80">
        <v>792</v>
      </c>
      <c r="L160" s="80">
        <v>860</v>
      </c>
      <c r="M160" s="73">
        <v>44206</v>
      </c>
      <c r="N160" s="80" t="b">
        <v>1</v>
      </c>
      <c r="O160" s="80">
        <v>305200768</v>
      </c>
      <c r="P160" s="80">
        <v>9</v>
      </c>
      <c r="Q160" s="80">
        <v>1</v>
      </c>
      <c r="R160" s="80" t="s">
        <v>3642</v>
      </c>
      <c r="S160" s="80">
        <v>727</v>
      </c>
      <c r="T160" s="80">
        <v>7277</v>
      </c>
      <c r="U160" s="85" t="s">
        <v>1846</v>
      </c>
      <c r="X160" s="80" t="s">
        <v>116</v>
      </c>
      <c r="Y160" s="80">
        <v>0</v>
      </c>
      <c r="AA160">
        <f t="shared" si="10"/>
        <v>701</v>
      </c>
      <c r="AB160" t="str">
        <f t="shared" si="11"/>
        <v>ZAIROV ABDUVAXAB</v>
      </c>
      <c r="AC160" t="str">
        <f t="shared" si="12"/>
        <v>AB3149252</v>
      </c>
      <c r="AD160">
        <f t="shared" si="13"/>
        <v>9</v>
      </c>
      <c r="AE160">
        <f t="shared" si="14"/>
        <v>43</v>
      </c>
    </row>
    <row r="161" spans="1:31" x14ac:dyDescent="0.25">
      <c r="A161" s="80">
        <v>161</v>
      </c>
      <c r="B161" s="80">
        <v>702</v>
      </c>
      <c r="C161" s="82">
        <v>44206</v>
      </c>
      <c r="D161" s="82" t="s">
        <v>1394</v>
      </c>
      <c r="E161" s="82" t="s">
        <v>1470</v>
      </c>
      <c r="G161" s="80">
        <v>1</v>
      </c>
      <c r="H161" s="80" t="s">
        <v>151</v>
      </c>
      <c r="I161" s="80">
        <v>32</v>
      </c>
      <c r="J161" s="80">
        <v>860</v>
      </c>
      <c r="K161" s="80">
        <v>792</v>
      </c>
      <c r="L161" s="80">
        <v>860</v>
      </c>
      <c r="M161" s="73">
        <v>44206</v>
      </c>
      <c r="N161" s="80" t="b">
        <v>1</v>
      </c>
      <c r="O161" s="80">
        <v>305200768</v>
      </c>
      <c r="P161" s="80">
        <v>15</v>
      </c>
      <c r="Q161" s="80">
        <v>1</v>
      </c>
      <c r="R161" s="80" t="s">
        <v>3642</v>
      </c>
      <c r="S161" s="80">
        <v>727</v>
      </c>
      <c r="T161" s="80">
        <v>7271</v>
      </c>
      <c r="U161" s="85" t="s">
        <v>3638</v>
      </c>
      <c r="X161" s="80" t="s">
        <v>462</v>
      </c>
      <c r="Y161" s="80">
        <v>0</v>
      </c>
      <c r="AA161">
        <f t="shared" si="10"/>
        <v>702</v>
      </c>
      <c r="AB161" t="str">
        <f t="shared" si="11"/>
        <v>YUSUPOV JASURBEK</v>
      </c>
      <c r="AC161" t="str">
        <f t="shared" si="12"/>
        <v>AC2417727</v>
      </c>
      <c r="AD161">
        <f t="shared" si="13"/>
        <v>15</v>
      </c>
      <c r="AE161">
        <f t="shared" si="14"/>
        <v>32</v>
      </c>
    </row>
    <row r="162" spans="1:31" x14ac:dyDescent="0.25">
      <c r="A162" s="80">
        <v>162</v>
      </c>
      <c r="B162" s="80">
        <v>703</v>
      </c>
      <c r="C162" s="82">
        <v>44206</v>
      </c>
      <c r="D162" s="82" t="s">
        <v>1439</v>
      </c>
      <c r="E162" s="82" t="s">
        <v>1374</v>
      </c>
      <c r="G162" s="80">
        <v>1</v>
      </c>
      <c r="H162" s="80" t="s">
        <v>151</v>
      </c>
      <c r="I162" s="80">
        <v>44</v>
      </c>
      <c r="J162" s="80">
        <v>860</v>
      </c>
      <c r="K162" s="80">
        <v>792</v>
      </c>
      <c r="L162" s="80">
        <v>860</v>
      </c>
      <c r="M162" s="73">
        <v>44206</v>
      </c>
      <c r="N162" s="80" t="b">
        <v>1</v>
      </c>
      <c r="O162" s="80">
        <v>305200768</v>
      </c>
      <c r="P162" s="80">
        <v>12.96</v>
      </c>
      <c r="Q162" s="80">
        <v>1</v>
      </c>
      <c r="R162" s="80" t="s">
        <v>3642</v>
      </c>
      <c r="S162" s="80">
        <v>727</v>
      </c>
      <c r="T162" s="80">
        <v>7274</v>
      </c>
      <c r="U162" s="85" t="s">
        <v>1438</v>
      </c>
      <c r="X162" s="80" t="s">
        <v>116</v>
      </c>
      <c r="Y162" s="80">
        <v>0</v>
      </c>
      <c r="AA162">
        <f t="shared" si="10"/>
        <v>703</v>
      </c>
      <c r="AB162" t="str">
        <f t="shared" si="11"/>
        <v>BEGMAXATOV SHUXRATJON</v>
      </c>
      <c r="AC162" t="str">
        <f t="shared" si="12"/>
        <v>AB0011317</v>
      </c>
      <c r="AD162">
        <f t="shared" si="13"/>
        <v>12.96</v>
      </c>
      <c r="AE162">
        <f t="shared" si="14"/>
        <v>44</v>
      </c>
    </row>
    <row r="163" spans="1:31" x14ac:dyDescent="0.25">
      <c r="A163" s="80">
        <v>163</v>
      </c>
      <c r="B163" s="80">
        <v>704</v>
      </c>
      <c r="C163" s="82">
        <v>44206</v>
      </c>
      <c r="D163" s="82" t="s">
        <v>3132</v>
      </c>
      <c r="E163" s="82" t="s">
        <v>2069</v>
      </c>
      <c r="G163" s="80">
        <v>1</v>
      </c>
      <c r="H163" s="80" t="s">
        <v>151</v>
      </c>
      <c r="I163" s="80">
        <v>70</v>
      </c>
      <c r="J163" s="80">
        <v>860</v>
      </c>
      <c r="K163" s="80">
        <v>792</v>
      </c>
      <c r="L163" s="80">
        <v>860</v>
      </c>
      <c r="M163" s="73">
        <v>44206</v>
      </c>
      <c r="N163" s="80" t="b">
        <v>1</v>
      </c>
      <c r="O163" s="80">
        <v>305200768</v>
      </c>
      <c r="P163" s="80">
        <v>15</v>
      </c>
      <c r="Q163" s="80">
        <v>1</v>
      </c>
      <c r="R163" s="80" t="s">
        <v>3642</v>
      </c>
      <c r="S163" s="80">
        <v>727</v>
      </c>
      <c r="T163" s="80">
        <v>7278</v>
      </c>
      <c r="U163" s="85" t="s">
        <v>3639</v>
      </c>
      <c r="X163" s="80" t="s">
        <v>116</v>
      </c>
      <c r="Y163" s="80">
        <v>0</v>
      </c>
      <c r="AA163">
        <f t="shared" si="10"/>
        <v>704</v>
      </c>
      <c r="AB163" t="str">
        <f t="shared" si="11"/>
        <v>VOXIDOV SARDORBEK</v>
      </c>
      <c r="AC163" t="str">
        <f t="shared" si="12"/>
        <v>AB4804562</v>
      </c>
      <c r="AD163">
        <f t="shared" si="13"/>
        <v>15</v>
      </c>
      <c r="AE163">
        <f t="shared" si="14"/>
        <v>70</v>
      </c>
    </row>
    <row r="164" spans="1:31" x14ac:dyDescent="0.25">
      <c r="A164" s="80">
        <v>164</v>
      </c>
      <c r="B164" s="80">
        <v>705</v>
      </c>
      <c r="C164" s="82">
        <v>44206</v>
      </c>
      <c r="D164" s="82" t="s">
        <v>3667</v>
      </c>
      <c r="E164" s="82" t="s">
        <v>149</v>
      </c>
      <c r="G164" s="80">
        <v>1</v>
      </c>
      <c r="H164" s="80" t="s">
        <v>151</v>
      </c>
      <c r="I164" s="80">
        <v>27</v>
      </c>
      <c r="J164" s="80">
        <v>860</v>
      </c>
      <c r="K164" s="80">
        <v>792</v>
      </c>
      <c r="L164" s="80">
        <v>860</v>
      </c>
      <c r="M164" s="73">
        <v>44206</v>
      </c>
      <c r="N164" s="80" t="b">
        <v>1</v>
      </c>
      <c r="O164" s="80">
        <v>305200768</v>
      </c>
      <c r="P164" s="80">
        <v>8.01</v>
      </c>
      <c r="Q164" s="80">
        <v>1</v>
      </c>
      <c r="R164" s="80" t="s">
        <v>3642</v>
      </c>
      <c r="S164" s="80">
        <v>727</v>
      </c>
      <c r="T164" s="80">
        <v>7275</v>
      </c>
      <c r="U164" s="85" t="s">
        <v>674</v>
      </c>
      <c r="X164" s="80" t="s">
        <v>71</v>
      </c>
      <c r="Y164" s="80">
        <v>0</v>
      </c>
      <c r="AA164">
        <f t="shared" si="10"/>
        <v>705</v>
      </c>
      <c r="AB164" t="str">
        <f t="shared" si="11"/>
        <v>TO‘RAYEVA NIGORA</v>
      </c>
      <c r="AC164" t="str">
        <f t="shared" si="12"/>
        <v>AA0190019</v>
      </c>
      <c r="AD164">
        <f t="shared" si="13"/>
        <v>8.01</v>
      </c>
      <c r="AE164">
        <f t="shared" si="14"/>
        <v>27</v>
      </c>
    </row>
    <row r="165" spans="1:31" x14ac:dyDescent="0.25">
      <c r="A165" s="80">
        <v>165</v>
      </c>
      <c r="B165" s="80">
        <v>706</v>
      </c>
      <c r="C165" s="82">
        <v>44206</v>
      </c>
      <c r="D165" s="82" t="s">
        <v>1100</v>
      </c>
      <c r="E165" s="82" t="s">
        <v>1462</v>
      </c>
      <c r="G165" s="80">
        <v>1</v>
      </c>
      <c r="H165" s="80" t="s">
        <v>151</v>
      </c>
      <c r="I165" s="80">
        <v>50</v>
      </c>
      <c r="J165" s="80">
        <v>860</v>
      </c>
      <c r="K165" s="80">
        <v>792</v>
      </c>
      <c r="L165" s="80">
        <v>860</v>
      </c>
      <c r="M165" s="73">
        <v>44206</v>
      </c>
      <c r="N165" s="80" t="b">
        <v>1</v>
      </c>
      <c r="O165" s="80">
        <v>305200768</v>
      </c>
      <c r="P165" s="80">
        <v>10.08</v>
      </c>
      <c r="Q165" s="80">
        <v>1</v>
      </c>
      <c r="R165" s="80" t="s">
        <v>3642</v>
      </c>
      <c r="S165" s="80">
        <v>727</v>
      </c>
      <c r="T165" s="80">
        <v>7275</v>
      </c>
      <c r="U165" s="85" t="s">
        <v>1461</v>
      </c>
      <c r="X165" s="80" t="s">
        <v>116</v>
      </c>
      <c r="Y165" s="80">
        <v>0</v>
      </c>
      <c r="AA165">
        <f t="shared" si="10"/>
        <v>706</v>
      </c>
      <c r="AB165" t="str">
        <f t="shared" si="11"/>
        <v>AXMEDOV JAVLONBEK</v>
      </c>
      <c r="AC165" t="str">
        <f t="shared" si="12"/>
        <v>AB0580547</v>
      </c>
      <c r="AD165">
        <f t="shared" si="13"/>
        <v>10.08</v>
      </c>
      <c r="AE165">
        <f t="shared" si="14"/>
        <v>50</v>
      </c>
    </row>
    <row r="166" spans="1:31" x14ac:dyDescent="0.25">
      <c r="A166" s="80">
        <v>166</v>
      </c>
      <c r="B166" s="80">
        <v>707</v>
      </c>
      <c r="C166" s="82">
        <v>44206</v>
      </c>
      <c r="D166" s="82" t="s">
        <v>3701</v>
      </c>
      <c r="E166" s="82" t="s">
        <v>1653</v>
      </c>
      <c r="G166" s="80">
        <v>1</v>
      </c>
      <c r="H166" s="80" t="s">
        <v>151</v>
      </c>
      <c r="I166" s="80">
        <v>37</v>
      </c>
      <c r="J166" s="80">
        <v>860</v>
      </c>
      <c r="K166" s="80">
        <v>792</v>
      </c>
      <c r="L166" s="80">
        <v>860</v>
      </c>
      <c r="M166" s="73">
        <v>44206</v>
      </c>
      <c r="N166" s="80" t="b">
        <v>1</v>
      </c>
      <c r="O166" s="80">
        <v>305200768</v>
      </c>
      <c r="P166" s="80">
        <v>16.52</v>
      </c>
      <c r="Q166" s="80">
        <v>1</v>
      </c>
      <c r="R166" s="80" t="s">
        <v>3642</v>
      </c>
      <c r="S166" s="80">
        <v>727</v>
      </c>
      <c r="T166" s="80">
        <v>7273</v>
      </c>
      <c r="U166" s="85" t="s">
        <v>3024</v>
      </c>
      <c r="X166" s="80" t="s">
        <v>116</v>
      </c>
      <c r="Y166" s="80">
        <v>0</v>
      </c>
      <c r="AA166">
        <f t="shared" si="10"/>
        <v>707</v>
      </c>
      <c r="AB166" t="str">
        <f t="shared" si="11"/>
        <v>BILOLDINOVA VAZIRA</v>
      </c>
      <c r="AC166" t="str">
        <f t="shared" si="12"/>
        <v>AB6066752</v>
      </c>
      <c r="AD166">
        <f t="shared" si="13"/>
        <v>16.52</v>
      </c>
      <c r="AE166">
        <f t="shared" si="14"/>
        <v>37</v>
      </c>
    </row>
    <row r="167" spans="1:31" x14ac:dyDescent="0.25">
      <c r="A167" s="80">
        <v>167</v>
      </c>
      <c r="B167" s="80">
        <v>708</v>
      </c>
      <c r="C167" s="82">
        <v>44206</v>
      </c>
      <c r="D167" s="82" t="s">
        <v>2978</v>
      </c>
      <c r="E167" s="82" t="s">
        <v>2709</v>
      </c>
      <c r="G167" s="80">
        <v>1</v>
      </c>
      <c r="H167" s="80" t="s">
        <v>151</v>
      </c>
      <c r="I167" s="80">
        <v>34</v>
      </c>
      <c r="J167" s="80">
        <v>860</v>
      </c>
      <c r="K167" s="80">
        <v>792</v>
      </c>
      <c r="L167" s="80">
        <v>860</v>
      </c>
      <c r="M167" s="73">
        <v>44206</v>
      </c>
      <c r="N167" s="80" t="b">
        <v>1</v>
      </c>
      <c r="O167" s="80">
        <v>305200768</v>
      </c>
      <c r="P167" s="80">
        <v>13.3</v>
      </c>
      <c r="Q167" s="80">
        <v>1</v>
      </c>
      <c r="R167" s="80" t="s">
        <v>3642</v>
      </c>
      <c r="S167" s="80">
        <v>727</v>
      </c>
      <c r="T167" s="80">
        <v>7272</v>
      </c>
      <c r="U167" s="85" t="s">
        <v>2979</v>
      </c>
      <c r="X167" s="80" t="s">
        <v>116</v>
      </c>
      <c r="Y167" s="80">
        <v>0</v>
      </c>
      <c r="AA167">
        <f t="shared" si="10"/>
        <v>708</v>
      </c>
      <c r="AB167" t="str">
        <f t="shared" si="11"/>
        <v>MATCHANOV ZAFAR</v>
      </c>
      <c r="AC167" t="str">
        <f t="shared" si="12"/>
        <v>AB9028421</v>
      </c>
      <c r="AD167">
        <f t="shared" si="13"/>
        <v>13.3</v>
      </c>
      <c r="AE167">
        <f t="shared" si="14"/>
        <v>34</v>
      </c>
    </row>
    <row r="168" spans="1:31" x14ac:dyDescent="0.25">
      <c r="A168" s="80">
        <v>168</v>
      </c>
      <c r="B168" s="80">
        <v>709</v>
      </c>
      <c r="C168" s="82">
        <v>44206</v>
      </c>
      <c r="D168" s="82" t="s">
        <v>3668</v>
      </c>
      <c r="E168" s="82" t="s">
        <v>3084</v>
      </c>
      <c r="G168" s="80">
        <v>1</v>
      </c>
      <c r="H168" s="80" t="s">
        <v>151</v>
      </c>
      <c r="I168" s="80">
        <v>34</v>
      </c>
      <c r="J168" s="80">
        <v>860</v>
      </c>
      <c r="K168" s="80">
        <v>792</v>
      </c>
      <c r="L168" s="80">
        <v>860</v>
      </c>
      <c r="M168" s="73">
        <v>44206</v>
      </c>
      <c r="N168" s="80" t="b">
        <v>1</v>
      </c>
      <c r="O168" s="80">
        <v>305200768</v>
      </c>
      <c r="P168" s="80">
        <v>12.2</v>
      </c>
      <c r="Q168" s="80">
        <v>1</v>
      </c>
      <c r="R168" s="80" t="s">
        <v>3642</v>
      </c>
      <c r="S168" s="80">
        <v>727</v>
      </c>
      <c r="T168" s="80">
        <v>7277</v>
      </c>
      <c r="U168" s="85" t="s">
        <v>2824</v>
      </c>
      <c r="X168" s="80" t="s">
        <v>71</v>
      </c>
      <c r="Y168" s="80">
        <v>0</v>
      </c>
      <c r="AA168">
        <f t="shared" si="10"/>
        <v>709</v>
      </c>
      <c r="AB168" t="str">
        <f t="shared" si="11"/>
        <v>SAYIDOVA GO‘ZAL</v>
      </c>
      <c r="AC168" t="str">
        <f t="shared" si="12"/>
        <v>AA0195226</v>
      </c>
      <c r="AD168">
        <f t="shared" si="13"/>
        <v>12.2</v>
      </c>
      <c r="AE168">
        <f t="shared" si="14"/>
        <v>34</v>
      </c>
    </row>
    <row r="169" spans="1:31" x14ac:dyDescent="0.25">
      <c r="A169" s="80">
        <v>169</v>
      </c>
      <c r="B169" s="80">
        <v>710</v>
      </c>
      <c r="C169" s="82">
        <v>44206</v>
      </c>
      <c r="D169" s="82" t="s">
        <v>695</v>
      </c>
      <c r="E169" s="82" t="s">
        <v>3659</v>
      </c>
      <c r="G169" s="80">
        <v>1</v>
      </c>
      <c r="H169" s="80" t="s">
        <v>151</v>
      </c>
      <c r="I169" s="80">
        <v>25</v>
      </c>
      <c r="J169" s="80">
        <v>860</v>
      </c>
      <c r="K169" s="80">
        <v>792</v>
      </c>
      <c r="L169" s="80">
        <v>860</v>
      </c>
      <c r="M169" s="73">
        <v>44206</v>
      </c>
      <c r="N169" s="80" t="b">
        <v>1</v>
      </c>
      <c r="O169" s="80">
        <v>305200768</v>
      </c>
      <c r="P169" s="80">
        <v>9.5</v>
      </c>
      <c r="Q169" s="80">
        <v>1</v>
      </c>
      <c r="R169" s="80" t="s">
        <v>3642</v>
      </c>
      <c r="S169" s="80">
        <v>727</v>
      </c>
      <c r="T169" s="80">
        <v>7278</v>
      </c>
      <c r="U169" s="85" t="s">
        <v>2683</v>
      </c>
      <c r="X169" s="80" t="s">
        <v>71</v>
      </c>
      <c r="Y169" s="80">
        <v>0</v>
      </c>
      <c r="AA169">
        <f t="shared" si="10"/>
        <v>710</v>
      </c>
      <c r="AB169" t="str">
        <f t="shared" si="11"/>
        <v>YULDASHEV IXLOSBEK</v>
      </c>
      <c r="AC169" t="str">
        <f t="shared" si="12"/>
        <v>AA9240085</v>
      </c>
      <c r="AD169">
        <f t="shared" si="13"/>
        <v>9.5</v>
      </c>
      <c r="AE169">
        <f t="shared" si="14"/>
        <v>25</v>
      </c>
    </row>
    <row r="170" spans="1:31" x14ac:dyDescent="0.25">
      <c r="A170" s="80">
        <v>170</v>
      </c>
      <c r="B170" s="80">
        <v>711</v>
      </c>
      <c r="C170" s="82">
        <v>44206</v>
      </c>
      <c r="D170" s="82" t="s">
        <v>3704</v>
      </c>
      <c r="E170" s="82" t="s">
        <v>1647</v>
      </c>
      <c r="G170" s="80">
        <v>1</v>
      </c>
      <c r="H170" s="80" t="s">
        <v>151</v>
      </c>
      <c r="I170" s="80">
        <v>18</v>
      </c>
      <c r="J170" s="80">
        <v>860</v>
      </c>
      <c r="K170" s="80">
        <v>792</v>
      </c>
      <c r="L170" s="80">
        <v>860</v>
      </c>
      <c r="M170" s="73">
        <v>44206</v>
      </c>
      <c r="N170" s="80" t="b">
        <v>1</v>
      </c>
      <c r="O170" s="80">
        <v>305200768</v>
      </c>
      <c r="P170" s="80">
        <v>5.6999999999999993</v>
      </c>
      <c r="Q170" s="80">
        <v>1</v>
      </c>
      <c r="R170" s="80" t="s">
        <v>3642</v>
      </c>
      <c r="S170" s="80">
        <v>727</v>
      </c>
      <c r="T170" s="80">
        <v>7275</v>
      </c>
      <c r="U170" s="85" t="s">
        <v>3640</v>
      </c>
      <c r="X170" s="80" t="s">
        <v>116</v>
      </c>
      <c r="Y170" s="80">
        <v>0</v>
      </c>
      <c r="AA170">
        <f t="shared" si="10"/>
        <v>711</v>
      </c>
      <c r="AB170" t="str">
        <f t="shared" si="11"/>
        <v>SODIKOV OTABEK</v>
      </c>
      <c r="AC170" t="str">
        <f t="shared" si="12"/>
        <v>AB7858719</v>
      </c>
      <c r="AD170">
        <f t="shared" si="13"/>
        <v>5.6999999999999993</v>
      </c>
      <c r="AE170">
        <f t="shared" si="14"/>
        <v>18</v>
      </c>
    </row>
    <row r="171" spans="1:31" x14ac:dyDescent="0.25">
      <c r="A171" s="80">
        <v>171</v>
      </c>
      <c r="B171" s="80">
        <v>712</v>
      </c>
      <c r="C171" s="82">
        <v>44206</v>
      </c>
      <c r="D171" s="82" t="s">
        <v>3706</v>
      </c>
      <c r="E171" s="82" t="s">
        <v>3664</v>
      </c>
      <c r="G171" s="80">
        <v>1</v>
      </c>
      <c r="H171" s="80" t="s">
        <v>151</v>
      </c>
      <c r="I171" s="80">
        <v>20</v>
      </c>
      <c r="J171" s="80">
        <v>860</v>
      </c>
      <c r="K171" s="80">
        <v>792</v>
      </c>
      <c r="L171" s="80">
        <v>860</v>
      </c>
      <c r="M171" s="73">
        <v>44206</v>
      </c>
      <c r="N171" s="80" t="b">
        <v>1</v>
      </c>
      <c r="O171" s="80">
        <v>305200768</v>
      </c>
      <c r="P171" s="80">
        <v>16</v>
      </c>
      <c r="Q171" s="80">
        <v>1</v>
      </c>
      <c r="R171" s="80" t="s">
        <v>3642</v>
      </c>
      <c r="S171" s="80">
        <v>727</v>
      </c>
      <c r="T171" s="80">
        <v>7278</v>
      </c>
      <c r="U171" s="85" t="s">
        <v>2497</v>
      </c>
      <c r="X171" s="80" t="s">
        <v>116</v>
      </c>
      <c r="Y171" s="80">
        <v>0</v>
      </c>
      <c r="AA171">
        <f t="shared" si="10"/>
        <v>712</v>
      </c>
      <c r="AB171" t="str">
        <f t="shared" si="11"/>
        <v>URUNBAYEV DJASUR</v>
      </c>
      <c r="AC171" t="str">
        <f t="shared" si="12"/>
        <v>AB9345884</v>
      </c>
      <c r="AD171">
        <f t="shared" si="13"/>
        <v>16</v>
      </c>
      <c r="AE171">
        <f t="shared" si="14"/>
        <v>20</v>
      </c>
    </row>
    <row r="172" spans="1:31" x14ac:dyDescent="0.25">
      <c r="A172" s="80">
        <v>172</v>
      </c>
      <c r="B172" s="80">
        <v>713</v>
      </c>
      <c r="C172" s="82">
        <v>44206</v>
      </c>
      <c r="D172" s="82" t="s">
        <v>1520</v>
      </c>
      <c r="E172" s="82" t="s">
        <v>295</v>
      </c>
      <c r="G172" s="80">
        <v>1</v>
      </c>
      <c r="H172" s="80" t="s">
        <v>151</v>
      </c>
      <c r="I172" s="80">
        <v>44</v>
      </c>
      <c r="J172" s="80">
        <v>860</v>
      </c>
      <c r="K172" s="80">
        <v>792</v>
      </c>
      <c r="L172" s="80">
        <v>860</v>
      </c>
      <c r="M172" s="73">
        <v>44206</v>
      </c>
      <c r="N172" s="80" t="b">
        <v>1</v>
      </c>
      <c r="O172" s="80">
        <v>305200768</v>
      </c>
      <c r="P172" s="80">
        <v>15.12</v>
      </c>
      <c r="Q172" s="80">
        <v>1</v>
      </c>
      <c r="R172" s="80" t="s">
        <v>3642</v>
      </c>
      <c r="S172" s="80">
        <v>727</v>
      </c>
      <c r="T172" s="80">
        <v>7278</v>
      </c>
      <c r="U172" s="85" t="s">
        <v>936</v>
      </c>
      <c r="X172" s="80" t="s">
        <v>71</v>
      </c>
      <c r="Y172" s="80">
        <v>0</v>
      </c>
      <c r="AA172">
        <f t="shared" si="10"/>
        <v>713</v>
      </c>
      <c r="AB172" t="str">
        <f t="shared" si="11"/>
        <v>XAYDAROVA DILOROM</v>
      </c>
      <c r="AC172" t="str">
        <f t="shared" si="12"/>
        <v>AA7642441</v>
      </c>
      <c r="AD172">
        <f t="shared" si="13"/>
        <v>15.12</v>
      </c>
      <c r="AE172">
        <f t="shared" si="14"/>
        <v>44</v>
      </c>
    </row>
    <row r="173" spans="1:31" x14ac:dyDescent="0.25">
      <c r="A173" s="80">
        <v>173</v>
      </c>
      <c r="B173" s="80">
        <v>714</v>
      </c>
      <c r="C173" s="82">
        <v>44206</v>
      </c>
      <c r="D173" s="82" t="s">
        <v>202</v>
      </c>
      <c r="E173" s="82" t="s">
        <v>2069</v>
      </c>
      <c r="G173" s="80">
        <v>1</v>
      </c>
      <c r="H173" s="80" t="s">
        <v>151</v>
      </c>
      <c r="I173" s="80">
        <v>33</v>
      </c>
      <c r="J173" s="80">
        <v>860</v>
      </c>
      <c r="K173" s="80">
        <v>792</v>
      </c>
      <c r="L173" s="80">
        <v>860</v>
      </c>
      <c r="M173" s="73">
        <v>44206</v>
      </c>
      <c r="N173" s="80" t="b">
        <v>1</v>
      </c>
      <c r="O173" s="80">
        <v>305200768</v>
      </c>
      <c r="P173" s="80">
        <v>8.1199999999999992</v>
      </c>
      <c r="Q173" s="80">
        <v>1</v>
      </c>
      <c r="R173" s="80" t="s">
        <v>3642</v>
      </c>
      <c r="S173" s="80">
        <v>727</v>
      </c>
      <c r="T173" s="80">
        <v>7274</v>
      </c>
      <c r="U173" s="85" t="s">
        <v>2068</v>
      </c>
      <c r="X173" s="80" t="s">
        <v>71</v>
      </c>
      <c r="Y173" s="80">
        <v>0</v>
      </c>
      <c r="AA173">
        <f t="shared" si="10"/>
        <v>714</v>
      </c>
      <c r="AB173" t="str">
        <f t="shared" si="11"/>
        <v>ASHUROV SARDORBEK</v>
      </c>
      <c r="AC173" t="str">
        <f t="shared" si="12"/>
        <v>AA1903309</v>
      </c>
      <c r="AD173">
        <f t="shared" si="13"/>
        <v>8.1199999999999992</v>
      </c>
      <c r="AE173">
        <f t="shared" si="14"/>
        <v>33</v>
      </c>
    </row>
    <row r="174" spans="1:31" x14ac:dyDescent="0.25">
      <c r="A174" s="80">
        <v>174</v>
      </c>
      <c r="B174" s="80">
        <v>715</v>
      </c>
      <c r="C174" s="82">
        <v>44206</v>
      </c>
      <c r="D174" s="82" t="s">
        <v>3121</v>
      </c>
      <c r="E174" s="82" t="s">
        <v>3122</v>
      </c>
      <c r="G174" s="80">
        <v>1</v>
      </c>
      <c r="H174" s="80" t="s">
        <v>151</v>
      </c>
      <c r="I174" s="80">
        <v>32</v>
      </c>
      <c r="J174" s="80">
        <v>860</v>
      </c>
      <c r="K174" s="80">
        <v>792</v>
      </c>
      <c r="L174" s="80">
        <v>860</v>
      </c>
      <c r="M174" s="73">
        <v>44206</v>
      </c>
      <c r="N174" s="80" t="b">
        <v>1</v>
      </c>
      <c r="O174" s="80">
        <v>305200768</v>
      </c>
      <c r="P174" s="80">
        <v>9</v>
      </c>
      <c r="Q174" s="80">
        <v>1</v>
      </c>
      <c r="R174" s="80" t="s">
        <v>3642</v>
      </c>
      <c r="S174" s="80">
        <v>727</v>
      </c>
      <c r="T174" s="80">
        <v>7278</v>
      </c>
      <c r="U174" s="85" t="s">
        <v>3641</v>
      </c>
      <c r="X174" s="80" t="s">
        <v>71</v>
      </c>
      <c r="Y174" s="80">
        <v>0</v>
      </c>
      <c r="AA174">
        <f t="shared" si="10"/>
        <v>715</v>
      </c>
      <c r="AB174" t="str">
        <f t="shared" si="11"/>
        <v>QULDASHEVA MARXOBOXON</v>
      </c>
      <c r="AC174" t="str">
        <f t="shared" si="12"/>
        <v>AA5486533</v>
      </c>
      <c r="AD174">
        <f t="shared" si="13"/>
        <v>9</v>
      </c>
      <c r="AE174">
        <f t="shared" si="14"/>
        <v>32</v>
      </c>
    </row>
    <row r="175" spans="1:31" x14ac:dyDescent="0.25">
      <c r="A175" s="80">
        <v>175</v>
      </c>
      <c r="B175" s="80">
        <v>716</v>
      </c>
      <c r="C175" s="82">
        <v>44206</v>
      </c>
      <c r="D175" s="82" t="s">
        <v>138</v>
      </c>
      <c r="E175" s="82" t="s">
        <v>3084</v>
      </c>
      <c r="G175" s="80">
        <v>1</v>
      </c>
      <c r="H175" s="80" t="s">
        <v>151</v>
      </c>
      <c r="I175" s="80">
        <v>16</v>
      </c>
      <c r="J175" s="80">
        <v>860</v>
      </c>
      <c r="K175" s="80">
        <v>792</v>
      </c>
      <c r="L175" s="80">
        <v>860</v>
      </c>
      <c r="M175" s="73">
        <v>44206</v>
      </c>
      <c r="N175" s="80" t="b">
        <v>1</v>
      </c>
      <c r="O175" s="80">
        <v>305200768</v>
      </c>
      <c r="P175" s="80">
        <v>5</v>
      </c>
      <c r="Q175" s="80">
        <v>1</v>
      </c>
      <c r="R175" s="80" t="s">
        <v>3642</v>
      </c>
      <c r="S175" s="80">
        <v>727</v>
      </c>
      <c r="T175" s="80">
        <v>7278</v>
      </c>
      <c r="U175" s="85" t="s">
        <v>140</v>
      </c>
      <c r="X175" s="80" t="s">
        <v>116</v>
      </c>
      <c r="Y175" s="80">
        <v>0</v>
      </c>
      <c r="AA175">
        <f t="shared" si="10"/>
        <v>716</v>
      </c>
      <c r="AB175" t="str">
        <f t="shared" si="11"/>
        <v>YUSUPOVA GO‘ZAL</v>
      </c>
      <c r="AC175" t="str">
        <f t="shared" si="12"/>
        <v>AB6341687</v>
      </c>
      <c r="AD175">
        <f t="shared" si="13"/>
        <v>5</v>
      </c>
      <c r="AE175">
        <f t="shared" si="14"/>
        <v>16</v>
      </c>
    </row>
    <row r="176" spans="1:31" x14ac:dyDescent="0.25">
      <c r="A176" s="80">
        <v>176</v>
      </c>
      <c r="B176" s="80">
        <v>717</v>
      </c>
      <c r="C176" s="82">
        <v>44381</v>
      </c>
      <c r="D176" s="82" t="s">
        <v>2334</v>
      </c>
      <c r="E176" s="82" t="s">
        <v>2335</v>
      </c>
      <c r="G176" s="80">
        <v>1</v>
      </c>
      <c r="H176" s="80" t="s">
        <v>151</v>
      </c>
      <c r="I176" s="80">
        <v>17</v>
      </c>
      <c r="J176" s="80">
        <v>860</v>
      </c>
      <c r="K176" s="80">
        <v>792</v>
      </c>
      <c r="L176" s="80">
        <v>860</v>
      </c>
      <c r="M176" s="73">
        <v>44381</v>
      </c>
      <c r="N176" s="80" t="b">
        <v>1</v>
      </c>
      <c r="O176" s="80">
        <v>305200768</v>
      </c>
      <c r="P176" s="80">
        <v>5</v>
      </c>
      <c r="Q176" s="80">
        <v>1</v>
      </c>
      <c r="R176" s="80" t="s">
        <v>3710</v>
      </c>
      <c r="S176" s="80">
        <v>727</v>
      </c>
      <c r="T176" s="80">
        <v>7271</v>
      </c>
      <c r="U176" s="85" t="s">
        <v>2333</v>
      </c>
      <c r="X176" s="80" t="s">
        <v>71</v>
      </c>
      <c r="Y176" s="80">
        <v>0</v>
      </c>
    </row>
  </sheetData>
  <phoneticPr fontId="5" type="noConversion"/>
  <pageMargins left="0.7" right="0.7" top="0.75" bottom="0.75" header="0.3" footer="0.3"/>
  <pageSetup orientation="portrait" horizontalDpi="4294967293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A043D-8036-49D4-8637-433EEEDD505C}">
  <sheetPr codeName="Sheet7"/>
  <dimension ref="A1:K1135"/>
  <sheetViews>
    <sheetView zoomScale="145" zoomScaleNormal="145" workbookViewId="0">
      <pane xSplit="1" ySplit="1" topLeftCell="B1109" activePane="bottomRight" state="frozen"/>
      <selection pane="topRight" activeCell="B1" sqref="B1"/>
      <selection pane="bottomLeft" activeCell="A2" sqref="A2"/>
      <selection pane="bottomRight" activeCell="D1130" sqref="D1130"/>
    </sheetView>
  </sheetViews>
  <sheetFormatPr defaultRowHeight="15" x14ac:dyDescent="0.25"/>
  <cols>
    <col min="1" max="3" width="9.28515625" style="80" customWidth="1"/>
    <col min="4" max="4" width="22.85546875" style="80" bestFit="1" customWidth="1"/>
    <col min="5" max="11" width="9.28515625" style="80" customWidth="1"/>
  </cols>
  <sheetData>
    <row r="1" spans="1:11" x14ac:dyDescent="0.25">
      <c r="A1" s="80" t="s">
        <v>48</v>
      </c>
      <c r="B1" s="80" t="s">
        <v>49</v>
      </c>
      <c r="C1" s="80" t="s">
        <v>50</v>
      </c>
      <c r="D1" s="80" t="s">
        <v>11</v>
      </c>
      <c r="E1" s="80" t="s">
        <v>51</v>
      </c>
      <c r="F1" s="80" t="s">
        <v>52</v>
      </c>
      <c r="G1" s="80" t="s">
        <v>53</v>
      </c>
      <c r="H1" s="80" t="s">
        <v>54</v>
      </c>
      <c r="I1" s="80" t="s">
        <v>55</v>
      </c>
      <c r="J1" s="80" t="s">
        <v>56</v>
      </c>
      <c r="K1" s="80" t="s">
        <v>47</v>
      </c>
    </row>
    <row r="2" spans="1:11" x14ac:dyDescent="0.25">
      <c r="A2" s="80">
        <v>1</v>
      </c>
      <c r="B2" s="80">
        <v>2</v>
      </c>
      <c r="C2" s="80">
        <v>1</v>
      </c>
      <c r="D2" s="80" t="s">
        <v>3258</v>
      </c>
      <c r="E2" s="80">
        <v>796</v>
      </c>
      <c r="F2" s="80">
        <v>0.63</v>
      </c>
      <c r="G2" s="80">
        <v>3</v>
      </c>
      <c r="H2" s="80">
        <v>6</v>
      </c>
      <c r="I2" s="80">
        <v>840</v>
      </c>
    </row>
    <row r="3" spans="1:11" x14ac:dyDescent="0.25">
      <c r="A3" s="80">
        <v>2</v>
      </c>
      <c r="B3" s="80">
        <v>2</v>
      </c>
      <c r="C3" s="80">
        <v>2</v>
      </c>
      <c r="D3" s="80" t="s">
        <v>3259</v>
      </c>
      <c r="E3" s="80">
        <v>796</v>
      </c>
      <c r="F3" s="80">
        <v>0.63</v>
      </c>
      <c r="G3" s="80">
        <v>2</v>
      </c>
      <c r="H3" s="80">
        <v>2</v>
      </c>
      <c r="I3" s="80">
        <v>840</v>
      </c>
    </row>
    <row r="4" spans="1:11" x14ac:dyDescent="0.25">
      <c r="A4" s="80">
        <v>3</v>
      </c>
      <c r="B4" s="80">
        <v>2</v>
      </c>
      <c r="C4" s="80">
        <v>3</v>
      </c>
      <c r="D4" s="80" t="s">
        <v>3260</v>
      </c>
      <c r="E4" s="80">
        <v>796</v>
      </c>
      <c r="F4" s="80">
        <v>0.63</v>
      </c>
      <c r="G4" s="80">
        <v>1</v>
      </c>
      <c r="H4" s="80">
        <v>2</v>
      </c>
      <c r="I4" s="80">
        <v>840</v>
      </c>
    </row>
    <row r="5" spans="1:11" x14ac:dyDescent="0.25">
      <c r="A5" s="80">
        <v>4</v>
      </c>
      <c r="B5" s="80">
        <v>2</v>
      </c>
      <c r="C5" s="80">
        <v>4</v>
      </c>
      <c r="D5" s="80" t="s">
        <v>3261</v>
      </c>
      <c r="E5" s="80">
        <v>796</v>
      </c>
      <c r="F5" s="80">
        <v>0.63</v>
      </c>
      <c r="G5" s="80">
        <v>1</v>
      </c>
      <c r="H5" s="80">
        <v>2</v>
      </c>
      <c r="I5" s="80">
        <v>840</v>
      </c>
    </row>
    <row r="6" spans="1:11" x14ac:dyDescent="0.25">
      <c r="A6" s="80">
        <v>5</v>
      </c>
      <c r="B6" s="80">
        <v>2</v>
      </c>
      <c r="C6" s="80">
        <v>5</v>
      </c>
      <c r="D6" s="80" t="s">
        <v>3262</v>
      </c>
      <c r="E6" s="80">
        <v>796</v>
      </c>
      <c r="F6" s="80">
        <v>0.63</v>
      </c>
      <c r="G6" s="80">
        <v>3</v>
      </c>
      <c r="H6" s="80">
        <v>6</v>
      </c>
      <c r="I6" s="80">
        <v>840</v>
      </c>
    </row>
    <row r="7" spans="1:11" x14ac:dyDescent="0.25">
      <c r="A7" s="80">
        <v>6</v>
      </c>
      <c r="B7" s="80">
        <v>2</v>
      </c>
      <c r="C7" s="80">
        <v>6</v>
      </c>
      <c r="D7" s="80" t="s">
        <v>3263</v>
      </c>
      <c r="E7" s="80">
        <v>796</v>
      </c>
      <c r="F7" s="80">
        <v>0.63</v>
      </c>
      <c r="G7" s="80">
        <v>1</v>
      </c>
      <c r="H7" s="80">
        <v>1</v>
      </c>
      <c r="I7" s="80">
        <v>840</v>
      </c>
    </row>
    <row r="8" spans="1:11" x14ac:dyDescent="0.25">
      <c r="A8" s="80">
        <v>7</v>
      </c>
      <c r="B8" s="80">
        <v>2</v>
      </c>
      <c r="C8" s="80">
        <v>7</v>
      </c>
      <c r="D8" s="80" t="s">
        <v>3264</v>
      </c>
      <c r="E8" s="80">
        <v>796</v>
      </c>
      <c r="F8" s="80">
        <v>0.63</v>
      </c>
      <c r="G8" s="80">
        <v>3</v>
      </c>
      <c r="H8" s="80">
        <v>6</v>
      </c>
      <c r="I8" s="80">
        <v>840</v>
      </c>
    </row>
    <row r="9" spans="1:11" x14ac:dyDescent="0.25">
      <c r="A9" s="80">
        <v>8</v>
      </c>
      <c r="B9" s="80">
        <v>3</v>
      </c>
      <c r="C9" s="80">
        <v>1</v>
      </c>
      <c r="D9" s="80" t="s">
        <v>3263</v>
      </c>
      <c r="E9" s="80">
        <v>796</v>
      </c>
      <c r="F9" s="80">
        <v>0.66</v>
      </c>
      <c r="G9" s="80">
        <v>1</v>
      </c>
      <c r="H9" s="80">
        <v>1</v>
      </c>
      <c r="I9" s="80">
        <v>840</v>
      </c>
    </row>
    <row r="10" spans="1:11" x14ac:dyDescent="0.25">
      <c r="A10" s="80">
        <v>9</v>
      </c>
      <c r="B10" s="80">
        <v>3</v>
      </c>
      <c r="C10" s="80">
        <v>2</v>
      </c>
      <c r="D10" s="80" t="s">
        <v>3265</v>
      </c>
      <c r="E10" s="80">
        <v>796</v>
      </c>
      <c r="F10" s="80">
        <v>0.66</v>
      </c>
      <c r="G10" s="80">
        <v>1</v>
      </c>
      <c r="H10" s="80">
        <v>1</v>
      </c>
      <c r="I10" s="80">
        <v>840</v>
      </c>
    </row>
    <row r="11" spans="1:11" x14ac:dyDescent="0.25">
      <c r="A11" s="80">
        <v>10</v>
      </c>
      <c r="B11" s="80">
        <v>3</v>
      </c>
      <c r="C11" s="80">
        <v>3</v>
      </c>
      <c r="D11" s="80" t="s">
        <v>3266</v>
      </c>
      <c r="E11" s="80">
        <v>796</v>
      </c>
      <c r="F11" s="80">
        <v>0.66</v>
      </c>
      <c r="G11" s="80">
        <v>1</v>
      </c>
      <c r="H11" s="80">
        <v>1</v>
      </c>
      <c r="I11" s="80">
        <v>840</v>
      </c>
    </row>
    <row r="12" spans="1:11" x14ac:dyDescent="0.25">
      <c r="A12" s="80">
        <v>11</v>
      </c>
      <c r="B12" s="80">
        <v>3</v>
      </c>
      <c r="C12" s="80">
        <v>4</v>
      </c>
      <c r="D12" s="80" t="s">
        <v>3267</v>
      </c>
      <c r="E12" s="80">
        <v>796</v>
      </c>
      <c r="F12" s="80">
        <v>0.66</v>
      </c>
      <c r="G12" s="80">
        <v>2</v>
      </c>
      <c r="H12" s="80">
        <v>4</v>
      </c>
      <c r="I12" s="80">
        <v>840</v>
      </c>
    </row>
    <row r="13" spans="1:11" x14ac:dyDescent="0.25">
      <c r="A13" s="80">
        <v>12</v>
      </c>
      <c r="B13" s="80">
        <v>3</v>
      </c>
      <c r="C13" s="80">
        <v>5</v>
      </c>
      <c r="D13" s="80" t="s">
        <v>3268</v>
      </c>
      <c r="E13" s="80">
        <v>796</v>
      </c>
      <c r="F13" s="80">
        <v>0.66</v>
      </c>
      <c r="G13" s="80">
        <v>2</v>
      </c>
      <c r="H13" s="80">
        <v>4</v>
      </c>
      <c r="I13" s="80">
        <v>840</v>
      </c>
    </row>
    <row r="14" spans="1:11" x14ac:dyDescent="0.25">
      <c r="A14" s="80">
        <v>13</v>
      </c>
      <c r="B14" s="80">
        <v>3</v>
      </c>
      <c r="C14" s="80">
        <v>6</v>
      </c>
      <c r="D14" s="80" t="s">
        <v>3258</v>
      </c>
      <c r="E14" s="80">
        <v>796</v>
      </c>
      <c r="F14" s="80">
        <v>0.66</v>
      </c>
      <c r="G14" s="80">
        <v>1</v>
      </c>
      <c r="H14" s="80">
        <v>1</v>
      </c>
      <c r="I14" s="80">
        <v>840</v>
      </c>
    </row>
    <row r="15" spans="1:11" x14ac:dyDescent="0.25">
      <c r="A15" s="80">
        <v>14</v>
      </c>
      <c r="B15" s="80">
        <v>3</v>
      </c>
      <c r="C15" s="80">
        <v>7</v>
      </c>
      <c r="D15" s="80" t="s">
        <v>3260</v>
      </c>
      <c r="E15" s="80">
        <v>796</v>
      </c>
      <c r="F15" s="80">
        <v>0.66</v>
      </c>
      <c r="G15" s="80">
        <v>3</v>
      </c>
      <c r="H15" s="80">
        <v>3</v>
      </c>
      <c r="I15" s="80">
        <v>840</v>
      </c>
    </row>
    <row r="16" spans="1:11" x14ac:dyDescent="0.25">
      <c r="A16" s="80">
        <v>15</v>
      </c>
      <c r="B16" s="80">
        <v>4</v>
      </c>
      <c r="C16" s="80">
        <v>1</v>
      </c>
      <c r="D16" s="80" t="s">
        <v>3269</v>
      </c>
      <c r="E16" s="80">
        <v>796</v>
      </c>
      <c r="F16" s="80">
        <v>6.35</v>
      </c>
      <c r="G16" s="80">
        <v>2</v>
      </c>
      <c r="H16" s="80">
        <v>2</v>
      </c>
      <c r="I16" s="80">
        <v>840</v>
      </c>
    </row>
    <row r="17" spans="1:9" x14ac:dyDescent="0.25">
      <c r="A17" s="80">
        <v>16</v>
      </c>
      <c r="B17" s="80">
        <v>4</v>
      </c>
      <c r="C17" s="80">
        <v>2</v>
      </c>
      <c r="D17" s="80" t="s">
        <v>3270</v>
      </c>
      <c r="E17" s="80">
        <v>796</v>
      </c>
      <c r="F17" s="80">
        <v>6.35</v>
      </c>
      <c r="G17" s="80">
        <v>3</v>
      </c>
      <c r="H17" s="80">
        <v>6</v>
      </c>
      <c r="I17" s="80">
        <v>840</v>
      </c>
    </row>
    <row r="18" spans="1:9" x14ac:dyDescent="0.25">
      <c r="A18" s="80">
        <v>17</v>
      </c>
      <c r="B18" s="80">
        <v>5</v>
      </c>
      <c r="C18" s="80">
        <v>1</v>
      </c>
      <c r="D18" s="80" t="s">
        <v>3272</v>
      </c>
      <c r="E18" s="80">
        <v>796</v>
      </c>
      <c r="F18" s="80">
        <v>4.92</v>
      </c>
      <c r="G18" s="80">
        <v>1</v>
      </c>
      <c r="H18" s="80">
        <v>1</v>
      </c>
      <c r="I18" s="80">
        <v>840</v>
      </c>
    </row>
    <row r="19" spans="1:9" x14ac:dyDescent="0.25">
      <c r="A19" s="80">
        <v>18</v>
      </c>
      <c r="B19" s="80">
        <v>5</v>
      </c>
      <c r="C19" s="80">
        <v>2</v>
      </c>
      <c r="D19" s="80" t="s">
        <v>3273</v>
      </c>
      <c r="E19" s="80">
        <v>796</v>
      </c>
      <c r="F19" s="80">
        <v>4.92</v>
      </c>
      <c r="G19" s="80">
        <v>1</v>
      </c>
      <c r="H19" s="80">
        <v>2</v>
      </c>
      <c r="I19" s="80">
        <v>840</v>
      </c>
    </row>
    <row r="20" spans="1:9" x14ac:dyDescent="0.25">
      <c r="A20" s="80">
        <v>19</v>
      </c>
      <c r="B20" s="80">
        <v>5</v>
      </c>
      <c r="C20" s="80">
        <v>3</v>
      </c>
      <c r="D20" s="80" t="s">
        <v>3274</v>
      </c>
      <c r="E20" s="80">
        <v>796</v>
      </c>
      <c r="F20" s="80">
        <v>4.92</v>
      </c>
      <c r="G20" s="80">
        <v>3</v>
      </c>
      <c r="H20" s="80">
        <v>3</v>
      </c>
      <c r="I20" s="80">
        <v>840</v>
      </c>
    </row>
    <row r="21" spans="1:9" x14ac:dyDescent="0.25">
      <c r="A21" s="80">
        <v>20</v>
      </c>
      <c r="B21" s="80">
        <v>5</v>
      </c>
      <c r="C21" s="80">
        <v>4</v>
      </c>
      <c r="D21" s="80" t="s">
        <v>3275</v>
      </c>
      <c r="E21" s="80">
        <v>796</v>
      </c>
      <c r="F21" s="80">
        <v>4.92</v>
      </c>
      <c r="G21" s="80">
        <v>3</v>
      </c>
      <c r="H21" s="80">
        <v>3</v>
      </c>
      <c r="I21" s="80">
        <v>840</v>
      </c>
    </row>
    <row r="22" spans="1:9" x14ac:dyDescent="0.25">
      <c r="A22" s="80">
        <v>21</v>
      </c>
      <c r="B22" s="80">
        <v>5</v>
      </c>
      <c r="C22" s="80">
        <v>5</v>
      </c>
      <c r="D22" s="80" t="s">
        <v>3276</v>
      </c>
      <c r="E22" s="80">
        <v>796</v>
      </c>
      <c r="F22" s="80">
        <v>4.92</v>
      </c>
      <c r="G22" s="80">
        <v>1</v>
      </c>
      <c r="H22" s="80">
        <v>1</v>
      </c>
      <c r="I22" s="80">
        <v>840</v>
      </c>
    </row>
    <row r="23" spans="1:9" x14ac:dyDescent="0.25">
      <c r="A23" s="80">
        <v>22</v>
      </c>
      <c r="B23" s="80">
        <v>5</v>
      </c>
      <c r="C23" s="80">
        <v>6</v>
      </c>
      <c r="D23" s="80" t="s">
        <v>3277</v>
      </c>
      <c r="E23" s="80">
        <v>796</v>
      </c>
      <c r="F23" s="80">
        <v>4.92</v>
      </c>
      <c r="G23" s="80">
        <v>1</v>
      </c>
      <c r="H23" s="80">
        <v>2</v>
      </c>
      <c r="I23" s="80">
        <v>840</v>
      </c>
    </row>
    <row r="24" spans="1:9" x14ac:dyDescent="0.25">
      <c r="A24" s="80">
        <v>23</v>
      </c>
      <c r="B24" s="80">
        <v>6</v>
      </c>
      <c r="C24" s="80">
        <v>1</v>
      </c>
      <c r="D24" s="80" t="s">
        <v>3272</v>
      </c>
      <c r="E24" s="80">
        <v>796</v>
      </c>
      <c r="F24" s="80">
        <v>3.75</v>
      </c>
      <c r="G24" s="80">
        <v>1</v>
      </c>
      <c r="H24" s="80">
        <v>1</v>
      </c>
      <c r="I24" s="80">
        <v>840</v>
      </c>
    </row>
    <row r="25" spans="1:9" x14ac:dyDescent="0.25">
      <c r="A25" s="80">
        <v>24</v>
      </c>
      <c r="B25" s="80">
        <v>6</v>
      </c>
      <c r="C25" s="80">
        <v>2</v>
      </c>
      <c r="D25" s="80" t="s">
        <v>3273</v>
      </c>
      <c r="E25" s="80">
        <v>796</v>
      </c>
      <c r="F25" s="80">
        <v>3.75</v>
      </c>
      <c r="G25" s="80">
        <v>2</v>
      </c>
      <c r="H25" s="80">
        <v>2</v>
      </c>
      <c r="I25" s="80">
        <v>840</v>
      </c>
    </row>
    <row r="26" spans="1:9" x14ac:dyDescent="0.25">
      <c r="A26" s="80">
        <v>25</v>
      </c>
      <c r="B26" s="80">
        <v>6</v>
      </c>
      <c r="C26" s="80">
        <v>3</v>
      </c>
      <c r="D26" s="80" t="s">
        <v>3274</v>
      </c>
      <c r="E26" s="80">
        <v>796</v>
      </c>
      <c r="F26" s="80">
        <v>3.75</v>
      </c>
      <c r="G26" s="80">
        <v>2</v>
      </c>
      <c r="H26" s="80">
        <v>2</v>
      </c>
      <c r="I26" s="80">
        <v>840</v>
      </c>
    </row>
    <row r="27" spans="1:9" x14ac:dyDescent="0.25">
      <c r="A27" s="80">
        <v>26</v>
      </c>
      <c r="B27" s="80">
        <v>6</v>
      </c>
      <c r="C27" s="80">
        <v>4</v>
      </c>
      <c r="D27" s="80" t="s">
        <v>3275</v>
      </c>
      <c r="E27" s="80">
        <v>796</v>
      </c>
      <c r="F27" s="80">
        <v>3.75</v>
      </c>
      <c r="G27" s="80">
        <v>2</v>
      </c>
      <c r="H27" s="80">
        <v>2</v>
      </c>
      <c r="I27" s="80">
        <v>840</v>
      </c>
    </row>
    <row r="28" spans="1:9" x14ac:dyDescent="0.25">
      <c r="A28" s="80">
        <v>27</v>
      </c>
      <c r="B28" s="80">
        <v>6</v>
      </c>
      <c r="C28" s="80">
        <v>5</v>
      </c>
      <c r="D28" s="80" t="s">
        <v>3276</v>
      </c>
      <c r="E28" s="80">
        <v>796</v>
      </c>
      <c r="F28" s="80">
        <v>3.75</v>
      </c>
      <c r="G28" s="80">
        <v>3</v>
      </c>
      <c r="H28" s="80">
        <v>6</v>
      </c>
      <c r="I28" s="80">
        <v>840</v>
      </c>
    </row>
    <row r="29" spans="1:9" x14ac:dyDescent="0.25">
      <c r="A29" s="80">
        <v>28</v>
      </c>
      <c r="B29" s="80">
        <v>6</v>
      </c>
      <c r="C29" s="80">
        <v>6</v>
      </c>
      <c r="D29" s="80" t="s">
        <v>3277</v>
      </c>
      <c r="E29" s="80">
        <v>796</v>
      </c>
      <c r="F29" s="80">
        <v>3.75</v>
      </c>
      <c r="G29" s="80">
        <v>3</v>
      </c>
      <c r="H29" s="80">
        <v>6</v>
      </c>
      <c r="I29" s="80">
        <v>840</v>
      </c>
    </row>
    <row r="30" spans="1:9" x14ac:dyDescent="0.25">
      <c r="A30" s="80">
        <v>29</v>
      </c>
      <c r="B30" s="80">
        <v>7</v>
      </c>
      <c r="C30" s="80">
        <v>1</v>
      </c>
      <c r="D30" s="80" t="s">
        <v>3273</v>
      </c>
      <c r="E30" s="80">
        <v>796</v>
      </c>
      <c r="F30" s="80">
        <v>3.93</v>
      </c>
      <c r="G30" s="80">
        <v>1</v>
      </c>
      <c r="H30" s="80">
        <v>2</v>
      </c>
      <c r="I30" s="80">
        <v>840</v>
      </c>
    </row>
    <row r="31" spans="1:9" x14ac:dyDescent="0.25">
      <c r="A31" s="80">
        <v>30</v>
      </c>
      <c r="B31" s="80">
        <v>7</v>
      </c>
      <c r="C31" s="80">
        <v>2</v>
      </c>
      <c r="D31" s="80" t="s">
        <v>3277</v>
      </c>
      <c r="E31" s="80">
        <v>796</v>
      </c>
      <c r="F31" s="80">
        <v>3.93</v>
      </c>
      <c r="G31" s="80">
        <v>1</v>
      </c>
      <c r="H31" s="80">
        <v>2</v>
      </c>
      <c r="I31" s="80">
        <v>840</v>
      </c>
    </row>
    <row r="32" spans="1:9" x14ac:dyDescent="0.25">
      <c r="A32" s="80">
        <v>31</v>
      </c>
      <c r="B32" s="80">
        <v>7</v>
      </c>
      <c r="C32" s="80">
        <v>3</v>
      </c>
      <c r="D32" s="80" t="s">
        <v>3274</v>
      </c>
      <c r="E32" s="80">
        <v>796</v>
      </c>
      <c r="F32" s="80">
        <v>3.93</v>
      </c>
      <c r="G32" s="80">
        <v>2</v>
      </c>
      <c r="H32" s="80">
        <v>4</v>
      </c>
      <c r="I32" s="80">
        <v>840</v>
      </c>
    </row>
    <row r="33" spans="1:9" x14ac:dyDescent="0.25">
      <c r="A33" s="80">
        <v>32</v>
      </c>
      <c r="B33" s="80">
        <v>7</v>
      </c>
      <c r="C33" s="80">
        <v>4</v>
      </c>
      <c r="D33" s="80" t="s">
        <v>3276</v>
      </c>
      <c r="E33" s="80">
        <v>796</v>
      </c>
      <c r="F33" s="80">
        <v>3.93</v>
      </c>
      <c r="G33" s="80">
        <v>1</v>
      </c>
      <c r="H33" s="80">
        <v>2</v>
      </c>
      <c r="I33" s="80">
        <v>840</v>
      </c>
    </row>
    <row r="34" spans="1:9" x14ac:dyDescent="0.25">
      <c r="A34" s="80">
        <v>33</v>
      </c>
      <c r="B34" s="80">
        <v>8</v>
      </c>
      <c r="C34" s="80">
        <v>1</v>
      </c>
      <c r="D34" s="80" t="s">
        <v>3280</v>
      </c>
      <c r="E34" s="80">
        <v>796</v>
      </c>
      <c r="F34" s="80">
        <v>1.94</v>
      </c>
      <c r="G34" s="80">
        <v>2</v>
      </c>
      <c r="H34" s="80">
        <v>2</v>
      </c>
      <c r="I34" s="80">
        <v>840</v>
      </c>
    </row>
    <row r="35" spans="1:9" x14ac:dyDescent="0.25">
      <c r="A35" s="80">
        <v>34</v>
      </c>
      <c r="B35" s="80">
        <v>8</v>
      </c>
      <c r="C35" s="80">
        <v>2</v>
      </c>
      <c r="D35" s="80" t="s">
        <v>3281</v>
      </c>
      <c r="E35" s="80">
        <v>796</v>
      </c>
      <c r="F35" s="80">
        <v>1.94</v>
      </c>
      <c r="G35" s="80">
        <v>1</v>
      </c>
      <c r="H35" s="80">
        <v>1</v>
      </c>
      <c r="I35" s="80">
        <v>840</v>
      </c>
    </row>
    <row r="36" spans="1:9" x14ac:dyDescent="0.25">
      <c r="A36" s="80">
        <v>35</v>
      </c>
      <c r="B36" s="80">
        <v>8</v>
      </c>
      <c r="C36" s="80">
        <v>3</v>
      </c>
      <c r="D36" s="80" t="s">
        <v>3273</v>
      </c>
      <c r="E36" s="80">
        <v>796</v>
      </c>
      <c r="F36" s="80">
        <v>1.94</v>
      </c>
      <c r="G36" s="80">
        <v>1</v>
      </c>
      <c r="H36" s="80">
        <v>2</v>
      </c>
      <c r="I36" s="80">
        <v>840</v>
      </c>
    </row>
    <row r="37" spans="1:9" x14ac:dyDescent="0.25">
      <c r="A37" s="80">
        <v>36</v>
      </c>
      <c r="B37" s="80">
        <v>8</v>
      </c>
      <c r="C37" s="80">
        <v>4</v>
      </c>
      <c r="D37" s="80" t="s">
        <v>3272</v>
      </c>
      <c r="E37" s="80">
        <v>796</v>
      </c>
      <c r="F37" s="80">
        <v>1.94</v>
      </c>
      <c r="G37" s="80">
        <v>1</v>
      </c>
      <c r="H37" s="80">
        <v>1</v>
      </c>
      <c r="I37" s="80">
        <v>840</v>
      </c>
    </row>
    <row r="38" spans="1:9" x14ac:dyDescent="0.25">
      <c r="A38" s="80">
        <v>37</v>
      </c>
      <c r="B38" s="80">
        <v>8</v>
      </c>
      <c r="C38" s="80">
        <v>5</v>
      </c>
      <c r="D38" s="80" t="s">
        <v>3282</v>
      </c>
      <c r="E38" s="80">
        <v>796</v>
      </c>
      <c r="F38" s="80">
        <v>1.94</v>
      </c>
      <c r="G38" s="80">
        <v>2</v>
      </c>
      <c r="H38" s="80">
        <v>4</v>
      </c>
      <c r="I38" s="80">
        <v>840</v>
      </c>
    </row>
    <row r="39" spans="1:9" x14ac:dyDescent="0.25">
      <c r="A39" s="80">
        <v>38</v>
      </c>
      <c r="B39" s="80">
        <v>9</v>
      </c>
      <c r="C39" s="80">
        <v>1</v>
      </c>
      <c r="D39" s="80" t="s">
        <v>3282</v>
      </c>
      <c r="E39" s="80">
        <v>796</v>
      </c>
      <c r="F39" s="80">
        <v>2.25</v>
      </c>
      <c r="G39" s="80">
        <v>3</v>
      </c>
      <c r="H39" s="80">
        <v>6</v>
      </c>
      <c r="I39" s="80">
        <v>840</v>
      </c>
    </row>
    <row r="40" spans="1:9" x14ac:dyDescent="0.25">
      <c r="A40" s="80">
        <v>39</v>
      </c>
      <c r="B40" s="80">
        <v>9</v>
      </c>
      <c r="C40" s="80">
        <v>2</v>
      </c>
      <c r="D40" s="80" t="s">
        <v>3272</v>
      </c>
      <c r="E40" s="80">
        <v>796</v>
      </c>
      <c r="F40" s="80">
        <v>2.25</v>
      </c>
      <c r="G40" s="80">
        <v>2</v>
      </c>
      <c r="H40" s="80">
        <v>4</v>
      </c>
      <c r="I40" s="80">
        <v>840</v>
      </c>
    </row>
    <row r="41" spans="1:9" x14ac:dyDescent="0.25">
      <c r="A41" s="80">
        <v>40</v>
      </c>
      <c r="B41" s="80">
        <v>9</v>
      </c>
      <c r="C41" s="80">
        <v>3</v>
      </c>
      <c r="D41" s="80" t="s">
        <v>3281</v>
      </c>
      <c r="E41" s="80">
        <v>796</v>
      </c>
      <c r="F41" s="80">
        <v>2.25</v>
      </c>
      <c r="G41" s="80">
        <v>3</v>
      </c>
      <c r="H41" s="80">
        <v>6</v>
      </c>
      <c r="I41" s="80">
        <v>840</v>
      </c>
    </row>
    <row r="42" spans="1:9" x14ac:dyDescent="0.25">
      <c r="A42" s="80">
        <v>41</v>
      </c>
      <c r="B42" s="80">
        <v>9</v>
      </c>
      <c r="C42" s="80">
        <v>4</v>
      </c>
      <c r="D42" s="80" t="s">
        <v>3285</v>
      </c>
      <c r="E42" s="80">
        <v>796</v>
      </c>
      <c r="F42" s="80">
        <v>2.25</v>
      </c>
      <c r="G42" s="80">
        <v>3</v>
      </c>
      <c r="H42" s="80">
        <v>6</v>
      </c>
      <c r="I42" s="80">
        <v>840</v>
      </c>
    </row>
    <row r="43" spans="1:9" x14ac:dyDescent="0.25">
      <c r="A43" s="80">
        <v>42</v>
      </c>
      <c r="B43" s="80">
        <v>9</v>
      </c>
      <c r="C43" s="80">
        <v>5</v>
      </c>
      <c r="D43" s="80" t="s">
        <v>3286</v>
      </c>
      <c r="E43" s="80">
        <v>796</v>
      </c>
      <c r="F43" s="80">
        <v>2.25</v>
      </c>
      <c r="G43" s="80">
        <v>2</v>
      </c>
      <c r="H43" s="80">
        <v>2</v>
      </c>
      <c r="I43" s="80">
        <v>840</v>
      </c>
    </row>
    <row r="44" spans="1:9" x14ac:dyDescent="0.25">
      <c r="A44" s="80">
        <v>43</v>
      </c>
      <c r="B44" s="80">
        <v>9</v>
      </c>
      <c r="C44" s="80">
        <v>6</v>
      </c>
      <c r="D44" s="80" t="s">
        <v>3273</v>
      </c>
      <c r="E44" s="80">
        <v>796</v>
      </c>
      <c r="F44" s="80">
        <v>2.25</v>
      </c>
      <c r="G44" s="80">
        <v>2</v>
      </c>
      <c r="H44" s="80">
        <v>4</v>
      </c>
      <c r="I44" s="80">
        <v>840</v>
      </c>
    </row>
    <row r="45" spans="1:9" x14ac:dyDescent="0.25">
      <c r="A45" s="80">
        <v>44</v>
      </c>
      <c r="B45" s="80">
        <v>10</v>
      </c>
      <c r="C45" s="80">
        <v>1</v>
      </c>
      <c r="D45" s="80" t="s">
        <v>3282</v>
      </c>
      <c r="E45" s="80">
        <v>796</v>
      </c>
      <c r="F45" s="80">
        <v>3.03</v>
      </c>
      <c r="G45" s="80">
        <v>1</v>
      </c>
      <c r="H45" s="80">
        <v>1</v>
      </c>
      <c r="I45" s="80">
        <v>840</v>
      </c>
    </row>
    <row r="46" spans="1:9" x14ac:dyDescent="0.25">
      <c r="A46" s="80">
        <v>45</v>
      </c>
      <c r="B46" s="80">
        <v>10</v>
      </c>
      <c r="C46" s="80">
        <v>2</v>
      </c>
      <c r="D46" s="80" t="s">
        <v>3281</v>
      </c>
      <c r="E46" s="80">
        <v>796</v>
      </c>
      <c r="F46" s="80">
        <v>3.03</v>
      </c>
      <c r="G46" s="80">
        <v>2</v>
      </c>
      <c r="H46" s="80">
        <v>4</v>
      </c>
      <c r="I46" s="80">
        <v>840</v>
      </c>
    </row>
    <row r="47" spans="1:9" x14ac:dyDescent="0.25">
      <c r="A47" s="80">
        <v>46</v>
      </c>
      <c r="B47" s="80">
        <v>10</v>
      </c>
      <c r="C47" s="80">
        <v>3</v>
      </c>
      <c r="D47" s="80" t="s">
        <v>3272</v>
      </c>
      <c r="E47" s="80">
        <v>796</v>
      </c>
      <c r="F47" s="80">
        <v>3.03</v>
      </c>
      <c r="G47" s="80">
        <v>2</v>
      </c>
      <c r="H47" s="80">
        <v>2</v>
      </c>
      <c r="I47" s="80">
        <v>840</v>
      </c>
    </row>
    <row r="48" spans="1:9" x14ac:dyDescent="0.25">
      <c r="A48" s="80">
        <v>47</v>
      </c>
      <c r="B48" s="80">
        <v>10</v>
      </c>
      <c r="C48" s="80">
        <v>4</v>
      </c>
      <c r="D48" s="80" t="s">
        <v>3280</v>
      </c>
      <c r="E48" s="80">
        <v>796</v>
      </c>
      <c r="F48" s="80">
        <v>3.03</v>
      </c>
      <c r="G48" s="80">
        <v>2</v>
      </c>
      <c r="H48" s="80">
        <v>2</v>
      </c>
      <c r="I48" s="80">
        <v>840</v>
      </c>
    </row>
    <row r="49" spans="1:9" x14ac:dyDescent="0.25">
      <c r="A49" s="80">
        <v>48</v>
      </c>
      <c r="B49" s="80">
        <v>11</v>
      </c>
      <c r="C49" s="80">
        <v>1</v>
      </c>
      <c r="D49" s="80" t="s">
        <v>3272</v>
      </c>
      <c r="E49" s="80">
        <v>796</v>
      </c>
      <c r="F49" s="80">
        <v>1.56</v>
      </c>
      <c r="G49" s="80">
        <v>2</v>
      </c>
      <c r="H49" s="80">
        <v>2</v>
      </c>
      <c r="I49" s="80">
        <v>840</v>
      </c>
    </row>
    <row r="50" spans="1:9" x14ac:dyDescent="0.25">
      <c r="A50" s="80">
        <v>49</v>
      </c>
      <c r="B50" s="80">
        <v>11</v>
      </c>
      <c r="C50" s="80">
        <v>2</v>
      </c>
      <c r="D50" s="80" t="s">
        <v>3280</v>
      </c>
      <c r="E50" s="80">
        <v>796</v>
      </c>
      <c r="F50" s="80">
        <v>1.56</v>
      </c>
      <c r="G50" s="80">
        <v>3</v>
      </c>
      <c r="H50" s="80">
        <v>6</v>
      </c>
      <c r="I50" s="80">
        <v>840</v>
      </c>
    </row>
    <row r="51" spans="1:9" x14ac:dyDescent="0.25">
      <c r="A51" s="80">
        <v>50</v>
      </c>
      <c r="B51" s="80">
        <v>11</v>
      </c>
      <c r="C51" s="80">
        <v>3</v>
      </c>
      <c r="D51" s="80" t="s">
        <v>3273</v>
      </c>
      <c r="E51" s="80">
        <v>796</v>
      </c>
      <c r="F51" s="80">
        <v>1.56</v>
      </c>
      <c r="G51" s="80">
        <v>2</v>
      </c>
      <c r="H51" s="80">
        <v>2</v>
      </c>
      <c r="I51" s="80">
        <v>840</v>
      </c>
    </row>
    <row r="52" spans="1:9" x14ac:dyDescent="0.25">
      <c r="A52" s="80">
        <v>51</v>
      </c>
      <c r="B52" s="80">
        <v>11</v>
      </c>
      <c r="C52" s="80">
        <v>4</v>
      </c>
      <c r="D52" s="80" t="s">
        <v>3287</v>
      </c>
      <c r="E52" s="80">
        <v>796</v>
      </c>
      <c r="F52" s="80">
        <v>1.56</v>
      </c>
      <c r="G52" s="80">
        <v>1</v>
      </c>
      <c r="H52" s="80">
        <v>1</v>
      </c>
      <c r="I52" s="80">
        <v>840</v>
      </c>
    </row>
    <row r="53" spans="1:9" x14ac:dyDescent="0.25">
      <c r="A53" s="80">
        <v>52</v>
      </c>
      <c r="B53" s="80">
        <v>11</v>
      </c>
      <c r="C53" s="80">
        <v>5</v>
      </c>
      <c r="D53" s="80" t="s">
        <v>3288</v>
      </c>
      <c r="E53" s="80">
        <v>796</v>
      </c>
      <c r="F53" s="80">
        <v>1.56</v>
      </c>
      <c r="G53" s="80">
        <v>2</v>
      </c>
      <c r="H53" s="80">
        <v>2</v>
      </c>
      <c r="I53" s="80">
        <v>840</v>
      </c>
    </row>
    <row r="54" spans="1:9" x14ac:dyDescent="0.25">
      <c r="A54" s="80">
        <v>53</v>
      </c>
      <c r="B54" s="80">
        <v>11</v>
      </c>
      <c r="C54" s="80">
        <v>6</v>
      </c>
      <c r="D54" s="80" t="s">
        <v>3289</v>
      </c>
      <c r="E54" s="80">
        <v>796</v>
      </c>
      <c r="F54" s="80">
        <v>1.56</v>
      </c>
      <c r="G54" s="80">
        <v>2</v>
      </c>
      <c r="H54" s="80">
        <v>2</v>
      </c>
      <c r="I54" s="80">
        <v>840</v>
      </c>
    </row>
    <row r="55" spans="1:9" x14ac:dyDescent="0.25">
      <c r="A55" s="80">
        <v>54</v>
      </c>
      <c r="B55" s="80">
        <v>11</v>
      </c>
      <c r="C55" s="80">
        <v>7</v>
      </c>
      <c r="D55" s="80" t="s">
        <v>3290</v>
      </c>
      <c r="E55" s="80">
        <v>796</v>
      </c>
      <c r="F55" s="80">
        <v>1.56</v>
      </c>
      <c r="G55" s="80">
        <v>3</v>
      </c>
      <c r="H55" s="80">
        <v>3</v>
      </c>
      <c r="I55" s="80">
        <v>840</v>
      </c>
    </row>
    <row r="56" spans="1:9" x14ac:dyDescent="0.25">
      <c r="A56" s="80">
        <v>55</v>
      </c>
      <c r="B56" s="80">
        <v>11</v>
      </c>
      <c r="C56" s="80">
        <v>8</v>
      </c>
      <c r="D56" s="80" t="s">
        <v>3291</v>
      </c>
      <c r="E56" s="80">
        <v>796</v>
      </c>
      <c r="F56" s="80">
        <v>1.56</v>
      </c>
      <c r="G56" s="80">
        <v>1</v>
      </c>
      <c r="H56" s="80">
        <v>2</v>
      </c>
      <c r="I56" s="80">
        <v>840</v>
      </c>
    </row>
    <row r="57" spans="1:9" x14ac:dyDescent="0.25">
      <c r="A57" s="80">
        <v>56</v>
      </c>
      <c r="B57" s="80">
        <v>12</v>
      </c>
      <c r="C57" s="80">
        <v>1</v>
      </c>
      <c r="D57" s="80" t="s">
        <v>3293</v>
      </c>
      <c r="E57" s="80">
        <v>796</v>
      </c>
      <c r="F57" s="80">
        <v>1.53</v>
      </c>
      <c r="G57" s="80">
        <v>3</v>
      </c>
      <c r="H57" s="80">
        <v>6</v>
      </c>
      <c r="I57" s="80">
        <v>840</v>
      </c>
    </row>
    <row r="58" spans="1:9" x14ac:dyDescent="0.25">
      <c r="A58" s="80">
        <v>57</v>
      </c>
      <c r="B58" s="80">
        <v>12</v>
      </c>
      <c r="C58" s="80">
        <v>2</v>
      </c>
      <c r="D58" s="80" t="s">
        <v>3294</v>
      </c>
      <c r="E58" s="80">
        <v>796</v>
      </c>
      <c r="F58" s="80">
        <v>1.53</v>
      </c>
      <c r="G58" s="80">
        <v>3</v>
      </c>
      <c r="H58" s="80">
        <v>3</v>
      </c>
      <c r="I58" s="80">
        <v>840</v>
      </c>
    </row>
    <row r="59" spans="1:9" x14ac:dyDescent="0.25">
      <c r="A59" s="80">
        <v>58</v>
      </c>
      <c r="B59" s="80">
        <v>12</v>
      </c>
      <c r="C59" s="80">
        <v>3</v>
      </c>
      <c r="D59" s="80" t="s">
        <v>3280</v>
      </c>
      <c r="E59" s="80">
        <v>796</v>
      </c>
      <c r="F59" s="80">
        <v>1.53</v>
      </c>
      <c r="G59" s="80">
        <v>3</v>
      </c>
      <c r="H59" s="80">
        <v>3</v>
      </c>
      <c r="I59" s="80">
        <v>840</v>
      </c>
    </row>
    <row r="60" spans="1:9" x14ac:dyDescent="0.25">
      <c r="A60" s="80">
        <v>59</v>
      </c>
      <c r="B60" s="80">
        <v>12</v>
      </c>
      <c r="C60" s="80">
        <v>4</v>
      </c>
      <c r="D60" s="80" t="s">
        <v>3295</v>
      </c>
      <c r="E60" s="80">
        <v>796</v>
      </c>
      <c r="F60" s="80">
        <v>1.53</v>
      </c>
      <c r="G60" s="80">
        <v>3</v>
      </c>
      <c r="H60" s="80">
        <v>3</v>
      </c>
      <c r="I60" s="80">
        <v>840</v>
      </c>
    </row>
    <row r="61" spans="1:9" x14ac:dyDescent="0.25">
      <c r="A61" s="80">
        <v>60</v>
      </c>
      <c r="B61" s="80">
        <v>12</v>
      </c>
      <c r="C61" s="80">
        <v>5</v>
      </c>
      <c r="D61" s="80" t="s">
        <v>3296</v>
      </c>
      <c r="E61" s="80">
        <v>796</v>
      </c>
      <c r="F61" s="80">
        <v>1.53</v>
      </c>
      <c r="G61" s="80">
        <v>1</v>
      </c>
      <c r="H61" s="80">
        <v>2</v>
      </c>
      <c r="I61" s="80">
        <v>840</v>
      </c>
    </row>
    <row r="62" spans="1:9" x14ac:dyDescent="0.25">
      <c r="A62" s="80">
        <v>61</v>
      </c>
      <c r="B62" s="80">
        <v>12</v>
      </c>
      <c r="C62" s="80">
        <v>6</v>
      </c>
      <c r="D62" s="80" t="s">
        <v>3297</v>
      </c>
      <c r="E62" s="80">
        <v>796</v>
      </c>
      <c r="F62" s="80">
        <v>1.53</v>
      </c>
      <c r="G62" s="80">
        <v>2</v>
      </c>
      <c r="H62" s="80">
        <v>2</v>
      </c>
      <c r="I62" s="80">
        <v>840</v>
      </c>
    </row>
    <row r="63" spans="1:9" x14ac:dyDescent="0.25">
      <c r="A63" s="80">
        <v>62</v>
      </c>
      <c r="B63" s="80">
        <v>12</v>
      </c>
      <c r="C63" s="80">
        <v>7</v>
      </c>
      <c r="D63" s="80" t="s">
        <v>3289</v>
      </c>
      <c r="E63" s="80">
        <v>796</v>
      </c>
      <c r="F63" s="80">
        <v>1.53</v>
      </c>
      <c r="G63" s="80">
        <v>1</v>
      </c>
      <c r="H63" s="80">
        <v>1</v>
      </c>
      <c r="I63" s="80">
        <v>840</v>
      </c>
    </row>
    <row r="64" spans="1:9" x14ac:dyDescent="0.25">
      <c r="A64" s="80">
        <v>63</v>
      </c>
      <c r="B64" s="80">
        <v>12</v>
      </c>
      <c r="C64" s="80">
        <v>8</v>
      </c>
      <c r="D64" s="80" t="s">
        <v>3261</v>
      </c>
      <c r="E64" s="80">
        <v>796</v>
      </c>
      <c r="F64" s="80">
        <v>1.53</v>
      </c>
      <c r="G64" s="80">
        <v>1</v>
      </c>
      <c r="H64" s="80">
        <v>1</v>
      </c>
      <c r="I64" s="80">
        <v>840</v>
      </c>
    </row>
    <row r="65" spans="1:9" x14ac:dyDescent="0.25">
      <c r="A65" s="80">
        <v>64</v>
      </c>
      <c r="B65" s="80">
        <v>12</v>
      </c>
      <c r="C65" s="80">
        <v>9</v>
      </c>
      <c r="D65" s="80" t="s">
        <v>3298</v>
      </c>
      <c r="E65" s="80">
        <v>796</v>
      </c>
      <c r="F65" s="80">
        <v>1.53</v>
      </c>
      <c r="G65" s="80">
        <v>3</v>
      </c>
      <c r="H65" s="80">
        <v>6</v>
      </c>
      <c r="I65" s="80">
        <v>840</v>
      </c>
    </row>
    <row r="66" spans="1:9" x14ac:dyDescent="0.25">
      <c r="A66" s="80">
        <v>65</v>
      </c>
      <c r="B66" s="80">
        <v>12</v>
      </c>
      <c r="C66" s="80">
        <v>10</v>
      </c>
      <c r="D66" s="80" t="s">
        <v>3299</v>
      </c>
      <c r="E66" s="80">
        <v>796</v>
      </c>
      <c r="F66" s="80">
        <v>1.53</v>
      </c>
      <c r="G66" s="80">
        <v>2</v>
      </c>
      <c r="H66" s="80">
        <v>2</v>
      </c>
      <c r="I66" s="80">
        <v>840</v>
      </c>
    </row>
    <row r="67" spans="1:9" x14ac:dyDescent="0.25">
      <c r="A67" s="80">
        <v>66</v>
      </c>
      <c r="B67" s="80">
        <v>12</v>
      </c>
      <c r="C67" s="80">
        <v>11</v>
      </c>
      <c r="D67" s="80" t="s">
        <v>3287</v>
      </c>
      <c r="E67" s="80">
        <v>796</v>
      </c>
      <c r="F67" s="80">
        <v>1.53</v>
      </c>
      <c r="G67" s="80">
        <v>2</v>
      </c>
      <c r="H67" s="80">
        <v>4</v>
      </c>
      <c r="I67" s="80">
        <v>840</v>
      </c>
    </row>
    <row r="68" spans="1:9" x14ac:dyDescent="0.25">
      <c r="A68" s="80">
        <v>67</v>
      </c>
      <c r="B68" s="80">
        <v>13</v>
      </c>
      <c r="C68" s="80">
        <v>1</v>
      </c>
      <c r="D68" s="80" t="s">
        <v>3300</v>
      </c>
      <c r="E68" s="80">
        <v>796</v>
      </c>
      <c r="F68" s="80">
        <v>0.67</v>
      </c>
      <c r="G68" s="80">
        <v>1</v>
      </c>
      <c r="H68" s="80">
        <v>1</v>
      </c>
      <c r="I68" s="80">
        <v>840</v>
      </c>
    </row>
    <row r="69" spans="1:9" x14ac:dyDescent="0.25">
      <c r="A69" s="80">
        <v>68</v>
      </c>
      <c r="B69" s="80">
        <v>13</v>
      </c>
      <c r="C69" s="80">
        <v>2</v>
      </c>
      <c r="D69" s="80" t="s">
        <v>3262</v>
      </c>
      <c r="E69" s="80">
        <v>796</v>
      </c>
      <c r="F69" s="80">
        <v>0.67</v>
      </c>
      <c r="G69" s="80">
        <v>2</v>
      </c>
      <c r="H69" s="80">
        <v>4</v>
      </c>
      <c r="I69" s="80">
        <v>840</v>
      </c>
    </row>
    <row r="70" spans="1:9" x14ac:dyDescent="0.25">
      <c r="A70" s="80">
        <v>69</v>
      </c>
      <c r="B70" s="80">
        <v>13</v>
      </c>
      <c r="C70" s="80">
        <v>3</v>
      </c>
      <c r="D70" s="80" t="s">
        <v>3266</v>
      </c>
      <c r="E70" s="80">
        <v>796</v>
      </c>
      <c r="F70" s="80">
        <v>0.67</v>
      </c>
      <c r="G70" s="80">
        <v>2</v>
      </c>
      <c r="H70" s="80">
        <v>2</v>
      </c>
      <c r="I70" s="80">
        <v>840</v>
      </c>
    </row>
    <row r="71" spans="1:9" x14ac:dyDescent="0.25">
      <c r="A71" s="80">
        <v>70</v>
      </c>
      <c r="B71" s="80">
        <v>13</v>
      </c>
      <c r="C71" s="80">
        <v>4</v>
      </c>
      <c r="D71" s="80" t="s">
        <v>3301</v>
      </c>
      <c r="E71" s="80">
        <v>796</v>
      </c>
      <c r="F71" s="80">
        <v>0.67</v>
      </c>
      <c r="G71" s="80">
        <v>3</v>
      </c>
      <c r="H71" s="80">
        <v>3</v>
      </c>
      <c r="I71" s="80">
        <v>840</v>
      </c>
    </row>
    <row r="72" spans="1:9" x14ac:dyDescent="0.25">
      <c r="A72" s="80">
        <v>71</v>
      </c>
      <c r="B72" s="80">
        <v>13</v>
      </c>
      <c r="C72" s="80">
        <v>5</v>
      </c>
      <c r="D72" s="80" t="s">
        <v>3302</v>
      </c>
      <c r="E72" s="80">
        <v>796</v>
      </c>
      <c r="F72" s="80">
        <v>0.67</v>
      </c>
      <c r="G72" s="80">
        <v>2</v>
      </c>
      <c r="H72" s="80">
        <v>2</v>
      </c>
      <c r="I72" s="80">
        <v>840</v>
      </c>
    </row>
    <row r="73" spans="1:9" x14ac:dyDescent="0.25">
      <c r="A73" s="80">
        <v>72</v>
      </c>
      <c r="B73" s="80">
        <v>13</v>
      </c>
      <c r="C73" s="80">
        <v>6</v>
      </c>
      <c r="D73" s="80" t="s">
        <v>3303</v>
      </c>
      <c r="E73" s="80">
        <v>796</v>
      </c>
      <c r="F73" s="80">
        <v>0.67</v>
      </c>
      <c r="G73" s="80">
        <v>1</v>
      </c>
      <c r="H73" s="80">
        <v>2</v>
      </c>
      <c r="I73" s="80">
        <v>840</v>
      </c>
    </row>
    <row r="74" spans="1:9" x14ac:dyDescent="0.25">
      <c r="A74" s="80">
        <v>73</v>
      </c>
      <c r="B74" s="80">
        <v>13</v>
      </c>
      <c r="C74" s="80">
        <v>7</v>
      </c>
      <c r="D74" s="80" t="s">
        <v>3304</v>
      </c>
      <c r="E74" s="80">
        <v>796</v>
      </c>
      <c r="F74" s="80">
        <v>0.67</v>
      </c>
      <c r="G74" s="80">
        <v>1</v>
      </c>
      <c r="H74" s="80">
        <v>2</v>
      </c>
      <c r="I74" s="80">
        <v>840</v>
      </c>
    </row>
    <row r="75" spans="1:9" x14ac:dyDescent="0.25">
      <c r="A75" s="80">
        <v>74</v>
      </c>
      <c r="B75" s="80">
        <v>14</v>
      </c>
      <c r="C75" s="80">
        <v>1</v>
      </c>
      <c r="D75" s="80" t="s">
        <v>3305</v>
      </c>
      <c r="E75" s="80">
        <v>796</v>
      </c>
      <c r="F75" s="80">
        <v>1.1399999999999999</v>
      </c>
      <c r="G75" s="80">
        <v>3</v>
      </c>
      <c r="H75" s="80">
        <v>6</v>
      </c>
      <c r="I75" s="80">
        <v>840</v>
      </c>
    </row>
    <row r="76" spans="1:9" x14ac:dyDescent="0.25">
      <c r="A76" s="80">
        <v>75</v>
      </c>
      <c r="B76" s="80">
        <v>14</v>
      </c>
      <c r="C76" s="80">
        <v>2</v>
      </c>
      <c r="D76" s="80" t="s">
        <v>3306</v>
      </c>
      <c r="E76" s="80">
        <v>796</v>
      </c>
      <c r="F76" s="80">
        <v>1.1399999999999999</v>
      </c>
      <c r="G76" s="80">
        <v>3</v>
      </c>
      <c r="H76" s="80">
        <v>6</v>
      </c>
      <c r="I76" s="80">
        <v>840</v>
      </c>
    </row>
    <row r="77" spans="1:9" x14ac:dyDescent="0.25">
      <c r="A77" s="80">
        <v>76</v>
      </c>
      <c r="B77" s="80">
        <v>14</v>
      </c>
      <c r="C77" s="80">
        <v>3</v>
      </c>
      <c r="D77" s="80" t="s">
        <v>3307</v>
      </c>
      <c r="E77" s="80">
        <v>796</v>
      </c>
      <c r="F77" s="80">
        <v>1.1399999999999999</v>
      </c>
      <c r="G77" s="80">
        <v>2</v>
      </c>
      <c r="H77" s="80">
        <v>4</v>
      </c>
      <c r="I77" s="80">
        <v>840</v>
      </c>
    </row>
    <row r="78" spans="1:9" x14ac:dyDescent="0.25">
      <c r="A78" s="80">
        <v>77</v>
      </c>
      <c r="B78" s="80">
        <v>14</v>
      </c>
      <c r="C78" s="80">
        <v>4</v>
      </c>
      <c r="D78" s="80" t="s">
        <v>3261</v>
      </c>
      <c r="E78" s="80">
        <v>796</v>
      </c>
      <c r="F78" s="80">
        <v>1.1399999999999999</v>
      </c>
      <c r="G78" s="80">
        <v>1</v>
      </c>
      <c r="H78" s="80">
        <v>2</v>
      </c>
      <c r="I78" s="80">
        <v>840</v>
      </c>
    </row>
    <row r="79" spans="1:9" x14ac:dyDescent="0.25">
      <c r="A79" s="80">
        <v>78</v>
      </c>
      <c r="B79" s="80">
        <v>14</v>
      </c>
      <c r="C79" s="80">
        <v>5</v>
      </c>
      <c r="D79" s="80" t="s">
        <v>3308</v>
      </c>
      <c r="E79" s="80">
        <v>796</v>
      </c>
      <c r="F79" s="80">
        <v>1.1399999999999999</v>
      </c>
      <c r="G79" s="80">
        <v>3</v>
      </c>
      <c r="H79" s="80">
        <v>3</v>
      </c>
      <c r="I79" s="80">
        <v>840</v>
      </c>
    </row>
    <row r="80" spans="1:9" x14ac:dyDescent="0.25">
      <c r="A80" s="80">
        <v>79</v>
      </c>
      <c r="B80" s="80">
        <v>14</v>
      </c>
      <c r="C80" s="80">
        <v>6</v>
      </c>
      <c r="D80" s="80" t="s">
        <v>3309</v>
      </c>
      <c r="E80" s="80">
        <v>796</v>
      </c>
      <c r="F80" s="80">
        <v>1.1399999999999999</v>
      </c>
      <c r="G80" s="80">
        <v>1</v>
      </c>
      <c r="H80" s="80">
        <v>1</v>
      </c>
      <c r="I80" s="80">
        <v>840</v>
      </c>
    </row>
    <row r="81" spans="1:9" x14ac:dyDescent="0.25">
      <c r="A81" s="80">
        <v>80</v>
      </c>
      <c r="B81" s="80">
        <v>14</v>
      </c>
      <c r="C81" s="80">
        <v>7</v>
      </c>
      <c r="D81" s="80" t="s">
        <v>3310</v>
      </c>
      <c r="E81" s="80">
        <v>796</v>
      </c>
      <c r="F81" s="80">
        <v>1.1399999999999999</v>
      </c>
      <c r="G81" s="80">
        <v>1</v>
      </c>
      <c r="H81" s="80">
        <v>2</v>
      </c>
      <c r="I81" s="80">
        <v>840</v>
      </c>
    </row>
    <row r="82" spans="1:9" x14ac:dyDescent="0.25">
      <c r="A82" s="80">
        <v>81</v>
      </c>
      <c r="B82" s="80">
        <v>14</v>
      </c>
      <c r="C82" s="80">
        <v>8</v>
      </c>
      <c r="D82" s="80" t="s">
        <v>3290</v>
      </c>
      <c r="E82" s="80">
        <v>796</v>
      </c>
      <c r="F82" s="80">
        <v>1.1399999999999999</v>
      </c>
      <c r="G82" s="80">
        <v>1</v>
      </c>
      <c r="H82" s="80">
        <v>2</v>
      </c>
      <c r="I82" s="80">
        <v>840</v>
      </c>
    </row>
    <row r="83" spans="1:9" x14ac:dyDescent="0.25">
      <c r="A83" s="80">
        <v>82</v>
      </c>
      <c r="B83" s="80">
        <v>15</v>
      </c>
      <c r="C83" s="80">
        <v>1</v>
      </c>
      <c r="D83" s="80" t="s">
        <v>3301</v>
      </c>
      <c r="E83" s="80">
        <v>796</v>
      </c>
      <c r="F83" s="80">
        <v>1.01</v>
      </c>
      <c r="G83" s="80">
        <v>3</v>
      </c>
      <c r="H83" s="80">
        <v>3</v>
      </c>
      <c r="I83" s="80">
        <v>840</v>
      </c>
    </row>
    <row r="84" spans="1:9" x14ac:dyDescent="0.25">
      <c r="A84" s="80">
        <v>83</v>
      </c>
      <c r="B84" s="80">
        <v>15</v>
      </c>
      <c r="C84" s="80">
        <v>2</v>
      </c>
      <c r="D84" s="80" t="s">
        <v>3265</v>
      </c>
      <c r="E84" s="80">
        <v>796</v>
      </c>
      <c r="F84" s="80">
        <v>1.01</v>
      </c>
      <c r="G84" s="80">
        <v>3</v>
      </c>
      <c r="H84" s="80">
        <v>6</v>
      </c>
      <c r="I84" s="80">
        <v>840</v>
      </c>
    </row>
    <row r="85" spans="1:9" x14ac:dyDescent="0.25">
      <c r="A85" s="80">
        <v>84</v>
      </c>
      <c r="B85" s="80">
        <v>15</v>
      </c>
      <c r="C85" s="80">
        <v>3</v>
      </c>
      <c r="D85" s="80" t="s">
        <v>3310</v>
      </c>
      <c r="E85" s="80">
        <v>796</v>
      </c>
      <c r="F85" s="80">
        <v>1.01</v>
      </c>
      <c r="G85" s="80">
        <v>3</v>
      </c>
      <c r="H85" s="80">
        <v>6</v>
      </c>
      <c r="I85" s="80">
        <v>840</v>
      </c>
    </row>
    <row r="86" spans="1:9" x14ac:dyDescent="0.25">
      <c r="A86" s="80">
        <v>85</v>
      </c>
      <c r="B86" s="80">
        <v>15</v>
      </c>
      <c r="C86" s="80">
        <v>4</v>
      </c>
      <c r="D86" s="80" t="s">
        <v>3289</v>
      </c>
      <c r="E86" s="80">
        <v>796</v>
      </c>
      <c r="F86" s="80">
        <v>1.01</v>
      </c>
      <c r="G86" s="80">
        <v>3</v>
      </c>
      <c r="H86" s="80">
        <v>3</v>
      </c>
      <c r="I86" s="80">
        <v>840</v>
      </c>
    </row>
    <row r="87" spans="1:9" x14ac:dyDescent="0.25">
      <c r="A87" s="80">
        <v>86</v>
      </c>
      <c r="B87" s="80">
        <v>15</v>
      </c>
      <c r="C87" s="80">
        <v>5</v>
      </c>
      <c r="D87" s="80" t="s">
        <v>3311</v>
      </c>
      <c r="E87" s="80">
        <v>796</v>
      </c>
      <c r="F87" s="80">
        <v>1.01</v>
      </c>
      <c r="G87" s="80">
        <v>1</v>
      </c>
      <c r="H87" s="80">
        <v>2</v>
      </c>
      <c r="I87" s="80">
        <v>840</v>
      </c>
    </row>
    <row r="88" spans="1:9" x14ac:dyDescent="0.25">
      <c r="A88" s="80">
        <v>87</v>
      </c>
      <c r="B88" s="80">
        <v>15</v>
      </c>
      <c r="C88" s="80">
        <v>6</v>
      </c>
      <c r="D88" s="80" t="s">
        <v>3308</v>
      </c>
      <c r="E88" s="80">
        <v>796</v>
      </c>
      <c r="F88" s="80">
        <v>1.01</v>
      </c>
      <c r="G88" s="80">
        <v>3</v>
      </c>
      <c r="H88" s="80">
        <v>6</v>
      </c>
      <c r="I88" s="80">
        <v>840</v>
      </c>
    </row>
    <row r="89" spans="1:9" x14ac:dyDescent="0.25">
      <c r="A89" s="80">
        <v>88</v>
      </c>
      <c r="B89" s="80">
        <v>15</v>
      </c>
      <c r="C89" s="80">
        <v>7</v>
      </c>
      <c r="D89" s="80" t="s">
        <v>3301</v>
      </c>
      <c r="E89" s="80">
        <v>796</v>
      </c>
      <c r="F89" s="80">
        <v>1.01</v>
      </c>
      <c r="G89" s="80">
        <v>2</v>
      </c>
      <c r="H89" s="80">
        <v>2</v>
      </c>
      <c r="I89" s="80">
        <v>840</v>
      </c>
    </row>
    <row r="90" spans="1:9" x14ac:dyDescent="0.25">
      <c r="A90" s="80">
        <v>89</v>
      </c>
      <c r="B90" s="80">
        <v>15</v>
      </c>
      <c r="C90" s="80">
        <v>8</v>
      </c>
      <c r="D90" s="80" t="s">
        <v>3260</v>
      </c>
      <c r="E90" s="80">
        <v>796</v>
      </c>
      <c r="F90" s="80">
        <v>1.01</v>
      </c>
      <c r="G90" s="80">
        <v>1</v>
      </c>
      <c r="H90" s="80">
        <v>1</v>
      </c>
      <c r="I90" s="80">
        <v>840</v>
      </c>
    </row>
    <row r="91" spans="1:9" x14ac:dyDescent="0.25">
      <c r="A91" s="80">
        <v>90</v>
      </c>
      <c r="B91" s="80">
        <v>15</v>
      </c>
      <c r="C91" s="80">
        <v>9</v>
      </c>
      <c r="D91" s="80" t="s">
        <v>3312</v>
      </c>
      <c r="E91" s="80">
        <v>796</v>
      </c>
      <c r="F91" s="80">
        <v>1.01</v>
      </c>
      <c r="G91" s="80">
        <v>2</v>
      </c>
      <c r="H91" s="80">
        <v>2</v>
      </c>
      <c r="I91" s="80">
        <v>840</v>
      </c>
    </row>
    <row r="92" spans="1:9" x14ac:dyDescent="0.25">
      <c r="A92" s="80">
        <v>91</v>
      </c>
      <c r="B92" s="80">
        <v>16</v>
      </c>
      <c r="C92" s="80">
        <v>1</v>
      </c>
      <c r="D92" s="80" t="s">
        <v>3260</v>
      </c>
      <c r="E92" s="80">
        <v>796</v>
      </c>
      <c r="F92" s="80">
        <v>1.06</v>
      </c>
      <c r="G92" s="80">
        <v>1</v>
      </c>
      <c r="H92" s="80">
        <v>1</v>
      </c>
      <c r="I92" s="80">
        <v>840</v>
      </c>
    </row>
    <row r="93" spans="1:9" x14ac:dyDescent="0.25">
      <c r="A93" s="80">
        <v>92</v>
      </c>
      <c r="B93" s="80">
        <v>16</v>
      </c>
      <c r="C93" s="80">
        <v>2</v>
      </c>
      <c r="D93" s="80" t="s">
        <v>3313</v>
      </c>
      <c r="E93" s="80">
        <v>796</v>
      </c>
      <c r="F93" s="80">
        <v>1.06</v>
      </c>
      <c r="G93" s="80">
        <v>2</v>
      </c>
      <c r="H93" s="80">
        <v>4</v>
      </c>
      <c r="I93" s="80">
        <v>840</v>
      </c>
    </row>
    <row r="94" spans="1:9" x14ac:dyDescent="0.25">
      <c r="A94" s="80">
        <v>93</v>
      </c>
      <c r="B94" s="80">
        <v>16</v>
      </c>
      <c r="C94" s="80">
        <v>3</v>
      </c>
      <c r="D94" s="80" t="s">
        <v>3314</v>
      </c>
      <c r="E94" s="80">
        <v>796</v>
      </c>
      <c r="F94" s="80">
        <v>1.06</v>
      </c>
      <c r="G94" s="80">
        <v>2</v>
      </c>
      <c r="H94" s="80">
        <v>2</v>
      </c>
      <c r="I94" s="80">
        <v>840</v>
      </c>
    </row>
    <row r="95" spans="1:9" x14ac:dyDescent="0.25">
      <c r="A95" s="80">
        <v>94</v>
      </c>
      <c r="B95" s="80">
        <v>16</v>
      </c>
      <c r="C95" s="80">
        <v>4</v>
      </c>
      <c r="D95" s="80" t="s">
        <v>3265</v>
      </c>
      <c r="E95" s="80">
        <v>796</v>
      </c>
      <c r="F95" s="80">
        <v>1.06</v>
      </c>
      <c r="G95" s="80">
        <v>3</v>
      </c>
      <c r="H95" s="80">
        <v>3</v>
      </c>
      <c r="I95" s="80">
        <v>840</v>
      </c>
    </row>
    <row r="96" spans="1:9" x14ac:dyDescent="0.25">
      <c r="A96" s="80">
        <v>95</v>
      </c>
      <c r="B96" s="80">
        <v>16</v>
      </c>
      <c r="C96" s="80">
        <v>5</v>
      </c>
      <c r="D96" s="80" t="s">
        <v>3306</v>
      </c>
      <c r="E96" s="80">
        <v>796</v>
      </c>
      <c r="F96" s="80">
        <v>1.06</v>
      </c>
      <c r="G96" s="80">
        <v>1</v>
      </c>
      <c r="H96" s="80">
        <v>2</v>
      </c>
      <c r="I96" s="80">
        <v>840</v>
      </c>
    </row>
    <row r="97" spans="1:9" x14ac:dyDescent="0.25">
      <c r="A97" s="80">
        <v>96</v>
      </c>
      <c r="B97" s="80">
        <v>16</v>
      </c>
      <c r="C97" s="80">
        <v>6</v>
      </c>
      <c r="D97" s="80" t="s">
        <v>3311</v>
      </c>
      <c r="E97" s="80">
        <v>796</v>
      </c>
      <c r="F97" s="80">
        <v>1.06</v>
      </c>
      <c r="G97" s="80">
        <v>1</v>
      </c>
      <c r="H97" s="80">
        <v>1</v>
      </c>
      <c r="I97" s="80">
        <v>840</v>
      </c>
    </row>
    <row r="98" spans="1:9" x14ac:dyDescent="0.25">
      <c r="A98" s="80">
        <v>97</v>
      </c>
      <c r="B98" s="80">
        <v>16</v>
      </c>
      <c r="C98" s="80">
        <v>7</v>
      </c>
      <c r="D98" s="80" t="s">
        <v>3308</v>
      </c>
      <c r="E98" s="80">
        <v>796</v>
      </c>
      <c r="F98" s="80">
        <v>1.06</v>
      </c>
      <c r="G98" s="80">
        <v>1</v>
      </c>
      <c r="H98" s="80">
        <v>2</v>
      </c>
      <c r="I98" s="80">
        <v>840</v>
      </c>
    </row>
    <row r="99" spans="1:9" x14ac:dyDescent="0.25">
      <c r="A99" s="80">
        <v>98</v>
      </c>
      <c r="B99" s="80">
        <v>16</v>
      </c>
      <c r="C99" s="80">
        <v>8</v>
      </c>
      <c r="D99" s="80" t="s">
        <v>3310</v>
      </c>
      <c r="E99" s="80">
        <v>796</v>
      </c>
      <c r="F99" s="80">
        <v>1.06</v>
      </c>
      <c r="G99" s="80">
        <v>2</v>
      </c>
      <c r="H99" s="80">
        <v>2</v>
      </c>
      <c r="I99" s="80">
        <v>840</v>
      </c>
    </row>
    <row r="100" spans="1:9" x14ac:dyDescent="0.25">
      <c r="A100" s="80">
        <v>99</v>
      </c>
      <c r="B100" s="80">
        <v>17</v>
      </c>
      <c r="C100" s="80">
        <v>1</v>
      </c>
      <c r="D100" s="80" t="s">
        <v>3317</v>
      </c>
      <c r="E100" s="80">
        <v>796</v>
      </c>
      <c r="F100" s="80">
        <v>1.1100000000000001</v>
      </c>
      <c r="G100" s="80">
        <v>2</v>
      </c>
      <c r="H100" s="80">
        <v>4</v>
      </c>
      <c r="I100" s="80">
        <v>840</v>
      </c>
    </row>
    <row r="101" spans="1:9" x14ac:dyDescent="0.25">
      <c r="A101" s="80">
        <v>100</v>
      </c>
      <c r="B101" s="80">
        <v>17</v>
      </c>
      <c r="C101" s="80">
        <v>2</v>
      </c>
      <c r="D101" s="80" t="s">
        <v>3265</v>
      </c>
      <c r="E101" s="80">
        <v>796</v>
      </c>
      <c r="F101" s="80">
        <v>1.1100000000000001</v>
      </c>
      <c r="G101" s="80">
        <v>2</v>
      </c>
      <c r="H101" s="80">
        <v>4</v>
      </c>
      <c r="I101" s="80">
        <v>840</v>
      </c>
    </row>
    <row r="102" spans="1:9" x14ac:dyDescent="0.25">
      <c r="A102" s="80">
        <v>101</v>
      </c>
      <c r="B102" s="80">
        <v>17</v>
      </c>
      <c r="C102" s="80">
        <v>3</v>
      </c>
      <c r="D102" s="80" t="s">
        <v>3290</v>
      </c>
      <c r="E102" s="80">
        <v>796</v>
      </c>
      <c r="F102" s="80">
        <v>1.1100000000000001</v>
      </c>
      <c r="G102" s="80">
        <v>2</v>
      </c>
      <c r="H102" s="80">
        <v>2</v>
      </c>
      <c r="I102" s="80">
        <v>840</v>
      </c>
    </row>
    <row r="103" spans="1:9" x14ac:dyDescent="0.25">
      <c r="A103" s="80">
        <v>102</v>
      </c>
      <c r="B103" s="80">
        <v>17</v>
      </c>
      <c r="C103" s="80">
        <v>4</v>
      </c>
      <c r="D103" s="80" t="s">
        <v>3310</v>
      </c>
      <c r="E103" s="80">
        <v>796</v>
      </c>
      <c r="F103" s="80">
        <v>1.1100000000000001</v>
      </c>
      <c r="G103" s="80">
        <v>3</v>
      </c>
      <c r="H103" s="80">
        <v>3</v>
      </c>
      <c r="I103" s="80">
        <v>840</v>
      </c>
    </row>
    <row r="104" spans="1:9" x14ac:dyDescent="0.25">
      <c r="A104" s="80">
        <v>103</v>
      </c>
      <c r="B104" s="80">
        <v>17</v>
      </c>
      <c r="C104" s="80">
        <v>5</v>
      </c>
      <c r="D104" s="80" t="s">
        <v>3309</v>
      </c>
      <c r="E104" s="80">
        <v>796</v>
      </c>
      <c r="F104" s="80">
        <v>1.1100000000000001</v>
      </c>
      <c r="G104" s="80">
        <v>1</v>
      </c>
      <c r="H104" s="80">
        <v>1</v>
      </c>
      <c r="I104" s="80">
        <v>840</v>
      </c>
    </row>
    <row r="105" spans="1:9" x14ac:dyDescent="0.25">
      <c r="A105" s="80">
        <v>104</v>
      </c>
      <c r="B105" s="80">
        <v>17</v>
      </c>
      <c r="C105" s="80">
        <v>6</v>
      </c>
      <c r="D105" s="80" t="s">
        <v>3318</v>
      </c>
      <c r="E105" s="80">
        <v>796</v>
      </c>
      <c r="F105" s="80">
        <v>1.1100000000000001</v>
      </c>
      <c r="G105" s="80">
        <v>2</v>
      </c>
      <c r="H105" s="80">
        <v>2</v>
      </c>
      <c r="I105" s="80">
        <v>840</v>
      </c>
    </row>
    <row r="106" spans="1:9" x14ac:dyDescent="0.25">
      <c r="A106" s="80">
        <v>105</v>
      </c>
      <c r="B106" s="80">
        <v>17</v>
      </c>
      <c r="C106" s="80">
        <v>7</v>
      </c>
      <c r="D106" s="80" t="s">
        <v>3306</v>
      </c>
      <c r="E106" s="80">
        <v>796</v>
      </c>
      <c r="F106" s="80">
        <v>1.1100000000000001</v>
      </c>
      <c r="G106" s="80">
        <v>3</v>
      </c>
      <c r="H106" s="80">
        <v>6</v>
      </c>
      <c r="I106" s="80">
        <v>840</v>
      </c>
    </row>
    <row r="107" spans="1:9" x14ac:dyDescent="0.25">
      <c r="A107" s="80">
        <v>106</v>
      </c>
      <c r="B107" s="80">
        <v>17</v>
      </c>
      <c r="C107" s="80">
        <v>8</v>
      </c>
      <c r="D107" s="80" t="s">
        <v>3289</v>
      </c>
      <c r="E107" s="80">
        <v>796</v>
      </c>
      <c r="F107" s="80">
        <v>1.1100000000000001</v>
      </c>
      <c r="G107" s="80">
        <v>1</v>
      </c>
      <c r="H107" s="80">
        <v>2</v>
      </c>
      <c r="I107" s="80">
        <v>840</v>
      </c>
    </row>
    <row r="108" spans="1:9" x14ac:dyDescent="0.25">
      <c r="A108" s="80">
        <v>107</v>
      </c>
      <c r="B108" s="80">
        <v>18</v>
      </c>
      <c r="C108" s="80">
        <v>1</v>
      </c>
      <c r="D108" s="80" t="s">
        <v>3312</v>
      </c>
      <c r="E108" s="80">
        <v>796</v>
      </c>
      <c r="F108" s="80">
        <v>1.0900000000000001</v>
      </c>
      <c r="G108" s="80">
        <v>2</v>
      </c>
      <c r="H108" s="80">
        <v>4</v>
      </c>
      <c r="I108" s="80">
        <v>840</v>
      </c>
    </row>
    <row r="109" spans="1:9" x14ac:dyDescent="0.25">
      <c r="A109" s="80">
        <v>108</v>
      </c>
      <c r="B109" s="80">
        <v>18</v>
      </c>
      <c r="C109" s="80">
        <v>2</v>
      </c>
      <c r="D109" s="80" t="s">
        <v>3321</v>
      </c>
      <c r="E109" s="80">
        <v>796</v>
      </c>
      <c r="F109" s="80">
        <v>1.0900000000000001</v>
      </c>
      <c r="G109" s="80">
        <v>3</v>
      </c>
      <c r="H109" s="80">
        <v>3</v>
      </c>
      <c r="I109" s="80">
        <v>840</v>
      </c>
    </row>
    <row r="110" spans="1:9" x14ac:dyDescent="0.25">
      <c r="A110" s="80">
        <v>109</v>
      </c>
      <c r="B110" s="80">
        <v>18</v>
      </c>
      <c r="C110" s="80">
        <v>3</v>
      </c>
      <c r="D110" s="80" t="s">
        <v>3318</v>
      </c>
      <c r="E110" s="80">
        <v>796</v>
      </c>
      <c r="F110" s="80">
        <v>1.0900000000000001</v>
      </c>
      <c r="G110" s="80">
        <v>1</v>
      </c>
      <c r="H110" s="80">
        <v>1</v>
      </c>
      <c r="I110" s="80">
        <v>840</v>
      </c>
    </row>
    <row r="111" spans="1:9" x14ac:dyDescent="0.25">
      <c r="A111" s="80">
        <v>110</v>
      </c>
      <c r="B111" s="80">
        <v>18</v>
      </c>
      <c r="C111" s="80">
        <v>4</v>
      </c>
      <c r="D111" s="80" t="s">
        <v>3265</v>
      </c>
      <c r="E111" s="80">
        <v>796</v>
      </c>
      <c r="F111" s="80">
        <v>1.0900000000000001</v>
      </c>
      <c r="G111" s="80">
        <v>2</v>
      </c>
      <c r="H111" s="80">
        <v>4</v>
      </c>
      <c r="I111" s="80">
        <v>840</v>
      </c>
    </row>
    <row r="112" spans="1:9" x14ac:dyDescent="0.25">
      <c r="A112" s="80">
        <v>111</v>
      </c>
      <c r="B112" s="80">
        <v>18</v>
      </c>
      <c r="C112" s="80">
        <v>5</v>
      </c>
      <c r="D112" s="80" t="s">
        <v>3310</v>
      </c>
      <c r="E112" s="80">
        <v>796</v>
      </c>
      <c r="F112" s="80">
        <v>1.0900000000000001</v>
      </c>
      <c r="G112" s="80">
        <v>1</v>
      </c>
      <c r="H112" s="80">
        <v>2</v>
      </c>
      <c r="I112" s="80">
        <v>840</v>
      </c>
    </row>
    <row r="113" spans="1:9" x14ac:dyDescent="0.25">
      <c r="A113" s="80">
        <v>112</v>
      </c>
      <c r="B113" s="80">
        <v>18</v>
      </c>
      <c r="C113" s="80">
        <v>6</v>
      </c>
      <c r="D113" s="80" t="s">
        <v>3311</v>
      </c>
      <c r="E113" s="80">
        <v>796</v>
      </c>
      <c r="F113" s="80">
        <v>1.0900000000000001</v>
      </c>
      <c r="G113" s="80">
        <v>1</v>
      </c>
      <c r="H113" s="80">
        <v>2</v>
      </c>
      <c r="I113" s="80">
        <v>840</v>
      </c>
    </row>
    <row r="114" spans="1:9" x14ac:dyDescent="0.25">
      <c r="A114" s="80">
        <v>113</v>
      </c>
      <c r="B114" s="80">
        <v>18</v>
      </c>
      <c r="C114" s="80">
        <v>7</v>
      </c>
      <c r="D114" s="80" t="s">
        <v>3301</v>
      </c>
      <c r="E114" s="80">
        <v>796</v>
      </c>
      <c r="F114" s="80">
        <v>1.0900000000000001</v>
      </c>
      <c r="G114" s="80">
        <v>3</v>
      </c>
      <c r="H114" s="80">
        <v>3</v>
      </c>
      <c r="I114" s="80">
        <v>840</v>
      </c>
    </row>
    <row r="115" spans="1:9" x14ac:dyDescent="0.25">
      <c r="A115" s="80">
        <v>114</v>
      </c>
      <c r="B115" s="80">
        <v>18</v>
      </c>
      <c r="C115" s="80">
        <v>8</v>
      </c>
      <c r="D115" s="80" t="s">
        <v>3289</v>
      </c>
      <c r="E115" s="80">
        <v>796</v>
      </c>
      <c r="F115" s="80">
        <v>1.0900000000000001</v>
      </c>
      <c r="G115" s="80">
        <v>3</v>
      </c>
      <c r="H115" s="80">
        <v>3</v>
      </c>
      <c r="I115" s="80">
        <v>840</v>
      </c>
    </row>
    <row r="116" spans="1:9" x14ac:dyDescent="0.25">
      <c r="A116" s="80">
        <v>115</v>
      </c>
      <c r="B116" s="80">
        <v>19</v>
      </c>
      <c r="C116" s="80">
        <v>1</v>
      </c>
      <c r="D116" s="80" t="s">
        <v>3301</v>
      </c>
      <c r="E116" s="80">
        <v>796</v>
      </c>
      <c r="F116" s="80">
        <v>1.05</v>
      </c>
      <c r="G116" s="80">
        <v>2</v>
      </c>
      <c r="H116" s="80">
        <v>2</v>
      </c>
      <c r="I116" s="80">
        <v>840</v>
      </c>
    </row>
    <row r="117" spans="1:9" x14ac:dyDescent="0.25">
      <c r="A117" s="80">
        <v>116</v>
      </c>
      <c r="B117" s="80">
        <v>19</v>
      </c>
      <c r="C117" s="80">
        <v>2</v>
      </c>
      <c r="D117" s="80" t="s">
        <v>3312</v>
      </c>
      <c r="E117" s="80">
        <v>796</v>
      </c>
      <c r="F117" s="80">
        <v>1.05</v>
      </c>
      <c r="G117" s="80">
        <v>2</v>
      </c>
      <c r="H117" s="80">
        <v>2</v>
      </c>
      <c r="I117" s="80">
        <v>840</v>
      </c>
    </row>
    <row r="118" spans="1:9" x14ac:dyDescent="0.25">
      <c r="A118" s="80">
        <v>117</v>
      </c>
      <c r="B118" s="80">
        <v>19</v>
      </c>
      <c r="C118" s="80">
        <v>3</v>
      </c>
      <c r="D118" s="80" t="s">
        <v>3265</v>
      </c>
      <c r="E118" s="80">
        <v>796</v>
      </c>
      <c r="F118" s="80">
        <v>1.05</v>
      </c>
      <c r="G118" s="80">
        <v>2</v>
      </c>
      <c r="H118" s="80">
        <v>2</v>
      </c>
      <c r="I118" s="80">
        <v>840</v>
      </c>
    </row>
    <row r="119" spans="1:9" x14ac:dyDescent="0.25">
      <c r="A119" s="80">
        <v>118</v>
      </c>
      <c r="B119" s="80">
        <v>19</v>
      </c>
      <c r="C119" s="80">
        <v>4</v>
      </c>
      <c r="D119" s="80" t="s">
        <v>3310</v>
      </c>
      <c r="E119" s="80">
        <v>796</v>
      </c>
      <c r="F119" s="80">
        <v>1.05</v>
      </c>
      <c r="G119" s="80">
        <v>1</v>
      </c>
      <c r="H119" s="80">
        <v>2</v>
      </c>
      <c r="I119" s="80">
        <v>840</v>
      </c>
    </row>
    <row r="120" spans="1:9" x14ac:dyDescent="0.25">
      <c r="A120" s="80">
        <v>119</v>
      </c>
      <c r="B120" s="80">
        <v>19</v>
      </c>
      <c r="C120" s="80">
        <v>5</v>
      </c>
      <c r="D120" s="80" t="s">
        <v>3308</v>
      </c>
      <c r="E120" s="80">
        <v>796</v>
      </c>
      <c r="F120" s="80">
        <v>1.05</v>
      </c>
      <c r="G120" s="80">
        <v>1</v>
      </c>
      <c r="H120" s="80">
        <v>2</v>
      </c>
      <c r="I120" s="80">
        <v>840</v>
      </c>
    </row>
    <row r="121" spans="1:9" x14ac:dyDescent="0.25">
      <c r="A121" s="80">
        <v>120</v>
      </c>
      <c r="B121" s="80">
        <v>19</v>
      </c>
      <c r="C121" s="80">
        <v>6</v>
      </c>
      <c r="D121" s="80" t="s">
        <v>3309</v>
      </c>
      <c r="E121" s="80">
        <v>796</v>
      </c>
      <c r="F121" s="80">
        <v>1.05</v>
      </c>
      <c r="G121" s="80">
        <v>3</v>
      </c>
      <c r="H121" s="80">
        <v>3</v>
      </c>
      <c r="I121" s="80">
        <v>840</v>
      </c>
    </row>
    <row r="122" spans="1:9" x14ac:dyDescent="0.25">
      <c r="A122" s="80">
        <v>121</v>
      </c>
      <c r="B122" s="80">
        <v>19</v>
      </c>
      <c r="C122" s="80">
        <v>7</v>
      </c>
      <c r="D122" s="80" t="s">
        <v>3314</v>
      </c>
      <c r="E122" s="80">
        <v>796</v>
      </c>
      <c r="F122" s="80">
        <v>1.05</v>
      </c>
      <c r="G122" s="80">
        <v>3</v>
      </c>
      <c r="H122" s="80">
        <v>6</v>
      </c>
      <c r="I122" s="80">
        <v>840</v>
      </c>
    </row>
    <row r="123" spans="1:9" x14ac:dyDescent="0.25">
      <c r="A123" s="80">
        <v>122</v>
      </c>
      <c r="B123" s="80">
        <v>19</v>
      </c>
      <c r="C123" s="80">
        <v>8</v>
      </c>
      <c r="D123" s="80" t="s">
        <v>3261</v>
      </c>
      <c r="E123" s="80">
        <v>796</v>
      </c>
      <c r="F123" s="80">
        <v>1.05</v>
      </c>
      <c r="G123" s="80">
        <v>2</v>
      </c>
      <c r="H123" s="80">
        <v>2</v>
      </c>
      <c r="I123" s="80">
        <v>840</v>
      </c>
    </row>
    <row r="124" spans="1:9" x14ac:dyDescent="0.25">
      <c r="A124" s="80">
        <v>123</v>
      </c>
      <c r="B124" s="80">
        <v>20</v>
      </c>
      <c r="C124" s="80">
        <v>1</v>
      </c>
      <c r="D124" s="80" t="s">
        <v>3322</v>
      </c>
      <c r="E124" s="80">
        <v>796</v>
      </c>
      <c r="F124" s="80">
        <v>1.06</v>
      </c>
      <c r="G124" s="80">
        <v>3</v>
      </c>
      <c r="H124" s="80">
        <v>6</v>
      </c>
      <c r="I124" s="80">
        <v>840</v>
      </c>
    </row>
    <row r="125" spans="1:9" x14ac:dyDescent="0.25">
      <c r="A125" s="80">
        <v>124</v>
      </c>
      <c r="B125" s="80">
        <v>20</v>
      </c>
      <c r="C125" s="80">
        <v>2</v>
      </c>
      <c r="D125" s="80" t="s">
        <v>3314</v>
      </c>
      <c r="E125" s="80">
        <v>796</v>
      </c>
      <c r="F125" s="80">
        <v>1.06</v>
      </c>
      <c r="G125" s="80">
        <v>2</v>
      </c>
      <c r="H125" s="80">
        <v>2</v>
      </c>
      <c r="I125" s="80">
        <v>840</v>
      </c>
    </row>
    <row r="126" spans="1:9" x14ac:dyDescent="0.25">
      <c r="A126" s="80">
        <v>125</v>
      </c>
      <c r="B126" s="80">
        <v>20</v>
      </c>
      <c r="C126" s="80">
        <v>3</v>
      </c>
      <c r="D126" s="80" t="s">
        <v>3323</v>
      </c>
      <c r="E126" s="80">
        <v>796</v>
      </c>
      <c r="F126" s="80">
        <v>1.06</v>
      </c>
      <c r="G126" s="80">
        <v>1</v>
      </c>
      <c r="H126" s="80">
        <v>1</v>
      </c>
      <c r="I126" s="80">
        <v>840</v>
      </c>
    </row>
    <row r="127" spans="1:9" x14ac:dyDescent="0.25">
      <c r="A127" s="80">
        <v>126</v>
      </c>
      <c r="B127" s="80">
        <v>20</v>
      </c>
      <c r="C127" s="80">
        <v>4</v>
      </c>
      <c r="D127" s="80" t="s">
        <v>3301</v>
      </c>
      <c r="E127" s="80">
        <v>796</v>
      </c>
      <c r="F127" s="80">
        <v>1.06</v>
      </c>
      <c r="G127" s="80">
        <v>1</v>
      </c>
      <c r="H127" s="80">
        <v>2</v>
      </c>
      <c r="I127" s="80">
        <v>840</v>
      </c>
    </row>
    <row r="128" spans="1:9" x14ac:dyDescent="0.25">
      <c r="A128" s="80">
        <v>127</v>
      </c>
      <c r="B128" s="80">
        <v>20</v>
      </c>
      <c r="C128" s="80">
        <v>5</v>
      </c>
      <c r="D128" s="80" t="s">
        <v>3311</v>
      </c>
      <c r="E128" s="80">
        <v>796</v>
      </c>
      <c r="F128" s="80">
        <v>1.06</v>
      </c>
      <c r="G128" s="80">
        <v>1</v>
      </c>
      <c r="H128" s="80">
        <v>1</v>
      </c>
      <c r="I128" s="80">
        <v>840</v>
      </c>
    </row>
    <row r="129" spans="1:9" x14ac:dyDescent="0.25">
      <c r="A129" s="80">
        <v>128</v>
      </c>
      <c r="B129" s="80">
        <v>20</v>
      </c>
      <c r="C129" s="80">
        <v>6</v>
      </c>
      <c r="D129" s="80" t="s">
        <v>3308</v>
      </c>
      <c r="E129" s="80">
        <v>796</v>
      </c>
      <c r="F129" s="80">
        <v>1.06</v>
      </c>
      <c r="G129" s="80">
        <v>3</v>
      </c>
      <c r="H129" s="80">
        <v>6</v>
      </c>
      <c r="I129" s="80">
        <v>840</v>
      </c>
    </row>
    <row r="130" spans="1:9" x14ac:dyDescent="0.25">
      <c r="A130" s="80">
        <v>129</v>
      </c>
      <c r="B130" s="80">
        <v>20</v>
      </c>
      <c r="C130" s="80">
        <v>7</v>
      </c>
      <c r="D130" s="80" t="s">
        <v>3312</v>
      </c>
      <c r="E130" s="80">
        <v>796</v>
      </c>
      <c r="F130" s="80">
        <v>1.06</v>
      </c>
      <c r="G130" s="80">
        <v>1</v>
      </c>
      <c r="H130" s="80">
        <v>2</v>
      </c>
      <c r="I130" s="80">
        <v>840</v>
      </c>
    </row>
    <row r="131" spans="1:9" x14ac:dyDescent="0.25">
      <c r="A131" s="80">
        <v>130</v>
      </c>
      <c r="B131" s="80">
        <v>20</v>
      </c>
      <c r="C131" s="80">
        <v>8</v>
      </c>
      <c r="D131" s="80" t="s">
        <v>3324</v>
      </c>
      <c r="E131" s="80">
        <v>796</v>
      </c>
      <c r="F131" s="80">
        <v>1.06</v>
      </c>
      <c r="G131" s="80">
        <v>2</v>
      </c>
      <c r="H131" s="80">
        <v>2</v>
      </c>
      <c r="I131" s="80">
        <v>840</v>
      </c>
    </row>
    <row r="132" spans="1:9" x14ac:dyDescent="0.25">
      <c r="A132" s="80">
        <v>131</v>
      </c>
      <c r="B132" s="80">
        <v>21</v>
      </c>
      <c r="C132" s="80">
        <v>1</v>
      </c>
      <c r="D132" s="80" t="s">
        <v>3302</v>
      </c>
      <c r="E132" s="80">
        <v>796</v>
      </c>
      <c r="F132" s="80">
        <v>1.06</v>
      </c>
      <c r="G132" s="80">
        <v>2</v>
      </c>
      <c r="H132" s="80">
        <v>2</v>
      </c>
      <c r="I132" s="80">
        <v>840</v>
      </c>
    </row>
    <row r="133" spans="1:9" x14ac:dyDescent="0.25">
      <c r="A133" s="80">
        <v>132</v>
      </c>
      <c r="B133" s="80">
        <v>21</v>
      </c>
      <c r="C133" s="80">
        <v>2</v>
      </c>
      <c r="D133" s="80" t="s">
        <v>3321</v>
      </c>
      <c r="E133" s="80">
        <v>796</v>
      </c>
      <c r="F133" s="80">
        <v>1.06</v>
      </c>
      <c r="G133" s="80">
        <v>3</v>
      </c>
      <c r="H133" s="80">
        <v>6</v>
      </c>
      <c r="I133" s="80">
        <v>840</v>
      </c>
    </row>
    <row r="134" spans="1:9" x14ac:dyDescent="0.25">
      <c r="A134" s="80">
        <v>133</v>
      </c>
      <c r="B134" s="80">
        <v>21</v>
      </c>
      <c r="C134" s="80">
        <v>3</v>
      </c>
      <c r="D134" s="80" t="s">
        <v>3260</v>
      </c>
      <c r="E134" s="80">
        <v>796</v>
      </c>
      <c r="F134" s="80">
        <v>1.06</v>
      </c>
      <c r="G134" s="80">
        <v>3</v>
      </c>
      <c r="H134" s="80">
        <v>3</v>
      </c>
      <c r="I134" s="80">
        <v>840</v>
      </c>
    </row>
    <row r="135" spans="1:9" x14ac:dyDescent="0.25">
      <c r="A135" s="80">
        <v>134</v>
      </c>
      <c r="B135" s="80">
        <v>21</v>
      </c>
      <c r="C135" s="80">
        <v>4</v>
      </c>
      <c r="D135" s="80" t="s">
        <v>3289</v>
      </c>
      <c r="E135" s="80">
        <v>796</v>
      </c>
      <c r="F135" s="80">
        <v>1.06</v>
      </c>
      <c r="G135" s="80">
        <v>1</v>
      </c>
      <c r="H135" s="80">
        <v>1</v>
      </c>
      <c r="I135" s="80">
        <v>840</v>
      </c>
    </row>
    <row r="136" spans="1:9" x14ac:dyDescent="0.25">
      <c r="A136" s="80">
        <v>135</v>
      </c>
      <c r="B136" s="80">
        <v>21</v>
      </c>
      <c r="C136" s="80">
        <v>5</v>
      </c>
      <c r="D136" s="80" t="s">
        <v>3308</v>
      </c>
      <c r="E136" s="80">
        <v>796</v>
      </c>
      <c r="F136" s="80">
        <v>1.06</v>
      </c>
      <c r="G136" s="80">
        <v>1</v>
      </c>
      <c r="H136" s="80">
        <v>1</v>
      </c>
      <c r="I136" s="80">
        <v>840</v>
      </c>
    </row>
    <row r="137" spans="1:9" x14ac:dyDescent="0.25">
      <c r="A137" s="80">
        <v>136</v>
      </c>
      <c r="B137" s="80">
        <v>21</v>
      </c>
      <c r="C137" s="80">
        <v>6</v>
      </c>
      <c r="D137" s="80" t="s">
        <v>3311</v>
      </c>
      <c r="E137" s="80">
        <v>796</v>
      </c>
      <c r="F137" s="80">
        <v>1.06</v>
      </c>
      <c r="G137" s="80">
        <v>1</v>
      </c>
      <c r="H137" s="80">
        <v>2</v>
      </c>
      <c r="I137" s="80">
        <v>840</v>
      </c>
    </row>
    <row r="138" spans="1:9" x14ac:dyDescent="0.25">
      <c r="A138" s="80">
        <v>137</v>
      </c>
      <c r="B138" s="80">
        <v>21</v>
      </c>
      <c r="C138" s="80">
        <v>7</v>
      </c>
      <c r="D138" s="80" t="s">
        <v>3262</v>
      </c>
      <c r="E138" s="80">
        <v>796</v>
      </c>
      <c r="F138" s="80">
        <v>1.06</v>
      </c>
      <c r="G138" s="80">
        <v>3</v>
      </c>
      <c r="H138" s="80">
        <v>6</v>
      </c>
      <c r="I138" s="80">
        <v>840</v>
      </c>
    </row>
    <row r="139" spans="1:9" x14ac:dyDescent="0.25">
      <c r="A139" s="80">
        <v>138</v>
      </c>
      <c r="B139" s="80">
        <v>22</v>
      </c>
      <c r="C139" s="80">
        <v>1</v>
      </c>
      <c r="D139" s="80" t="s">
        <v>3302</v>
      </c>
      <c r="E139" s="80">
        <v>796</v>
      </c>
      <c r="F139" s="80">
        <v>0.99</v>
      </c>
      <c r="G139" s="80">
        <v>3</v>
      </c>
      <c r="H139" s="80">
        <v>3</v>
      </c>
      <c r="I139" s="80">
        <v>840</v>
      </c>
    </row>
    <row r="140" spans="1:9" x14ac:dyDescent="0.25">
      <c r="A140" s="80">
        <v>139</v>
      </c>
      <c r="B140" s="80">
        <v>22</v>
      </c>
      <c r="C140" s="80">
        <v>2</v>
      </c>
      <c r="D140" s="80" t="s">
        <v>3321</v>
      </c>
      <c r="E140" s="80">
        <v>796</v>
      </c>
      <c r="F140" s="80">
        <v>0.99</v>
      </c>
      <c r="G140" s="80">
        <v>1</v>
      </c>
      <c r="H140" s="80">
        <v>1</v>
      </c>
      <c r="I140" s="80">
        <v>840</v>
      </c>
    </row>
    <row r="141" spans="1:9" x14ac:dyDescent="0.25">
      <c r="A141" s="80">
        <v>140</v>
      </c>
      <c r="B141" s="80">
        <v>22</v>
      </c>
      <c r="C141" s="80">
        <v>3</v>
      </c>
      <c r="D141" s="80" t="s">
        <v>3260</v>
      </c>
      <c r="E141" s="80">
        <v>796</v>
      </c>
      <c r="F141" s="80">
        <v>0.99</v>
      </c>
      <c r="G141" s="80">
        <v>3</v>
      </c>
      <c r="H141" s="80">
        <v>6</v>
      </c>
      <c r="I141" s="80">
        <v>840</v>
      </c>
    </row>
    <row r="142" spans="1:9" x14ac:dyDescent="0.25">
      <c r="A142" s="80">
        <v>141</v>
      </c>
      <c r="B142" s="80">
        <v>22</v>
      </c>
      <c r="C142" s="80">
        <v>4</v>
      </c>
      <c r="D142" s="80" t="s">
        <v>3289</v>
      </c>
      <c r="E142" s="80">
        <v>796</v>
      </c>
      <c r="F142" s="80">
        <v>0.99</v>
      </c>
      <c r="G142" s="80">
        <v>3</v>
      </c>
      <c r="H142" s="80">
        <v>3</v>
      </c>
      <c r="I142" s="80">
        <v>840</v>
      </c>
    </row>
    <row r="143" spans="1:9" x14ac:dyDescent="0.25">
      <c r="A143" s="80">
        <v>142</v>
      </c>
      <c r="B143" s="80">
        <v>22</v>
      </c>
      <c r="C143" s="80">
        <v>5</v>
      </c>
      <c r="D143" s="80" t="s">
        <v>3308</v>
      </c>
      <c r="E143" s="80">
        <v>796</v>
      </c>
      <c r="F143" s="80">
        <v>0.99</v>
      </c>
      <c r="G143" s="80">
        <v>2</v>
      </c>
      <c r="H143" s="80">
        <v>4</v>
      </c>
      <c r="I143" s="80">
        <v>840</v>
      </c>
    </row>
    <row r="144" spans="1:9" x14ac:dyDescent="0.25">
      <c r="A144" s="80">
        <v>143</v>
      </c>
      <c r="B144" s="80">
        <v>22</v>
      </c>
      <c r="C144" s="80">
        <v>6</v>
      </c>
      <c r="D144" s="80" t="s">
        <v>3311</v>
      </c>
      <c r="E144" s="80">
        <v>796</v>
      </c>
      <c r="F144" s="80">
        <v>0.99</v>
      </c>
      <c r="G144" s="80">
        <v>3</v>
      </c>
      <c r="H144" s="80">
        <v>6</v>
      </c>
      <c r="I144" s="80">
        <v>840</v>
      </c>
    </row>
    <row r="145" spans="1:9" x14ac:dyDescent="0.25">
      <c r="A145" s="80">
        <v>144</v>
      </c>
      <c r="B145" s="80">
        <v>22</v>
      </c>
      <c r="C145" s="80">
        <v>7</v>
      </c>
      <c r="D145" s="80" t="s">
        <v>3262</v>
      </c>
      <c r="E145" s="80">
        <v>796</v>
      </c>
      <c r="F145" s="80">
        <v>0.99</v>
      </c>
      <c r="G145" s="80">
        <v>1</v>
      </c>
      <c r="H145" s="80">
        <v>1</v>
      </c>
      <c r="I145" s="80">
        <v>840</v>
      </c>
    </row>
    <row r="146" spans="1:9" x14ac:dyDescent="0.25">
      <c r="A146" s="80">
        <v>145</v>
      </c>
      <c r="B146" s="80">
        <v>23</v>
      </c>
      <c r="C146" s="80">
        <v>1</v>
      </c>
      <c r="D146" s="80" t="s">
        <v>3290</v>
      </c>
      <c r="E146" s="80">
        <v>796</v>
      </c>
      <c r="F146" s="80">
        <v>1.24</v>
      </c>
      <c r="G146" s="80">
        <v>2</v>
      </c>
      <c r="H146" s="80">
        <v>4</v>
      </c>
      <c r="I146" s="80">
        <v>840</v>
      </c>
    </row>
    <row r="147" spans="1:9" x14ac:dyDescent="0.25">
      <c r="A147" s="80">
        <v>146</v>
      </c>
      <c r="B147" s="80">
        <v>23</v>
      </c>
      <c r="C147" s="80">
        <v>2</v>
      </c>
      <c r="D147" s="80" t="s">
        <v>3289</v>
      </c>
      <c r="E147" s="80">
        <v>796</v>
      </c>
      <c r="F147" s="80">
        <v>1.24</v>
      </c>
      <c r="G147" s="80">
        <v>2</v>
      </c>
      <c r="H147" s="80">
        <v>4</v>
      </c>
      <c r="I147" s="80">
        <v>840</v>
      </c>
    </row>
    <row r="148" spans="1:9" x14ac:dyDescent="0.25">
      <c r="A148" s="80">
        <v>147</v>
      </c>
      <c r="B148" s="80">
        <v>23</v>
      </c>
      <c r="C148" s="80">
        <v>3</v>
      </c>
      <c r="D148" s="80" t="s">
        <v>3318</v>
      </c>
      <c r="E148" s="80">
        <v>796</v>
      </c>
      <c r="F148" s="80">
        <v>1.24</v>
      </c>
      <c r="G148" s="80">
        <v>2</v>
      </c>
      <c r="H148" s="80">
        <v>4</v>
      </c>
      <c r="I148" s="80">
        <v>840</v>
      </c>
    </row>
    <row r="149" spans="1:9" x14ac:dyDescent="0.25">
      <c r="A149" s="80">
        <v>148</v>
      </c>
      <c r="B149" s="80">
        <v>23</v>
      </c>
      <c r="C149" s="80">
        <v>4</v>
      </c>
      <c r="D149" s="80" t="s">
        <v>3262</v>
      </c>
      <c r="E149" s="80">
        <v>796</v>
      </c>
      <c r="F149" s="80">
        <v>1.24</v>
      </c>
      <c r="G149" s="80">
        <v>1</v>
      </c>
      <c r="H149" s="80">
        <v>2</v>
      </c>
      <c r="I149" s="80">
        <v>840</v>
      </c>
    </row>
    <row r="150" spans="1:9" x14ac:dyDescent="0.25">
      <c r="A150" s="80">
        <v>149</v>
      </c>
      <c r="B150" s="80">
        <v>23</v>
      </c>
      <c r="C150" s="80">
        <v>5</v>
      </c>
      <c r="D150" s="80" t="s">
        <v>3260</v>
      </c>
      <c r="E150" s="80">
        <v>796</v>
      </c>
      <c r="F150" s="80">
        <v>1.24</v>
      </c>
      <c r="G150" s="80">
        <v>1</v>
      </c>
      <c r="H150" s="80">
        <v>2</v>
      </c>
      <c r="I150" s="80">
        <v>840</v>
      </c>
    </row>
    <row r="151" spans="1:9" x14ac:dyDescent="0.25">
      <c r="A151" s="80">
        <v>150</v>
      </c>
      <c r="B151" s="80">
        <v>23</v>
      </c>
      <c r="C151" s="80">
        <v>6</v>
      </c>
      <c r="D151" s="80" t="s">
        <v>3309</v>
      </c>
      <c r="E151" s="80">
        <v>796</v>
      </c>
      <c r="F151" s="80">
        <v>1.24</v>
      </c>
      <c r="G151" s="80">
        <v>3</v>
      </c>
      <c r="H151" s="80">
        <v>6</v>
      </c>
      <c r="I151" s="80">
        <v>840</v>
      </c>
    </row>
    <row r="152" spans="1:9" x14ac:dyDescent="0.25">
      <c r="A152" s="80">
        <v>151</v>
      </c>
      <c r="B152" s="80">
        <v>23</v>
      </c>
      <c r="C152" s="80">
        <v>7</v>
      </c>
      <c r="D152" s="80" t="s">
        <v>3306</v>
      </c>
      <c r="E152" s="80">
        <v>796</v>
      </c>
      <c r="F152" s="80">
        <v>1.24</v>
      </c>
      <c r="G152" s="80">
        <v>3</v>
      </c>
      <c r="H152" s="80">
        <v>3</v>
      </c>
      <c r="I152" s="80">
        <v>840</v>
      </c>
    </row>
    <row r="153" spans="1:9" x14ac:dyDescent="0.25">
      <c r="A153" s="80">
        <v>152</v>
      </c>
      <c r="B153" s="80">
        <v>24</v>
      </c>
      <c r="C153" s="80">
        <v>1</v>
      </c>
      <c r="D153" s="80" t="s">
        <v>3321</v>
      </c>
      <c r="E153" s="80">
        <v>796</v>
      </c>
      <c r="F153" s="80">
        <v>1.38</v>
      </c>
      <c r="G153" s="80">
        <v>3</v>
      </c>
      <c r="H153" s="80">
        <v>6</v>
      </c>
      <c r="I153" s="80">
        <v>840</v>
      </c>
    </row>
    <row r="154" spans="1:9" x14ac:dyDescent="0.25">
      <c r="A154" s="80">
        <v>153</v>
      </c>
      <c r="B154" s="80">
        <v>24</v>
      </c>
      <c r="C154" s="80">
        <v>2</v>
      </c>
      <c r="D154" s="80" t="s">
        <v>3265</v>
      </c>
      <c r="E154" s="80">
        <v>796</v>
      </c>
      <c r="F154" s="80">
        <v>1.38</v>
      </c>
      <c r="G154" s="80">
        <v>1</v>
      </c>
      <c r="H154" s="80">
        <v>1</v>
      </c>
      <c r="I154" s="80">
        <v>840</v>
      </c>
    </row>
    <row r="155" spans="1:9" x14ac:dyDescent="0.25">
      <c r="A155" s="80">
        <v>154</v>
      </c>
      <c r="B155" s="80">
        <v>24</v>
      </c>
      <c r="C155" s="80">
        <v>3</v>
      </c>
      <c r="D155" s="80" t="s">
        <v>3308</v>
      </c>
      <c r="E155" s="80">
        <v>796</v>
      </c>
      <c r="F155" s="80">
        <v>1.38</v>
      </c>
      <c r="G155" s="80">
        <v>3</v>
      </c>
      <c r="H155" s="80">
        <v>3</v>
      </c>
      <c r="I155" s="80">
        <v>840</v>
      </c>
    </row>
    <row r="156" spans="1:9" x14ac:dyDescent="0.25">
      <c r="A156" s="80">
        <v>155</v>
      </c>
      <c r="B156" s="80">
        <v>24</v>
      </c>
      <c r="C156" s="80">
        <v>4</v>
      </c>
      <c r="D156" s="80" t="s">
        <v>3289</v>
      </c>
      <c r="E156" s="80">
        <v>796</v>
      </c>
      <c r="F156" s="80">
        <v>1.38</v>
      </c>
      <c r="G156" s="80">
        <v>2</v>
      </c>
      <c r="H156" s="80">
        <v>4</v>
      </c>
      <c r="I156" s="80">
        <v>840</v>
      </c>
    </row>
    <row r="157" spans="1:9" x14ac:dyDescent="0.25">
      <c r="A157" s="80">
        <v>156</v>
      </c>
      <c r="B157" s="80">
        <v>24</v>
      </c>
      <c r="C157" s="80">
        <v>5</v>
      </c>
      <c r="D157" s="80" t="s">
        <v>3310</v>
      </c>
      <c r="E157" s="80">
        <v>796</v>
      </c>
      <c r="F157" s="80">
        <v>1.38</v>
      </c>
      <c r="G157" s="80">
        <v>1</v>
      </c>
      <c r="H157" s="80">
        <v>1</v>
      </c>
      <c r="I157" s="80">
        <v>840</v>
      </c>
    </row>
    <row r="158" spans="1:9" x14ac:dyDescent="0.25">
      <c r="A158" s="80">
        <v>157</v>
      </c>
      <c r="B158" s="80">
        <v>24</v>
      </c>
      <c r="C158" s="80">
        <v>6</v>
      </c>
      <c r="D158" s="80" t="s">
        <v>3309</v>
      </c>
      <c r="E158" s="80">
        <v>796</v>
      </c>
      <c r="F158" s="80">
        <v>1.38</v>
      </c>
      <c r="G158" s="80">
        <v>1</v>
      </c>
      <c r="H158" s="80">
        <v>1</v>
      </c>
      <c r="I158" s="80">
        <v>840</v>
      </c>
    </row>
    <row r="159" spans="1:9" x14ac:dyDescent="0.25">
      <c r="A159" s="80">
        <v>158</v>
      </c>
      <c r="B159" s="80">
        <v>24</v>
      </c>
      <c r="C159" s="80">
        <v>7</v>
      </c>
      <c r="D159" s="80" t="s">
        <v>3325</v>
      </c>
      <c r="E159" s="80">
        <v>796</v>
      </c>
      <c r="F159" s="80">
        <v>1.38</v>
      </c>
      <c r="G159" s="80">
        <v>2</v>
      </c>
      <c r="H159" s="80">
        <v>2</v>
      </c>
      <c r="I159" s="80">
        <v>840</v>
      </c>
    </row>
    <row r="160" spans="1:9" x14ac:dyDescent="0.25">
      <c r="A160" s="80">
        <v>159</v>
      </c>
      <c r="B160" s="80">
        <v>24</v>
      </c>
      <c r="C160" s="80">
        <v>8</v>
      </c>
      <c r="D160" s="80" t="s">
        <v>3324</v>
      </c>
      <c r="E160" s="80">
        <v>796</v>
      </c>
      <c r="F160" s="80">
        <v>1.38</v>
      </c>
      <c r="G160" s="80">
        <v>1</v>
      </c>
      <c r="H160" s="80">
        <v>2</v>
      </c>
      <c r="I160" s="80">
        <v>840</v>
      </c>
    </row>
    <row r="161" spans="1:9" x14ac:dyDescent="0.25">
      <c r="A161" s="80">
        <v>160</v>
      </c>
      <c r="B161" s="80">
        <v>24</v>
      </c>
      <c r="C161" s="80">
        <v>9</v>
      </c>
      <c r="D161" s="80" t="s">
        <v>3306</v>
      </c>
      <c r="E161" s="80">
        <v>796</v>
      </c>
      <c r="F161" s="80">
        <v>1.38</v>
      </c>
      <c r="G161" s="80">
        <v>1</v>
      </c>
      <c r="H161" s="80">
        <v>1</v>
      </c>
      <c r="I161" s="80">
        <v>840</v>
      </c>
    </row>
    <row r="162" spans="1:9" x14ac:dyDescent="0.25">
      <c r="A162" s="80">
        <v>161</v>
      </c>
      <c r="B162" s="80">
        <v>25</v>
      </c>
      <c r="C162" s="80">
        <v>1</v>
      </c>
      <c r="D162" s="80" t="s">
        <v>3301</v>
      </c>
      <c r="E162" s="80">
        <v>796</v>
      </c>
      <c r="F162" s="80">
        <v>1.22</v>
      </c>
      <c r="G162" s="80">
        <v>2</v>
      </c>
      <c r="H162" s="80">
        <v>4</v>
      </c>
      <c r="I162" s="80">
        <v>840</v>
      </c>
    </row>
    <row r="163" spans="1:9" x14ac:dyDescent="0.25">
      <c r="A163" s="80">
        <v>162</v>
      </c>
      <c r="B163" s="80">
        <v>25</v>
      </c>
      <c r="C163" s="80">
        <v>2</v>
      </c>
      <c r="D163" s="80" t="s">
        <v>3289</v>
      </c>
      <c r="E163" s="80">
        <v>796</v>
      </c>
      <c r="F163" s="80">
        <v>1.22</v>
      </c>
      <c r="G163" s="80">
        <v>2</v>
      </c>
      <c r="H163" s="80">
        <v>4</v>
      </c>
      <c r="I163" s="80">
        <v>840</v>
      </c>
    </row>
    <row r="164" spans="1:9" x14ac:dyDescent="0.25">
      <c r="A164" s="80">
        <v>163</v>
      </c>
      <c r="B164" s="80">
        <v>25</v>
      </c>
      <c r="C164" s="80">
        <v>3</v>
      </c>
      <c r="D164" s="80" t="s">
        <v>3311</v>
      </c>
      <c r="E164" s="80">
        <v>796</v>
      </c>
      <c r="F164" s="80">
        <v>1.22</v>
      </c>
      <c r="G164" s="80">
        <v>2</v>
      </c>
      <c r="H164" s="80">
        <v>2</v>
      </c>
      <c r="I164" s="80">
        <v>840</v>
      </c>
    </row>
    <row r="165" spans="1:9" x14ac:dyDescent="0.25">
      <c r="A165" s="80">
        <v>164</v>
      </c>
      <c r="B165" s="80">
        <v>25</v>
      </c>
      <c r="C165" s="80">
        <v>4</v>
      </c>
      <c r="D165" s="80" t="s">
        <v>3265</v>
      </c>
      <c r="E165" s="80">
        <v>796</v>
      </c>
      <c r="F165" s="80">
        <v>1.22</v>
      </c>
      <c r="G165" s="80">
        <v>3</v>
      </c>
      <c r="H165" s="80">
        <v>6</v>
      </c>
      <c r="I165" s="80">
        <v>840</v>
      </c>
    </row>
    <row r="166" spans="1:9" x14ac:dyDescent="0.25">
      <c r="A166" s="80">
        <v>165</v>
      </c>
      <c r="B166" s="80">
        <v>25</v>
      </c>
      <c r="C166" s="80">
        <v>5</v>
      </c>
      <c r="D166" s="80" t="s">
        <v>3308</v>
      </c>
      <c r="E166" s="80">
        <v>796</v>
      </c>
      <c r="F166" s="80">
        <v>1.22</v>
      </c>
      <c r="G166" s="80">
        <v>2</v>
      </c>
      <c r="H166" s="80">
        <v>2</v>
      </c>
      <c r="I166" s="80">
        <v>840</v>
      </c>
    </row>
    <row r="167" spans="1:9" x14ac:dyDescent="0.25">
      <c r="A167" s="80">
        <v>166</v>
      </c>
      <c r="B167" s="80">
        <v>25</v>
      </c>
      <c r="C167" s="80">
        <v>6</v>
      </c>
      <c r="D167" s="80" t="s">
        <v>3261</v>
      </c>
      <c r="E167" s="80">
        <v>796</v>
      </c>
      <c r="F167" s="80">
        <v>1.22</v>
      </c>
      <c r="G167" s="80">
        <v>2</v>
      </c>
      <c r="H167" s="80">
        <v>4</v>
      </c>
      <c r="I167" s="80">
        <v>840</v>
      </c>
    </row>
    <row r="168" spans="1:9" x14ac:dyDescent="0.25">
      <c r="A168" s="80">
        <v>167</v>
      </c>
      <c r="B168" s="80">
        <v>25</v>
      </c>
      <c r="C168" s="80">
        <v>7</v>
      </c>
      <c r="D168" s="80" t="s">
        <v>3310</v>
      </c>
      <c r="E168" s="80">
        <v>796</v>
      </c>
      <c r="F168" s="80">
        <v>1.22</v>
      </c>
      <c r="G168" s="80">
        <v>2</v>
      </c>
      <c r="H168" s="80">
        <v>4</v>
      </c>
      <c r="I168" s="80">
        <v>840</v>
      </c>
    </row>
    <row r="169" spans="1:9" x14ac:dyDescent="0.25">
      <c r="A169" s="80">
        <v>168</v>
      </c>
      <c r="B169" s="80">
        <v>25</v>
      </c>
      <c r="C169" s="80">
        <v>8</v>
      </c>
      <c r="D169" s="80" t="s">
        <v>3260</v>
      </c>
      <c r="E169" s="80">
        <v>796</v>
      </c>
      <c r="F169" s="80">
        <v>1.22</v>
      </c>
      <c r="G169" s="80">
        <v>1</v>
      </c>
      <c r="H169" s="80">
        <v>2</v>
      </c>
      <c r="I169" s="80">
        <v>840</v>
      </c>
    </row>
    <row r="170" spans="1:9" x14ac:dyDescent="0.25">
      <c r="A170" s="80">
        <v>169</v>
      </c>
      <c r="B170" s="80">
        <v>25</v>
      </c>
      <c r="C170" s="80">
        <v>9</v>
      </c>
      <c r="D170" s="80" t="s">
        <v>3306</v>
      </c>
      <c r="E170" s="80">
        <v>796</v>
      </c>
      <c r="F170" s="80">
        <v>1.22</v>
      </c>
      <c r="G170" s="80">
        <v>3</v>
      </c>
      <c r="H170" s="80">
        <v>3</v>
      </c>
      <c r="I170" s="80">
        <v>840</v>
      </c>
    </row>
    <row r="171" spans="1:9" x14ac:dyDescent="0.25">
      <c r="A171" s="80">
        <v>170</v>
      </c>
      <c r="B171" s="80">
        <v>26</v>
      </c>
      <c r="C171" s="80">
        <v>1</v>
      </c>
      <c r="D171" s="80" t="s">
        <v>3327</v>
      </c>
      <c r="E171" s="80">
        <v>796</v>
      </c>
      <c r="F171" s="80">
        <v>1.2</v>
      </c>
      <c r="G171" s="80">
        <v>2</v>
      </c>
      <c r="H171" s="80">
        <v>2</v>
      </c>
      <c r="I171" s="80">
        <v>840</v>
      </c>
    </row>
    <row r="172" spans="1:9" x14ac:dyDescent="0.25">
      <c r="A172" s="80">
        <v>171</v>
      </c>
      <c r="B172" s="80">
        <v>26</v>
      </c>
      <c r="C172" s="80">
        <v>2</v>
      </c>
      <c r="D172" s="80" t="s">
        <v>3262</v>
      </c>
      <c r="E172" s="80">
        <v>796</v>
      </c>
      <c r="F172" s="80">
        <v>1.2</v>
      </c>
      <c r="G172" s="80">
        <v>1</v>
      </c>
      <c r="H172" s="80">
        <v>2</v>
      </c>
      <c r="I172" s="80">
        <v>840</v>
      </c>
    </row>
    <row r="173" spans="1:9" x14ac:dyDescent="0.25">
      <c r="A173" s="80">
        <v>172</v>
      </c>
      <c r="B173" s="80">
        <v>26</v>
      </c>
      <c r="C173" s="80">
        <v>3</v>
      </c>
      <c r="D173" s="80" t="s">
        <v>3301</v>
      </c>
      <c r="E173" s="80">
        <v>796</v>
      </c>
      <c r="F173" s="80">
        <v>1.2</v>
      </c>
      <c r="G173" s="80">
        <v>3</v>
      </c>
      <c r="H173" s="80">
        <v>6</v>
      </c>
      <c r="I173" s="80">
        <v>840</v>
      </c>
    </row>
    <row r="174" spans="1:9" x14ac:dyDescent="0.25">
      <c r="A174" s="80">
        <v>173</v>
      </c>
      <c r="B174" s="80">
        <v>26</v>
      </c>
      <c r="C174" s="80">
        <v>4</v>
      </c>
      <c r="D174" s="80" t="s">
        <v>3318</v>
      </c>
      <c r="E174" s="80">
        <v>796</v>
      </c>
      <c r="F174" s="80">
        <v>1.2</v>
      </c>
      <c r="G174" s="80">
        <v>2</v>
      </c>
      <c r="H174" s="80">
        <v>2</v>
      </c>
      <c r="I174" s="80">
        <v>840</v>
      </c>
    </row>
    <row r="175" spans="1:9" x14ac:dyDescent="0.25">
      <c r="A175" s="80">
        <v>174</v>
      </c>
      <c r="B175" s="80">
        <v>26</v>
      </c>
      <c r="C175" s="80">
        <v>5</v>
      </c>
      <c r="D175" s="80" t="s">
        <v>3265</v>
      </c>
      <c r="E175" s="80">
        <v>796</v>
      </c>
      <c r="F175" s="80">
        <v>1.2</v>
      </c>
      <c r="G175" s="80">
        <v>2</v>
      </c>
      <c r="H175" s="80">
        <v>4</v>
      </c>
      <c r="I175" s="80">
        <v>840</v>
      </c>
    </row>
    <row r="176" spans="1:9" x14ac:dyDescent="0.25">
      <c r="A176" s="80">
        <v>175</v>
      </c>
      <c r="B176" s="80">
        <v>26</v>
      </c>
      <c r="C176" s="80">
        <v>6</v>
      </c>
      <c r="D176" s="80" t="s">
        <v>3309</v>
      </c>
      <c r="E176" s="80">
        <v>796</v>
      </c>
      <c r="F176" s="80">
        <v>1.2</v>
      </c>
      <c r="G176" s="80">
        <v>3</v>
      </c>
      <c r="H176" s="80">
        <v>3</v>
      </c>
      <c r="I176" s="80">
        <v>840</v>
      </c>
    </row>
    <row r="177" spans="1:9" x14ac:dyDescent="0.25">
      <c r="A177" s="80">
        <v>176</v>
      </c>
      <c r="B177" s="80">
        <v>26</v>
      </c>
      <c r="C177" s="80">
        <v>7</v>
      </c>
      <c r="D177" s="80" t="s">
        <v>3289</v>
      </c>
      <c r="E177" s="80">
        <v>796</v>
      </c>
      <c r="F177" s="80">
        <v>1.2</v>
      </c>
      <c r="G177" s="80">
        <v>2</v>
      </c>
      <c r="H177" s="80">
        <v>2</v>
      </c>
      <c r="I177" s="80">
        <v>840</v>
      </c>
    </row>
    <row r="178" spans="1:9" x14ac:dyDescent="0.25">
      <c r="A178" s="80">
        <v>177</v>
      </c>
      <c r="B178" s="80">
        <v>26</v>
      </c>
      <c r="C178" s="80">
        <v>8</v>
      </c>
      <c r="D178" s="80" t="s">
        <v>3290</v>
      </c>
      <c r="E178" s="80">
        <v>796</v>
      </c>
      <c r="F178" s="80">
        <v>1.2</v>
      </c>
      <c r="G178" s="80">
        <v>1</v>
      </c>
      <c r="H178" s="80">
        <v>1</v>
      </c>
      <c r="I178" s="80">
        <v>840</v>
      </c>
    </row>
    <row r="179" spans="1:9" x14ac:dyDescent="0.25">
      <c r="A179" s="80">
        <v>178</v>
      </c>
      <c r="B179" s="80">
        <v>26</v>
      </c>
      <c r="C179" s="80">
        <v>9</v>
      </c>
      <c r="D179" s="80" t="s">
        <v>3306</v>
      </c>
      <c r="E179" s="80">
        <v>796</v>
      </c>
      <c r="F179" s="80">
        <v>1.2</v>
      </c>
      <c r="G179" s="80">
        <v>3</v>
      </c>
      <c r="H179" s="80">
        <v>3</v>
      </c>
      <c r="I179" s="80">
        <v>840</v>
      </c>
    </row>
    <row r="180" spans="1:9" x14ac:dyDescent="0.25">
      <c r="A180" s="80">
        <v>179</v>
      </c>
      <c r="B180" s="80">
        <v>27</v>
      </c>
      <c r="C180" s="80">
        <v>1</v>
      </c>
      <c r="D180" s="80" t="s">
        <v>3291</v>
      </c>
      <c r="E180" s="80">
        <v>796</v>
      </c>
      <c r="F180" s="80">
        <v>0.72</v>
      </c>
      <c r="G180" s="80">
        <v>2</v>
      </c>
      <c r="H180" s="80">
        <v>4</v>
      </c>
      <c r="I180" s="80">
        <v>840</v>
      </c>
    </row>
    <row r="181" spans="1:9" x14ac:dyDescent="0.25">
      <c r="A181" s="80">
        <v>180</v>
      </c>
      <c r="B181" s="80">
        <v>27</v>
      </c>
      <c r="C181" s="80">
        <v>2</v>
      </c>
      <c r="D181" s="80" t="s">
        <v>3259</v>
      </c>
      <c r="E181" s="80">
        <v>796</v>
      </c>
      <c r="F181" s="80">
        <v>0.72</v>
      </c>
      <c r="G181" s="80">
        <v>3</v>
      </c>
      <c r="H181" s="80">
        <v>6</v>
      </c>
      <c r="I181" s="80">
        <v>840</v>
      </c>
    </row>
    <row r="182" spans="1:9" x14ac:dyDescent="0.25">
      <c r="A182" s="80">
        <v>181</v>
      </c>
      <c r="B182" s="80">
        <v>27</v>
      </c>
      <c r="C182" s="80">
        <v>3</v>
      </c>
      <c r="D182" s="80" t="s">
        <v>3328</v>
      </c>
      <c r="E182" s="80">
        <v>796</v>
      </c>
      <c r="F182" s="80">
        <v>0.72</v>
      </c>
      <c r="G182" s="80">
        <v>2</v>
      </c>
      <c r="H182" s="80">
        <v>4</v>
      </c>
      <c r="I182" s="80">
        <v>840</v>
      </c>
    </row>
    <row r="183" spans="1:9" x14ac:dyDescent="0.25">
      <c r="A183" s="80">
        <v>182</v>
      </c>
      <c r="B183" s="80">
        <v>27</v>
      </c>
      <c r="C183" s="80">
        <v>4</v>
      </c>
      <c r="D183" s="80" t="s">
        <v>3313</v>
      </c>
      <c r="E183" s="80">
        <v>796</v>
      </c>
      <c r="F183" s="80">
        <v>0.72</v>
      </c>
      <c r="G183" s="80">
        <v>1</v>
      </c>
      <c r="H183" s="80">
        <v>1</v>
      </c>
      <c r="I183" s="80">
        <v>840</v>
      </c>
    </row>
    <row r="184" spans="1:9" x14ac:dyDescent="0.25">
      <c r="A184" s="80">
        <v>183</v>
      </c>
      <c r="B184" s="80">
        <v>27</v>
      </c>
      <c r="C184" s="80">
        <v>5</v>
      </c>
      <c r="D184" s="80" t="s">
        <v>3301</v>
      </c>
      <c r="E184" s="80">
        <v>796</v>
      </c>
      <c r="F184" s="80">
        <v>0.72</v>
      </c>
      <c r="G184" s="80">
        <v>1</v>
      </c>
      <c r="H184" s="80">
        <v>1</v>
      </c>
      <c r="I184" s="80">
        <v>840</v>
      </c>
    </row>
    <row r="185" spans="1:9" x14ac:dyDescent="0.25">
      <c r="A185" s="80">
        <v>184</v>
      </c>
      <c r="B185" s="80">
        <v>28</v>
      </c>
      <c r="C185" s="80">
        <v>1</v>
      </c>
      <c r="D185" s="80" t="s">
        <v>3332</v>
      </c>
      <c r="E185" s="80">
        <v>796</v>
      </c>
      <c r="F185" s="80">
        <v>0.63</v>
      </c>
      <c r="G185" s="80">
        <v>2</v>
      </c>
      <c r="H185" s="80">
        <v>4</v>
      </c>
      <c r="I185" s="80">
        <v>840</v>
      </c>
    </row>
    <row r="186" spans="1:9" x14ac:dyDescent="0.25">
      <c r="A186" s="80">
        <v>185</v>
      </c>
      <c r="B186" s="80">
        <v>28</v>
      </c>
      <c r="C186" s="80">
        <v>2</v>
      </c>
      <c r="D186" s="80" t="s">
        <v>3287</v>
      </c>
      <c r="E186" s="80">
        <v>796</v>
      </c>
      <c r="F186" s="80">
        <v>0.63</v>
      </c>
      <c r="G186" s="80">
        <v>2</v>
      </c>
      <c r="H186" s="80">
        <v>4</v>
      </c>
      <c r="I186" s="80">
        <v>840</v>
      </c>
    </row>
    <row r="187" spans="1:9" x14ac:dyDescent="0.25">
      <c r="A187" s="80">
        <v>186</v>
      </c>
      <c r="B187" s="80">
        <v>28</v>
      </c>
      <c r="C187" s="80">
        <v>3</v>
      </c>
      <c r="D187" s="80" t="s">
        <v>3333</v>
      </c>
      <c r="E187" s="80">
        <v>796</v>
      </c>
      <c r="F187" s="80">
        <v>0.63</v>
      </c>
      <c r="G187" s="80">
        <v>1</v>
      </c>
      <c r="H187" s="80">
        <v>1</v>
      </c>
      <c r="I187" s="80">
        <v>840</v>
      </c>
    </row>
    <row r="188" spans="1:9" x14ac:dyDescent="0.25">
      <c r="A188" s="80">
        <v>187</v>
      </c>
      <c r="B188" s="80">
        <v>29</v>
      </c>
      <c r="C188" s="80">
        <v>1</v>
      </c>
      <c r="D188" s="80" t="s">
        <v>3301</v>
      </c>
      <c r="E188" s="80">
        <v>796</v>
      </c>
      <c r="F188" s="80">
        <v>0.39</v>
      </c>
      <c r="G188" s="80">
        <v>1</v>
      </c>
      <c r="H188" s="80">
        <v>1</v>
      </c>
      <c r="I188" s="80">
        <v>840</v>
      </c>
    </row>
    <row r="189" spans="1:9" x14ac:dyDescent="0.25">
      <c r="A189" s="80">
        <v>188</v>
      </c>
      <c r="B189" s="80">
        <v>29</v>
      </c>
      <c r="C189" s="80">
        <v>2</v>
      </c>
      <c r="D189" s="80" t="s">
        <v>3289</v>
      </c>
      <c r="E189" s="80">
        <v>796</v>
      </c>
      <c r="F189" s="80">
        <v>0.39</v>
      </c>
      <c r="G189" s="80">
        <v>2</v>
      </c>
      <c r="H189" s="80">
        <v>4</v>
      </c>
      <c r="I189" s="80">
        <v>840</v>
      </c>
    </row>
    <row r="190" spans="1:9" x14ac:dyDescent="0.25">
      <c r="A190" s="80">
        <v>189</v>
      </c>
      <c r="B190" s="80">
        <v>29</v>
      </c>
      <c r="C190" s="80">
        <v>3</v>
      </c>
      <c r="D190" s="80" t="s">
        <v>3334</v>
      </c>
      <c r="E190" s="80">
        <v>796</v>
      </c>
      <c r="F190" s="80">
        <v>0.39</v>
      </c>
      <c r="G190" s="80">
        <v>2</v>
      </c>
      <c r="H190" s="80">
        <v>2</v>
      </c>
      <c r="I190" s="80">
        <v>840</v>
      </c>
    </row>
    <row r="191" spans="1:9" x14ac:dyDescent="0.25">
      <c r="A191" s="80">
        <v>190</v>
      </c>
      <c r="B191" s="80">
        <v>29</v>
      </c>
      <c r="C191" s="80">
        <v>4</v>
      </c>
      <c r="D191" s="80" t="s">
        <v>3335</v>
      </c>
      <c r="E191" s="80">
        <v>796</v>
      </c>
      <c r="F191" s="80">
        <v>0.39</v>
      </c>
      <c r="G191" s="80">
        <v>3</v>
      </c>
      <c r="H191" s="80">
        <v>6</v>
      </c>
      <c r="I191" s="80">
        <v>840</v>
      </c>
    </row>
    <row r="192" spans="1:9" x14ac:dyDescent="0.25">
      <c r="A192" s="80">
        <v>191</v>
      </c>
      <c r="B192" s="80">
        <v>29</v>
      </c>
      <c r="C192" s="80">
        <v>5</v>
      </c>
      <c r="D192" s="80" t="s">
        <v>3336</v>
      </c>
      <c r="E192" s="80">
        <v>796</v>
      </c>
      <c r="F192" s="80">
        <v>0.39</v>
      </c>
      <c r="G192" s="80">
        <v>2</v>
      </c>
      <c r="H192" s="80">
        <v>2</v>
      </c>
      <c r="I192" s="80">
        <v>840</v>
      </c>
    </row>
    <row r="193" spans="1:9" x14ac:dyDescent="0.25">
      <c r="A193" s="80">
        <v>192</v>
      </c>
      <c r="B193" s="80">
        <v>29</v>
      </c>
      <c r="C193" s="80">
        <v>6</v>
      </c>
      <c r="D193" s="80" t="s">
        <v>3265</v>
      </c>
      <c r="E193" s="80">
        <v>796</v>
      </c>
      <c r="F193" s="80">
        <v>0.39</v>
      </c>
      <c r="G193" s="80">
        <v>3</v>
      </c>
      <c r="H193" s="80">
        <v>3</v>
      </c>
      <c r="I193" s="80">
        <v>840</v>
      </c>
    </row>
    <row r="194" spans="1:9" x14ac:dyDescent="0.25">
      <c r="A194" s="80">
        <v>193</v>
      </c>
      <c r="B194" s="80">
        <v>29</v>
      </c>
      <c r="C194" s="80">
        <v>7</v>
      </c>
      <c r="D194" s="80" t="s">
        <v>3337</v>
      </c>
      <c r="E194" s="80">
        <v>796</v>
      </c>
      <c r="F194" s="80">
        <v>0.39</v>
      </c>
      <c r="G194" s="80">
        <v>1</v>
      </c>
      <c r="H194" s="80">
        <v>1</v>
      </c>
      <c r="I194" s="80">
        <v>840</v>
      </c>
    </row>
    <row r="195" spans="1:9" x14ac:dyDescent="0.25">
      <c r="A195" s="80">
        <v>194</v>
      </c>
      <c r="B195" s="80">
        <v>29</v>
      </c>
      <c r="C195" s="80">
        <v>8</v>
      </c>
      <c r="D195" s="80" t="s">
        <v>3313</v>
      </c>
      <c r="E195" s="80">
        <v>796</v>
      </c>
      <c r="F195" s="80">
        <v>0.39</v>
      </c>
      <c r="G195" s="80">
        <v>3</v>
      </c>
      <c r="H195" s="80">
        <v>6</v>
      </c>
      <c r="I195" s="80">
        <v>840</v>
      </c>
    </row>
    <row r="196" spans="1:9" x14ac:dyDescent="0.25">
      <c r="A196" s="80">
        <v>195</v>
      </c>
      <c r="B196" s="80">
        <v>30</v>
      </c>
      <c r="C196" s="80">
        <v>1</v>
      </c>
      <c r="D196" s="80" t="s">
        <v>3310</v>
      </c>
      <c r="E196" s="80">
        <v>796</v>
      </c>
      <c r="F196" s="80">
        <v>1</v>
      </c>
      <c r="G196" s="80">
        <v>2</v>
      </c>
      <c r="H196" s="80">
        <v>4</v>
      </c>
      <c r="I196" s="80">
        <v>840</v>
      </c>
    </row>
    <row r="197" spans="1:9" x14ac:dyDescent="0.25">
      <c r="A197" s="80">
        <v>196</v>
      </c>
      <c r="B197" s="80">
        <v>31</v>
      </c>
      <c r="C197" s="80">
        <v>1</v>
      </c>
      <c r="D197" s="80" t="s">
        <v>3291</v>
      </c>
      <c r="E197" s="80">
        <v>796</v>
      </c>
      <c r="F197" s="80">
        <v>1.8</v>
      </c>
      <c r="G197" s="80">
        <v>3</v>
      </c>
      <c r="H197" s="80">
        <v>3</v>
      </c>
      <c r="I197" s="80">
        <v>840</v>
      </c>
    </row>
    <row r="198" spans="1:9" x14ac:dyDescent="0.25">
      <c r="A198" s="80">
        <v>197</v>
      </c>
      <c r="B198" s="80">
        <v>32</v>
      </c>
      <c r="C198" s="80">
        <v>1</v>
      </c>
      <c r="D198" s="80" t="s">
        <v>3341</v>
      </c>
      <c r="E198" s="80">
        <v>796</v>
      </c>
      <c r="F198" s="80">
        <v>0.33</v>
      </c>
      <c r="G198" s="80">
        <v>3</v>
      </c>
      <c r="H198" s="80">
        <v>3</v>
      </c>
      <c r="I198" s="80">
        <v>840</v>
      </c>
    </row>
    <row r="199" spans="1:9" x14ac:dyDescent="0.25">
      <c r="A199" s="80">
        <v>198</v>
      </c>
      <c r="B199" s="80">
        <v>32</v>
      </c>
      <c r="C199" s="80">
        <v>2</v>
      </c>
      <c r="D199" s="80" t="s">
        <v>3265</v>
      </c>
      <c r="E199" s="80">
        <v>796</v>
      </c>
      <c r="F199" s="80">
        <v>0.33</v>
      </c>
      <c r="G199" s="80">
        <v>1</v>
      </c>
      <c r="H199" s="80">
        <v>2</v>
      </c>
      <c r="I199" s="80">
        <v>840</v>
      </c>
    </row>
    <row r="200" spans="1:9" x14ac:dyDescent="0.25">
      <c r="A200" s="80">
        <v>199</v>
      </c>
      <c r="B200" s="80">
        <v>32</v>
      </c>
      <c r="C200" s="80">
        <v>3</v>
      </c>
      <c r="D200" s="80" t="s">
        <v>3287</v>
      </c>
      <c r="E200" s="80">
        <v>796</v>
      </c>
      <c r="F200" s="80">
        <v>0.33</v>
      </c>
      <c r="G200" s="80">
        <v>3</v>
      </c>
      <c r="H200" s="80">
        <v>6</v>
      </c>
      <c r="I200" s="80">
        <v>840</v>
      </c>
    </row>
    <row r="201" spans="1:9" x14ac:dyDescent="0.25">
      <c r="A201" s="80">
        <v>200</v>
      </c>
      <c r="B201" s="80">
        <v>33</v>
      </c>
      <c r="C201" s="80">
        <v>1</v>
      </c>
      <c r="D201" s="80" t="s">
        <v>3342</v>
      </c>
      <c r="E201" s="80">
        <v>796</v>
      </c>
      <c r="F201" s="80">
        <v>1</v>
      </c>
      <c r="G201" s="80">
        <v>2</v>
      </c>
      <c r="H201" s="80">
        <v>2</v>
      </c>
      <c r="I201" s="80">
        <v>840</v>
      </c>
    </row>
    <row r="202" spans="1:9" x14ac:dyDescent="0.25">
      <c r="A202" s="80">
        <v>201</v>
      </c>
      <c r="B202" s="80">
        <v>34</v>
      </c>
      <c r="C202" s="80">
        <v>1</v>
      </c>
      <c r="D202" s="80" t="s">
        <v>3342</v>
      </c>
      <c r="E202" s="80">
        <v>796</v>
      </c>
      <c r="F202" s="80">
        <v>0.67</v>
      </c>
      <c r="G202" s="80">
        <v>2</v>
      </c>
      <c r="H202" s="80">
        <v>4</v>
      </c>
      <c r="I202" s="80">
        <v>840</v>
      </c>
    </row>
    <row r="203" spans="1:9" x14ac:dyDescent="0.25">
      <c r="A203" s="80">
        <v>202</v>
      </c>
      <c r="B203" s="80">
        <v>34</v>
      </c>
      <c r="C203" s="80">
        <v>2</v>
      </c>
      <c r="D203" s="80" t="s">
        <v>3336</v>
      </c>
      <c r="E203" s="80">
        <v>796</v>
      </c>
      <c r="F203" s="80">
        <v>0.67</v>
      </c>
      <c r="G203" s="80">
        <v>1</v>
      </c>
      <c r="H203" s="80">
        <v>2</v>
      </c>
      <c r="I203" s="80">
        <v>840</v>
      </c>
    </row>
    <row r="204" spans="1:9" x14ac:dyDescent="0.25">
      <c r="A204" s="80">
        <v>203</v>
      </c>
      <c r="B204" s="80">
        <v>34</v>
      </c>
      <c r="C204" s="80">
        <v>3</v>
      </c>
      <c r="D204" s="80" t="s">
        <v>3259</v>
      </c>
      <c r="E204" s="80">
        <v>796</v>
      </c>
      <c r="F204" s="80">
        <v>0.67</v>
      </c>
      <c r="G204" s="80">
        <v>1</v>
      </c>
      <c r="H204" s="80">
        <v>1</v>
      </c>
      <c r="I204" s="80">
        <v>840</v>
      </c>
    </row>
    <row r="205" spans="1:9" x14ac:dyDescent="0.25">
      <c r="A205" s="80">
        <v>204</v>
      </c>
      <c r="B205" s="80">
        <v>35</v>
      </c>
      <c r="C205" s="80">
        <v>1</v>
      </c>
      <c r="D205" s="80" t="s">
        <v>3313</v>
      </c>
      <c r="E205" s="80">
        <v>796</v>
      </c>
      <c r="F205" s="80">
        <v>0.59</v>
      </c>
      <c r="G205" s="80">
        <v>2</v>
      </c>
      <c r="H205" s="80">
        <v>4</v>
      </c>
      <c r="I205" s="80">
        <v>840</v>
      </c>
    </row>
    <row r="206" spans="1:9" x14ac:dyDescent="0.25">
      <c r="A206" s="80">
        <v>205</v>
      </c>
      <c r="B206" s="80">
        <v>35</v>
      </c>
      <c r="C206" s="80">
        <v>2</v>
      </c>
      <c r="D206" s="80" t="s">
        <v>3302</v>
      </c>
      <c r="E206" s="80">
        <v>796</v>
      </c>
      <c r="F206" s="80">
        <v>0.59</v>
      </c>
      <c r="G206" s="80">
        <v>1</v>
      </c>
      <c r="H206" s="80">
        <v>1</v>
      </c>
      <c r="I206" s="80">
        <v>840</v>
      </c>
    </row>
    <row r="207" spans="1:9" x14ac:dyDescent="0.25">
      <c r="A207" s="80">
        <v>206</v>
      </c>
      <c r="B207" s="80">
        <v>35</v>
      </c>
      <c r="C207" s="80">
        <v>3</v>
      </c>
      <c r="D207" s="80" t="s">
        <v>3344</v>
      </c>
      <c r="E207" s="80">
        <v>796</v>
      </c>
      <c r="F207" s="80">
        <v>0.59</v>
      </c>
      <c r="G207" s="80">
        <v>2</v>
      </c>
      <c r="H207" s="80">
        <v>2</v>
      </c>
      <c r="I207" s="80">
        <v>840</v>
      </c>
    </row>
    <row r="208" spans="1:9" x14ac:dyDescent="0.25">
      <c r="A208" s="80">
        <v>207</v>
      </c>
      <c r="B208" s="80">
        <v>35</v>
      </c>
      <c r="C208" s="80">
        <v>4</v>
      </c>
      <c r="D208" s="80" t="s">
        <v>3265</v>
      </c>
      <c r="E208" s="80">
        <v>796</v>
      </c>
      <c r="F208" s="80">
        <v>0.59</v>
      </c>
      <c r="G208" s="80">
        <v>2</v>
      </c>
      <c r="H208" s="80">
        <v>4</v>
      </c>
      <c r="I208" s="80">
        <v>840</v>
      </c>
    </row>
    <row r="209" spans="1:9" x14ac:dyDescent="0.25">
      <c r="A209" s="80">
        <v>208</v>
      </c>
      <c r="B209" s="80">
        <v>35</v>
      </c>
      <c r="C209" s="80">
        <v>5</v>
      </c>
      <c r="D209" s="80" t="s">
        <v>3291</v>
      </c>
      <c r="E209" s="80">
        <v>796</v>
      </c>
      <c r="F209" s="80">
        <v>0.59</v>
      </c>
      <c r="G209" s="80">
        <v>3</v>
      </c>
      <c r="H209" s="80">
        <v>3</v>
      </c>
      <c r="I209" s="80">
        <v>840</v>
      </c>
    </row>
    <row r="210" spans="1:9" x14ac:dyDescent="0.25">
      <c r="A210" s="80">
        <v>209</v>
      </c>
      <c r="B210" s="80">
        <v>35</v>
      </c>
      <c r="C210" s="80">
        <v>6</v>
      </c>
      <c r="D210" s="80" t="s">
        <v>3289</v>
      </c>
      <c r="E210" s="80">
        <v>796</v>
      </c>
      <c r="F210" s="80">
        <v>0.59</v>
      </c>
      <c r="G210" s="80">
        <v>1</v>
      </c>
      <c r="H210" s="80">
        <v>1</v>
      </c>
      <c r="I210" s="80">
        <v>840</v>
      </c>
    </row>
    <row r="211" spans="1:9" x14ac:dyDescent="0.25">
      <c r="A211" s="80">
        <v>210</v>
      </c>
      <c r="B211" s="80">
        <v>35</v>
      </c>
      <c r="C211" s="80">
        <v>7</v>
      </c>
      <c r="D211" s="80" t="s">
        <v>3258</v>
      </c>
      <c r="E211" s="80">
        <v>796</v>
      </c>
      <c r="F211" s="80">
        <v>0.59</v>
      </c>
      <c r="G211" s="80">
        <v>2</v>
      </c>
      <c r="H211" s="80">
        <v>4</v>
      </c>
      <c r="I211" s="80">
        <v>840</v>
      </c>
    </row>
    <row r="212" spans="1:9" x14ac:dyDescent="0.25">
      <c r="A212" s="80">
        <v>211</v>
      </c>
      <c r="B212" s="80">
        <v>36</v>
      </c>
      <c r="C212" s="80">
        <v>1</v>
      </c>
      <c r="D212" s="80" t="s">
        <v>3345</v>
      </c>
      <c r="E212" s="80">
        <v>796</v>
      </c>
      <c r="F212" s="80">
        <v>0.8</v>
      </c>
      <c r="G212" s="80">
        <v>3</v>
      </c>
      <c r="H212" s="80">
        <v>6</v>
      </c>
      <c r="I212" s="80">
        <v>840</v>
      </c>
    </row>
    <row r="213" spans="1:9" x14ac:dyDescent="0.25">
      <c r="A213" s="80">
        <v>212</v>
      </c>
      <c r="B213" s="80">
        <v>36</v>
      </c>
      <c r="C213" s="80">
        <v>2</v>
      </c>
      <c r="D213" s="80" t="s">
        <v>3307</v>
      </c>
      <c r="E213" s="80">
        <v>796</v>
      </c>
      <c r="F213" s="80">
        <v>0.8</v>
      </c>
      <c r="G213" s="80">
        <v>2</v>
      </c>
      <c r="H213" s="80">
        <v>4</v>
      </c>
      <c r="I213" s="80">
        <v>840</v>
      </c>
    </row>
    <row r="214" spans="1:9" x14ac:dyDescent="0.25">
      <c r="A214" s="80">
        <v>213</v>
      </c>
      <c r="B214" s="80">
        <v>36</v>
      </c>
      <c r="C214" s="80">
        <v>3</v>
      </c>
      <c r="D214" s="80" t="s">
        <v>3346</v>
      </c>
      <c r="E214" s="80">
        <v>796</v>
      </c>
      <c r="F214" s="80">
        <v>0.8</v>
      </c>
      <c r="G214" s="80">
        <v>2</v>
      </c>
      <c r="H214" s="80">
        <v>4</v>
      </c>
      <c r="I214" s="80">
        <v>840</v>
      </c>
    </row>
    <row r="215" spans="1:9" x14ac:dyDescent="0.25">
      <c r="A215" s="80">
        <v>214</v>
      </c>
      <c r="B215" s="80">
        <v>36</v>
      </c>
      <c r="C215" s="80">
        <v>4</v>
      </c>
      <c r="D215" s="80" t="s">
        <v>3313</v>
      </c>
      <c r="E215" s="80">
        <v>796</v>
      </c>
      <c r="F215" s="80">
        <v>0.8</v>
      </c>
      <c r="G215" s="80">
        <v>3</v>
      </c>
      <c r="H215" s="80">
        <v>6</v>
      </c>
      <c r="I215" s="80">
        <v>840</v>
      </c>
    </row>
    <row r="216" spans="1:9" x14ac:dyDescent="0.25">
      <c r="A216" s="80">
        <v>215</v>
      </c>
      <c r="B216" s="80">
        <v>36</v>
      </c>
      <c r="C216" s="80">
        <v>5</v>
      </c>
      <c r="D216" s="80" t="s">
        <v>3291</v>
      </c>
      <c r="E216" s="80">
        <v>796</v>
      </c>
      <c r="F216" s="80">
        <v>0.8</v>
      </c>
      <c r="G216" s="80">
        <v>3</v>
      </c>
      <c r="H216" s="80">
        <v>3</v>
      </c>
      <c r="I216" s="80">
        <v>840</v>
      </c>
    </row>
    <row r="217" spans="1:9" x14ac:dyDescent="0.25">
      <c r="A217" s="80">
        <v>216</v>
      </c>
      <c r="B217" s="80">
        <v>37</v>
      </c>
      <c r="C217" s="80">
        <v>1</v>
      </c>
      <c r="D217" s="80" t="s">
        <v>3266</v>
      </c>
      <c r="E217" s="80">
        <v>796</v>
      </c>
      <c r="F217" s="80">
        <v>0.53</v>
      </c>
      <c r="G217" s="80">
        <v>3</v>
      </c>
      <c r="H217" s="80">
        <v>3</v>
      </c>
      <c r="I217" s="80">
        <v>840</v>
      </c>
    </row>
    <row r="218" spans="1:9" x14ac:dyDescent="0.25">
      <c r="A218" s="80">
        <v>217</v>
      </c>
      <c r="B218" s="80">
        <v>37</v>
      </c>
      <c r="C218" s="80">
        <v>2</v>
      </c>
      <c r="D218" s="80" t="s">
        <v>3347</v>
      </c>
      <c r="E218" s="80">
        <v>796</v>
      </c>
      <c r="F218" s="80">
        <v>0.53</v>
      </c>
      <c r="G218" s="80">
        <v>1</v>
      </c>
      <c r="H218" s="80">
        <v>2</v>
      </c>
      <c r="I218" s="80">
        <v>840</v>
      </c>
    </row>
    <row r="219" spans="1:9" x14ac:dyDescent="0.25">
      <c r="A219" s="80">
        <v>218</v>
      </c>
      <c r="B219" s="80">
        <v>37</v>
      </c>
      <c r="C219" s="80">
        <v>3</v>
      </c>
      <c r="D219" s="80" t="s">
        <v>3346</v>
      </c>
      <c r="E219" s="80">
        <v>796</v>
      </c>
      <c r="F219" s="80">
        <v>0.53</v>
      </c>
      <c r="G219" s="80">
        <v>3</v>
      </c>
      <c r="H219" s="80">
        <v>3</v>
      </c>
      <c r="I219" s="80">
        <v>840</v>
      </c>
    </row>
    <row r="220" spans="1:9" x14ac:dyDescent="0.25">
      <c r="A220" s="80">
        <v>219</v>
      </c>
      <c r="B220" s="80">
        <v>37</v>
      </c>
      <c r="C220" s="80">
        <v>4</v>
      </c>
      <c r="D220" s="80" t="s">
        <v>3324</v>
      </c>
      <c r="E220" s="80">
        <v>796</v>
      </c>
      <c r="F220" s="80">
        <v>0.53</v>
      </c>
      <c r="G220" s="80">
        <v>1</v>
      </c>
      <c r="H220" s="80">
        <v>1</v>
      </c>
      <c r="I220" s="80">
        <v>840</v>
      </c>
    </row>
    <row r="221" spans="1:9" x14ac:dyDescent="0.25">
      <c r="A221" s="80">
        <v>220</v>
      </c>
      <c r="B221" s="80">
        <v>37</v>
      </c>
      <c r="C221" s="80">
        <v>5</v>
      </c>
      <c r="D221" s="80" t="s">
        <v>3348</v>
      </c>
      <c r="E221" s="80">
        <v>796</v>
      </c>
      <c r="F221" s="80">
        <v>0.53</v>
      </c>
      <c r="G221" s="80">
        <v>3</v>
      </c>
      <c r="H221" s="80">
        <v>3</v>
      </c>
      <c r="I221" s="80">
        <v>840</v>
      </c>
    </row>
    <row r="222" spans="1:9" x14ac:dyDescent="0.25">
      <c r="A222" s="80">
        <v>221</v>
      </c>
      <c r="B222" s="80">
        <v>37</v>
      </c>
      <c r="C222" s="80">
        <v>6</v>
      </c>
      <c r="D222" s="80" t="s">
        <v>3321</v>
      </c>
      <c r="E222" s="80">
        <v>796</v>
      </c>
      <c r="F222" s="80">
        <v>0.53</v>
      </c>
      <c r="G222" s="80">
        <v>1</v>
      </c>
      <c r="H222" s="80">
        <v>2</v>
      </c>
      <c r="I222" s="80">
        <v>840</v>
      </c>
    </row>
    <row r="223" spans="1:9" x14ac:dyDescent="0.25">
      <c r="A223" s="80">
        <v>222</v>
      </c>
      <c r="B223" s="80">
        <v>37</v>
      </c>
      <c r="C223" s="80">
        <v>7</v>
      </c>
      <c r="D223" s="80" t="s">
        <v>3345</v>
      </c>
      <c r="E223" s="80">
        <v>796</v>
      </c>
      <c r="F223" s="80">
        <v>0.53</v>
      </c>
      <c r="G223" s="80">
        <v>2</v>
      </c>
      <c r="H223" s="80">
        <v>4</v>
      </c>
      <c r="I223" s="80">
        <v>840</v>
      </c>
    </row>
    <row r="224" spans="1:9" x14ac:dyDescent="0.25">
      <c r="A224" s="80">
        <v>223</v>
      </c>
      <c r="B224" s="80">
        <v>37</v>
      </c>
      <c r="C224" s="80">
        <v>8</v>
      </c>
      <c r="D224" s="80" t="s">
        <v>3259</v>
      </c>
      <c r="E224" s="80">
        <v>796</v>
      </c>
      <c r="F224" s="80">
        <v>0.53</v>
      </c>
      <c r="G224" s="80">
        <v>3</v>
      </c>
      <c r="H224" s="80">
        <v>3</v>
      </c>
      <c r="I224" s="80">
        <v>840</v>
      </c>
    </row>
    <row r="225" spans="1:9" x14ac:dyDescent="0.25">
      <c r="A225" s="80">
        <v>224</v>
      </c>
      <c r="B225" s="80">
        <v>38</v>
      </c>
      <c r="C225" s="80">
        <v>1</v>
      </c>
      <c r="D225" s="80" t="s">
        <v>3349</v>
      </c>
      <c r="E225" s="80">
        <v>796</v>
      </c>
      <c r="F225" s="80">
        <v>1.05</v>
      </c>
      <c r="G225" s="80">
        <v>3</v>
      </c>
      <c r="H225" s="80">
        <v>6</v>
      </c>
      <c r="I225" s="80">
        <v>840</v>
      </c>
    </row>
    <row r="226" spans="1:9" x14ac:dyDescent="0.25">
      <c r="A226" s="80">
        <v>225</v>
      </c>
      <c r="B226" s="80">
        <v>38</v>
      </c>
      <c r="C226" s="80">
        <v>2</v>
      </c>
      <c r="D226" s="80" t="s">
        <v>3287</v>
      </c>
      <c r="E226" s="80">
        <v>796</v>
      </c>
      <c r="F226" s="80">
        <v>1.05</v>
      </c>
      <c r="G226" s="80">
        <v>3</v>
      </c>
      <c r="H226" s="80">
        <v>3</v>
      </c>
      <c r="I226" s="80">
        <v>840</v>
      </c>
    </row>
    <row r="227" spans="1:9" x14ac:dyDescent="0.25">
      <c r="A227" s="80">
        <v>226</v>
      </c>
      <c r="B227" s="80">
        <v>38</v>
      </c>
      <c r="C227" s="80">
        <v>3</v>
      </c>
      <c r="D227" s="80" t="s">
        <v>3258</v>
      </c>
      <c r="E227" s="80">
        <v>796</v>
      </c>
      <c r="F227" s="80">
        <v>1.05</v>
      </c>
      <c r="G227" s="80">
        <v>2</v>
      </c>
      <c r="H227" s="80">
        <v>4</v>
      </c>
      <c r="I227" s="80">
        <v>840</v>
      </c>
    </row>
    <row r="228" spans="1:9" x14ac:dyDescent="0.25">
      <c r="A228" s="80">
        <v>227</v>
      </c>
      <c r="B228" s="80">
        <v>38</v>
      </c>
      <c r="C228" s="80">
        <v>4</v>
      </c>
      <c r="D228" s="80" t="s">
        <v>3350</v>
      </c>
      <c r="E228" s="80">
        <v>796</v>
      </c>
      <c r="F228" s="80">
        <v>1.05</v>
      </c>
      <c r="G228" s="80">
        <v>2</v>
      </c>
      <c r="H228" s="80">
        <v>2</v>
      </c>
      <c r="I228" s="80">
        <v>840</v>
      </c>
    </row>
    <row r="229" spans="1:9" x14ac:dyDescent="0.25">
      <c r="A229" s="80">
        <v>228</v>
      </c>
      <c r="B229" s="80">
        <v>38</v>
      </c>
      <c r="C229" s="80">
        <v>5</v>
      </c>
      <c r="D229" s="80" t="s">
        <v>3341</v>
      </c>
      <c r="E229" s="80">
        <v>796</v>
      </c>
      <c r="F229" s="80">
        <v>1.05</v>
      </c>
      <c r="G229" s="80">
        <v>2</v>
      </c>
      <c r="H229" s="80">
        <v>4</v>
      </c>
      <c r="I229" s="80">
        <v>840</v>
      </c>
    </row>
    <row r="230" spans="1:9" x14ac:dyDescent="0.25">
      <c r="A230" s="80">
        <v>229</v>
      </c>
      <c r="B230" s="80">
        <v>38</v>
      </c>
      <c r="C230" s="80">
        <v>6</v>
      </c>
      <c r="D230" s="80" t="s">
        <v>3344</v>
      </c>
      <c r="E230" s="80">
        <v>796</v>
      </c>
      <c r="F230" s="80">
        <v>1.05</v>
      </c>
      <c r="G230" s="80">
        <v>1</v>
      </c>
      <c r="H230" s="80">
        <v>1</v>
      </c>
      <c r="I230" s="80">
        <v>840</v>
      </c>
    </row>
    <row r="231" spans="1:9" x14ac:dyDescent="0.25">
      <c r="A231" s="80">
        <v>230</v>
      </c>
      <c r="B231" s="80">
        <v>38</v>
      </c>
      <c r="C231" s="80">
        <v>7</v>
      </c>
      <c r="D231" s="80" t="s">
        <v>3351</v>
      </c>
      <c r="E231" s="80">
        <v>796</v>
      </c>
      <c r="F231" s="80">
        <v>1.05</v>
      </c>
      <c r="G231" s="80">
        <v>2</v>
      </c>
      <c r="H231" s="80">
        <v>4</v>
      </c>
      <c r="I231" s="80">
        <v>840</v>
      </c>
    </row>
    <row r="232" spans="1:9" x14ac:dyDescent="0.25">
      <c r="A232" s="80">
        <v>231</v>
      </c>
      <c r="B232" s="80">
        <v>38</v>
      </c>
      <c r="C232" s="80">
        <v>8</v>
      </c>
      <c r="D232" s="80" t="s">
        <v>3277</v>
      </c>
      <c r="E232" s="80">
        <v>796</v>
      </c>
      <c r="F232" s="80">
        <v>1.05</v>
      </c>
      <c r="G232" s="80">
        <v>2</v>
      </c>
      <c r="H232" s="80">
        <v>2</v>
      </c>
      <c r="I232" s="80">
        <v>840</v>
      </c>
    </row>
    <row r="233" spans="1:9" x14ac:dyDescent="0.25">
      <c r="A233" s="80">
        <v>232</v>
      </c>
      <c r="B233" s="80">
        <v>38</v>
      </c>
      <c r="C233" s="80">
        <v>9</v>
      </c>
      <c r="D233" s="80" t="s">
        <v>3276</v>
      </c>
      <c r="E233" s="80">
        <v>796</v>
      </c>
      <c r="F233" s="80">
        <v>1.05</v>
      </c>
      <c r="G233" s="80">
        <v>1</v>
      </c>
      <c r="H233" s="80">
        <v>1</v>
      </c>
      <c r="I233" s="80">
        <v>840</v>
      </c>
    </row>
    <row r="234" spans="1:9" x14ac:dyDescent="0.25">
      <c r="A234" s="80">
        <v>233</v>
      </c>
      <c r="B234" s="80">
        <v>38</v>
      </c>
      <c r="C234" s="80">
        <v>10</v>
      </c>
      <c r="D234" s="80" t="s">
        <v>3352</v>
      </c>
      <c r="E234" s="80">
        <v>796</v>
      </c>
      <c r="F234" s="80">
        <v>1.05</v>
      </c>
      <c r="G234" s="80">
        <v>3</v>
      </c>
      <c r="H234" s="80">
        <v>6</v>
      </c>
      <c r="I234" s="80">
        <v>840</v>
      </c>
    </row>
    <row r="235" spans="1:9" x14ac:dyDescent="0.25">
      <c r="A235" s="80">
        <v>234</v>
      </c>
      <c r="B235" s="80">
        <v>38</v>
      </c>
      <c r="C235" s="80">
        <v>11</v>
      </c>
      <c r="D235" s="80" t="s">
        <v>3353</v>
      </c>
      <c r="E235" s="80">
        <v>796</v>
      </c>
      <c r="F235" s="80">
        <v>1.05</v>
      </c>
      <c r="G235" s="80">
        <v>2</v>
      </c>
      <c r="H235" s="80">
        <v>2</v>
      </c>
      <c r="I235" s="80">
        <v>840</v>
      </c>
    </row>
    <row r="236" spans="1:9" x14ac:dyDescent="0.25">
      <c r="A236" s="80">
        <v>235</v>
      </c>
      <c r="B236" s="80">
        <v>38</v>
      </c>
      <c r="C236" s="80">
        <v>12</v>
      </c>
      <c r="D236" s="80" t="s">
        <v>3259</v>
      </c>
      <c r="E236" s="80">
        <v>796</v>
      </c>
      <c r="F236" s="80">
        <v>1.05</v>
      </c>
      <c r="G236" s="80">
        <v>2</v>
      </c>
      <c r="H236" s="80">
        <v>4</v>
      </c>
      <c r="I236" s="80">
        <v>840</v>
      </c>
    </row>
    <row r="237" spans="1:9" x14ac:dyDescent="0.25">
      <c r="A237" s="80">
        <v>236</v>
      </c>
      <c r="B237" s="80">
        <v>38</v>
      </c>
      <c r="C237" s="80">
        <v>13</v>
      </c>
      <c r="D237" s="80" t="s">
        <v>3289</v>
      </c>
      <c r="E237" s="80">
        <v>796</v>
      </c>
      <c r="F237" s="80">
        <v>1.05</v>
      </c>
      <c r="G237" s="80">
        <v>1</v>
      </c>
      <c r="H237" s="80">
        <v>2</v>
      </c>
      <c r="I237" s="80">
        <v>840</v>
      </c>
    </row>
    <row r="238" spans="1:9" x14ac:dyDescent="0.25">
      <c r="A238" s="80">
        <v>237</v>
      </c>
      <c r="B238" s="80">
        <v>38</v>
      </c>
      <c r="C238" s="80">
        <v>14</v>
      </c>
      <c r="D238" s="80" t="s">
        <v>3354</v>
      </c>
      <c r="E238" s="80">
        <v>796</v>
      </c>
      <c r="F238" s="80">
        <v>1.05</v>
      </c>
      <c r="G238" s="80">
        <v>3</v>
      </c>
      <c r="H238" s="80">
        <v>3</v>
      </c>
      <c r="I238" s="80">
        <v>840</v>
      </c>
    </row>
    <row r="239" spans="1:9" x14ac:dyDescent="0.25">
      <c r="A239" s="80">
        <v>238</v>
      </c>
      <c r="B239" s="80">
        <v>38</v>
      </c>
      <c r="C239" s="80">
        <v>15</v>
      </c>
      <c r="D239" s="80" t="s">
        <v>3355</v>
      </c>
      <c r="E239" s="80">
        <v>796</v>
      </c>
      <c r="F239" s="80">
        <v>1.05</v>
      </c>
      <c r="G239" s="80">
        <v>1</v>
      </c>
      <c r="H239" s="80">
        <v>1</v>
      </c>
      <c r="I239" s="80">
        <v>840</v>
      </c>
    </row>
    <row r="240" spans="1:9" x14ac:dyDescent="0.25">
      <c r="A240" s="80">
        <v>239</v>
      </c>
      <c r="B240" s="80">
        <v>38</v>
      </c>
      <c r="C240" s="80">
        <v>16</v>
      </c>
      <c r="D240" s="80" t="s">
        <v>3356</v>
      </c>
      <c r="E240" s="80">
        <v>796</v>
      </c>
      <c r="F240" s="80">
        <v>1.05</v>
      </c>
      <c r="G240" s="80">
        <v>3</v>
      </c>
      <c r="H240" s="80">
        <v>3</v>
      </c>
      <c r="I240" s="80">
        <v>840</v>
      </c>
    </row>
    <row r="241" spans="1:9" x14ac:dyDescent="0.25">
      <c r="A241" s="80">
        <v>240</v>
      </c>
      <c r="B241" s="80">
        <v>38</v>
      </c>
      <c r="C241" s="80">
        <v>17</v>
      </c>
      <c r="D241" s="80" t="s">
        <v>3301</v>
      </c>
      <c r="E241" s="80">
        <v>796</v>
      </c>
      <c r="F241" s="80">
        <v>1.05</v>
      </c>
      <c r="G241" s="80">
        <v>2</v>
      </c>
      <c r="H241" s="80">
        <v>4</v>
      </c>
      <c r="I241" s="80">
        <v>840</v>
      </c>
    </row>
    <row r="242" spans="1:9" x14ac:dyDescent="0.25">
      <c r="A242" s="80">
        <v>241</v>
      </c>
      <c r="B242" s="80">
        <v>39</v>
      </c>
      <c r="C242" s="80">
        <v>1</v>
      </c>
      <c r="D242" s="80" t="s">
        <v>3342</v>
      </c>
      <c r="E242" s="80">
        <v>796</v>
      </c>
      <c r="F242" s="80">
        <v>0.2</v>
      </c>
      <c r="G242" s="80">
        <v>2</v>
      </c>
      <c r="H242" s="80">
        <v>4</v>
      </c>
      <c r="I242" s="80">
        <v>840</v>
      </c>
    </row>
    <row r="243" spans="1:9" x14ac:dyDescent="0.25">
      <c r="A243" s="80">
        <v>242</v>
      </c>
      <c r="B243" s="80">
        <v>39</v>
      </c>
      <c r="C243" s="80">
        <v>2</v>
      </c>
      <c r="D243" s="80" t="s">
        <v>3357</v>
      </c>
      <c r="E243" s="80">
        <v>796</v>
      </c>
      <c r="F243" s="80">
        <v>0.2</v>
      </c>
      <c r="G243" s="80">
        <v>2</v>
      </c>
      <c r="H243" s="80">
        <v>2</v>
      </c>
      <c r="I243" s="80">
        <v>840</v>
      </c>
    </row>
    <row r="244" spans="1:9" x14ac:dyDescent="0.25">
      <c r="A244" s="80">
        <v>243</v>
      </c>
      <c r="B244" s="80">
        <v>39</v>
      </c>
      <c r="C244" s="80">
        <v>3</v>
      </c>
      <c r="D244" s="80" t="s">
        <v>3301</v>
      </c>
      <c r="E244" s="80">
        <v>796</v>
      </c>
      <c r="F244" s="80">
        <v>0.2</v>
      </c>
      <c r="G244" s="80">
        <v>1</v>
      </c>
      <c r="H244" s="80">
        <v>1</v>
      </c>
      <c r="I244" s="80">
        <v>840</v>
      </c>
    </row>
    <row r="245" spans="1:9" x14ac:dyDescent="0.25">
      <c r="A245" s="80">
        <v>244</v>
      </c>
      <c r="B245" s="80">
        <v>39</v>
      </c>
      <c r="C245" s="80">
        <v>4</v>
      </c>
      <c r="D245" s="80" t="s">
        <v>3358</v>
      </c>
      <c r="E245" s="80">
        <v>796</v>
      </c>
      <c r="F245" s="80">
        <v>0.2</v>
      </c>
      <c r="G245" s="80">
        <v>3</v>
      </c>
      <c r="H245" s="80">
        <v>3</v>
      </c>
      <c r="I245" s="80">
        <v>840</v>
      </c>
    </row>
    <row r="246" spans="1:9" x14ac:dyDescent="0.25">
      <c r="A246" s="80">
        <v>245</v>
      </c>
      <c r="B246" s="80">
        <v>39</v>
      </c>
      <c r="C246" s="80">
        <v>5</v>
      </c>
      <c r="D246" s="80" t="s">
        <v>3287</v>
      </c>
      <c r="E246" s="80">
        <v>796</v>
      </c>
      <c r="F246" s="80">
        <v>0.2</v>
      </c>
      <c r="G246" s="80">
        <v>2</v>
      </c>
      <c r="H246" s="80">
        <v>2</v>
      </c>
      <c r="I246" s="80">
        <v>840</v>
      </c>
    </row>
    <row r="247" spans="1:9" x14ac:dyDescent="0.25">
      <c r="A247" s="80">
        <v>246</v>
      </c>
      <c r="B247" s="80">
        <v>39</v>
      </c>
      <c r="C247" s="80">
        <v>6</v>
      </c>
      <c r="D247" s="80" t="s">
        <v>3359</v>
      </c>
      <c r="E247" s="80">
        <v>796</v>
      </c>
      <c r="F247" s="80">
        <v>0.2</v>
      </c>
      <c r="G247" s="80">
        <v>3</v>
      </c>
      <c r="H247" s="80">
        <v>3</v>
      </c>
      <c r="I247" s="80">
        <v>840</v>
      </c>
    </row>
    <row r="248" spans="1:9" x14ac:dyDescent="0.25">
      <c r="A248" s="80">
        <v>247</v>
      </c>
      <c r="B248" s="80">
        <v>40</v>
      </c>
      <c r="C248" s="80">
        <v>1</v>
      </c>
      <c r="D248" s="80" t="s">
        <v>3302</v>
      </c>
      <c r="E248" s="80">
        <v>796</v>
      </c>
      <c r="F248" s="80">
        <v>0.56000000000000005</v>
      </c>
      <c r="G248" s="80">
        <v>3</v>
      </c>
      <c r="H248" s="80">
        <v>3</v>
      </c>
      <c r="I248" s="80">
        <v>840</v>
      </c>
    </row>
    <row r="249" spans="1:9" x14ac:dyDescent="0.25">
      <c r="A249" s="80">
        <v>248</v>
      </c>
      <c r="B249" s="80">
        <v>40</v>
      </c>
      <c r="C249" s="80">
        <v>2</v>
      </c>
      <c r="D249" s="80" t="s">
        <v>3362</v>
      </c>
      <c r="E249" s="80">
        <v>796</v>
      </c>
      <c r="F249" s="80">
        <v>0.56000000000000005</v>
      </c>
      <c r="G249" s="80">
        <v>1</v>
      </c>
      <c r="H249" s="80">
        <v>1</v>
      </c>
      <c r="I249" s="80">
        <v>840</v>
      </c>
    </row>
    <row r="250" spans="1:9" x14ac:dyDescent="0.25">
      <c r="A250" s="80">
        <v>249</v>
      </c>
      <c r="B250" s="80">
        <v>40</v>
      </c>
      <c r="C250" s="80">
        <v>3</v>
      </c>
      <c r="D250" s="80" t="s">
        <v>3363</v>
      </c>
      <c r="E250" s="80">
        <v>796</v>
      </c>
      <c r="F250" s="80">
        <v>0.56000000000000005</v>
      </c>
      <c r="G250" s="80">
        <v>2</v>
      </c>
      <c r="H250" s="80">
        <v>2</v>
      </c>
      <c r="I250" s="80">
        <v>840</v>
      </c>
    </row>
    <row r="251" spans="1:9" x14ac:dyDescent="0.25">
      <c r="A251" s="80">
        <v>250</v>
      </c>
      <c r="B251" s="80">
        <v>40</v>
      </c>
      <c r="C251" s="80">
        <v>4</v>
      </c>
      <c r="D251" s="80" t="s">
        <v>3345</v>
      </c>
      <c r="E251" s="80">
        <v>796</v>
      </c>
      <c r="F251" s="80">
        <v>0.56000000000000005</v>
      </c>
      <c r="G251" s="80">
        <v>2</v>
      </c>
      <c r="H251" s="80">
        <v>2</v>
      </c>
      <c r="I251" s="80">
        <v>840</v>
      </c>
    </row>
    <row r="252" spans="1:9" x14ac:dyDescent="0.25">
      <c r="A252" s="80">
        <v>251</v>
      </c>
      <c r="B252" s="80">
        <v>40</v>
      </c>
      <c r="C252" s="80">
        <v>5</v>
      </c>
      <c r="D252" s="80" t="s">
        <v>3364</v>
      </c>
      <c r="E252" s="80">
        <v>796</v>
      </c>
      <c r="F252" s="80">
        <v>0.56000000000000005</v>
      </c>
      <c r="G252" s="80">
        <v>1</v>
      </c>
      <c r="H252" s="80">
        <v>1</v>
      </c>
      <c r="I252" s="80">
        <v>840</v>
      </c>
    </row>
    <row r="253" spans="1:9" x14ac:dyDescent="0.25">
      <c r="A253" s="80">
        <v>252</v>
      </c>
      <c r="B253" s="80">
        <v>40</v>
      </c>
      <c r="C253" s="80">
        <v>6</v>
      </c>
      <c r="D253" s="80" t="s">
        <v>3365</v>
      </c>
      <c r="E253" s="80">
        <v>796</v>
      </c>
      <c r="F253" s="80">
        <v>0.56000000000000005</v>
      </c>
      <c r="G253" s="80">
        <v>1</v>
      </c>
      <c r="H253" s="80">
        <v>2</v>
      </c>
      <c r="I253" s="80">
        <v>840</v>
      </c>
    </row>
    <row r="254" spans="1:9" x14ac:dyDescent="0.25">
      <c r="A254" s="80">
        <v>253</v>
      </c>
      <c r="B254" s="80">
        <v>40</v>
      </c>
      <c r="C254" s="80">
        <v>7</v>
      </c>
      <c r="D254" s="80" t="s">
        <v>3291</v>
      </c>
      <c r="E254" s="80">
        <v>796</v>
      </c>
      <c r="F254" s="80">
        <v>0.56000000000000005</v>
      </c>
      <c r="G254" s="80">
        <v>2</v>
      </c>
      <c r="H254" s="80">
        <v>4</v>
      </c>
      <c r="I254" s="80">
        <v>840</v>
      </c>
    </row>
    <row r="255" spans="1:9" x14ac:dyDescent="0.25">
      <c r="A255" s="80">
        <v>254</v>
      </c>
      <c r="B255" s="80">
        <v>40</v>
      </c>
      <c r="C255" s="80">
        <v>8</v>
      </c>
      <c r="D255" s="80" t="s">
        <v>3366</v>
      </c>
      <c r="E255" s="80">
        <v>796</v>
      </c>
      <c r="F255" s="80">
        <v>0.56000000000000005</v>
      </c>
      <c r="G255" s="80">
        <v>3</v>
      </c>
      <c r="H255" s="80">
        <v>6</v>
      </c>
      <c r="I255" s="80">
        <v>840</v>
      </c>
    </row>
    <row r="256" spans="1:9" x14ac:dyDescent="0.25">
      <c r="A256" s="80">
        <v>255</v>
      </c>
      <c r="B256" s="80">
        <v>40</v>
      </c>
      <c r="C256" s="80">
        <v>9</v>
      </c>
      <c r="D256" s="80" t="s">
        <v>3367</v>
      </c>
      <c r="E256" s="80">
        <v>796</v>
      </c>
      <c r="F256" s="80">
        <v>0.56000000000000005</v>
      </c>
      <c r="G256" s="80">
        <v>2</v>
      </c>
      <c r="H256" s="80">
        <v>2</v>
      </c>
      <c r="I256" s="80">
        <v>840</v>
      </c>
    </row>
    <row r="257" spans="1:9" x14ac:dyDescent="0.25">
      <c r="A257" s="80">
        <v>256</v>
      </c>
      <c r="B257" s="80">
        <v>40</v>
      </c>
      <c r="C257" s="80">
        <v>10</v>
      </c>
      <c r="D257" s="80" t="s">
        <v>3368</v>
      </c>
      <c r="E257" s="80">
        <v>796</v>
      </c>
      <c r="F257" s="80">
        <v>0.56000000000000005</v>
      </c>
      <c r="G257" s="80">
        <v>3</v>
      </c>
      <c r="H257" s="80">
        <v>3</v>
      </c>
      <c r="I257" s="80">
        <v>840</v>
      </c>
    </row>
    <row r="258" spans="1:9" x14ac:dyDescent="0.25">
      <c r="A258" s="80">
        <v>257</v>
      </c>
      <c r="B258" s="80">
        <v>41</v>
      </c>
      <c r="C258" s="80">
        <v>1</v>
      </c>
      <c r="D258" s="80" t="s">
        <v>3369</v>
      </c>
      <c r="E258" s="80">
        <v>796</v>
      </c>
      <c r="F258" s="80">
        <v>0.61</v>
      </c>
      <c r="G258" s="80">
        <v>2</v>
      </c>
      <c r="H258" s="80">
        <v>4</v>
      </c>
      <c r="I258" s="80">
        <v>840</v>
      </c>
    </row>
    <row r="259" spans="1:9" x14ac:dyDescent="0.25">
      <c r="A259" s="80">
        <v>258</v>
      </c>
      <c r="B259" s="80">
        <v>41</v>
      </c>
      <c r="C259" s="80">
        <v>2</v>
      </c>
      <c r="D259" s="80" t="s">
        <v>3287</v>
      </c>
      <c r="E259" s="80">
        <v>796</v>
      </c>
      <c r="F259" s="80">
        <v>0.61</v>
      </c>
      <c r="G259" s="80">
        <v>3</v>
      </c>
      <c r="H259" s="80">
        <v>6</v>
      </c>
      <c r="I259" s="80">
        <v>840</v>
      </c>
    </row>
    <row r="260" spans="1:9" x14ac:dyDescent="0.25">
      <c r="A260" s="80">
        <v>259</v>
      </c>
      <c r="B260" s="80">
        <v>41</v>
      </c>
      <c r="C260" s="80">
        <v>3</v>
      </c>
      <c r="D260" s="80" t="s">
        <v>3370</v>
      </c>
      <c r="E260" s="80">
        <v>796</v>
      </c>
      <c r="F260" s="80">
        <v>0.61</v>
      </c>
      <c r="G260" s="80">
        <v>3</v>
      </c>
      <c r="H260" s="80">
        <v>6</v>
      </c>
      <c r="I260" s="80">
        <v>840</v>
      </c>
    </row>
    <row r="261" spans="1:9" x14ac:dyDescent="0.25">
      <c r="A261" s="80">
        <v>260</v>
      </c>
      <c r="B261" s="80">
        <v>41</v>
      </c>
      <c r="C261" s="80">
        <v>4</v>
      </c>
      <c r="D261" s="80" t="s">
        <v>3371</v>
      </c>
      <c r="E261" s="80">
        <v>796</v>
      </c>
      <c r="F261" s="80">
        <v>0.61</v>
      </c>
      <c r="G261" s="80">
        <v>1</v>
      </c>
      <c r="H261" s="80">
        <v>2</v>
      </c>
      <c r="I261" s="80">
        <v>840</v>
      </c>
    </row>
    <row r="262" spans="1:9" x14ac:dyDescent="0.25">
      <c r="A262" s="80">
        <v>261</v>
      </c>
      <c r="B262" s="80">
        <v>41</v>
      </c>
      <c r="C262" s="80">
        <v>5</v>
      </c>
      <c r="D262" s="80" t="s">
        <v>3372</v>
      </c>
      <c r="E262" s="80">
        <v>796</v>
      </c>
      <c r="F262" s="80">
        <v>0.61</v>
      </c>
      <c r="G262" s="80">
        <v>2</v>
      </c>
      <c r="H262" s="80">
        <v>4</v>
      </c>
      <c r="I262" s="80">
        <v>840</v>
      </c>
    </row>
    <row r="263" spans="1:9" x14ac:dyDescent="0.25">
      <c r="A263" s="80">
        <v>262</v>
      </c>
      <c r="B263" s="80">
        <v>41</v>
      </c>
      <c r="C263" s="80">
        <v>6</v>
      </c>
      <c r="D263" s="80" t="s">
        <v>3373</v>
      </c>
      <c r="E263" s="80">
        <v>796</v>
      </c>
      <c r="F263" s="80">
        <v>0.61</v>
      </c>
      <c r="G263" s="80">
        <v>1</v>
      </c>
      <c r="H263" s="80">
        <v>1</v>
      </c>
      <c r="I263" s="80">
        <v>840</v>
      </c>
    </row>
    <row r="264" spans="1:9" x14ac:dyDescent="0.25">
      <c r="A264" s="80">
        <v>263</v>
      </c>
      <c r="B264" s="80">
        <v>41</v>
      </c>
      <c r="C264" s="80">
        <v>7</v>
      </c>
      <c r="D264" s="80" t="s">
        <v>3374</v>
      </c>
      <c r="E264" s="80">
        <v>796</v>
      </c>
      <c r="F264" s="80">
        <v>0.61</v>
      </c>
      <c r="G264" s="80">
        <v>2</v>
      </c>
      <c r="H264" s="80">
        <v>4</v>
      </c>
      <c r="I264" s="80">
        <v>840</v>
      </c>
    </row>
    <row r="265" spans="1:9" x14ac:dyDescent="0.25">
      <c r="A265" s="80">
        <v>264</v>
      </c>
      <c r="B265" s="80">
        <v>41</v>
      </c>
      <c r="C265" s="80">
        <v>8</v>
      </c>
      <c r="D265" s="80" t="s">
        <v>3311</v>
      </c>
      <c r="E265" s="80">
        <v>796</v>
      </c>
      <c r="F265" s="80">
        <v>0.61</v>
      </c>
      <c r="G265" s="80">
        <v>2</v>
      </c>
      <c r="H265" s="80">
        <v>4</v>
      </c>
      <c r="I265" s="80">
        <v>840</v>
      </c>
    </row>
    <row r="266" spans="1:9" x14ac:dyDescent="0.25">
      <c r="A266" s="80">
        <v>265</v>
      </c>
      <c r="B266" s="80">
        <v>41</v>
      </c>
      <c r="C266" s="80">
        <v>9</v>
      </c>
      <c r="D266" s="80" t="s">
        <v>3301</v>
      </c>
      <c r="E266" s="80">
        <v>796</v>
      </c>
      <c r="F266" s="80">
        <v>0.61</v>
      </c>
      <c r="G266" s="80">
        <v>2</v>
      </c>
      <c r="H266" s="80">
        <v>2</v>
      </c>
      <c r="I266" s="80">
        <v>840</v>
      </c>
    </row>
    <row r="267" spans="1:9" x14ac:dyDescent="0.25">
      <c r="A267" s="80">
        <v>266</v>
      </c>
      <c r="B267" s="80">
        <v>41</v>
      </c>
      <c r="C267" s="80">
        <v>10</v>
      </c>
      <c r="D267" s="80" t="s">
        <v>3313</v>
      </c>
      <c r="E267" s="80">
        <v>796</v>
      </c>
      <c r="F267" s="80">
        <v>0.61</v>
      </c>
      <c r="G267" s="80">
        <v>2</v>
      </c>
      <c r="H267" s="80">
        <v>2</v>
      </c>
      <c r="I267" s="80">
        <v>840</v>
      </c>
    </row>
    <row r="268" spans="1:9" x14ac:dyDescent="0.25">
      <c r="A268" s="80">
        <v>267</v>
      </c>
      <c r="B268" s="80">
        <v>41</v>
      </c>
      <c r="C268" s="80">
        <v>11</v>
      </c>
      <c r="D268" s="80" t="s">
        <v>3352</v>
      </c>
      <c r="E268" s="80">
        <v>796</v>
      </c>
      <c r="F268" s="80">
        <v>0.61</v>
      </c>
      <c r="G268" s="80">
        <v>2</v>
      </c>
      <c r="H268" s="80">
        <v>2</v>
      </c>
      <c r="I268" s="80">
        <v>840</v>
      </c>
    </row>
    <row r="269" spans="1:9" x14ac:dyDescent="0.25">
      <c r="A269" s="80">
        <v>268</v>
      </c>
      <c r="B269" s="80">
        <v>42</v>
      </c>
      <c r="C269" s="80">
        <v>1</v>
      </c>
      <c r="D269" s="80" t="s">
        <v>3375</v>
      </c>
      <c r="E269" s="80">
        <v>796</v>
      </c>
      <c r="F269" s="80">
        <v>1.37</v>
      </c>
      <c r="G269" s="80">
        <v>1</v>
      </c>
      <c r="H269" s="80">
        <v>1</v>
      </c>
      <c r="I269" s="80">
        <v>840</v>
      </c>
    </row>
    <row r="270" spans="1:9" x14ac:dyDescent="0.25">
      <c r="A270" s="80">
        <v>269</v>
      </c>
      <c r="B270" s="80">
        <v>42</v>
      </c>
      <c r="C270" s="80">
        <v>2</v>
      </c>
      <c r="D270" s="80" t="s">
        <v>3342</v>
      </c>
      <c r="E270" s="80">
        <v>796</v>
      </c>
      <c r="F270" s="80">
        <v>1.37</v>
      </c>
      <c r="G270" s="80">
        <v>1</v>
      </c>
      <c r="H270" s="80">
        <v>2</v>
      </c>
      <c r="I270" s="80">
        <v>840</v>
      </c>
    </row>
    <row r="271" spans="1:9" x14ac:dyDescent="0.25">
      <c r="A271" s="80">
        <v>270</v>
      </c>
      <c r="B271" s="80">
        <v>42</v>
      </c>
      <c r="C271" s="80">
        <v>3</v>
      </c>
      <c r="D271" s="80" t="s">
        <v>3376</v>
      </c>
      <c r="E271" s="80">
        <v>796</v>
      </c>
      <c r="F271" s="80">
        <v>1.37</v>
      </c>
      <c r="G271" s="80">
        <v>3</v>
      </c>
      <c r="H271" s="80">
        <v>3</v>
      </c>
      <c r="I271" s="80">
        <v>840</v>
      </c>
    </row>
    <row r="272" spans="1:9" x14ac:dyDescent="0.25">
      <c r="A272" s="80">
        <v>271</v>
      </c>
      <c r="B272" s="80">
        <v>43</v>
      </c>
      <c r="C272" s="80">
        <v>1</v>
      </c>
      <c r="D272" s="80" t="s">
        <v>3321</v>
      </c>
      <c r="E272" s="80">
        <v>796</v>
      </c>
      <c r="F272" s="80">
        <v>1</v>
      </c>
      <c r="G272" s="80">
        <v>2</v>
      </c>
      <c r="H272" s="80">
        <v>2</v>
      </c>
      <c r="I272" s="80">
        <v>840</v>
      </c>
    </row>
    <row r="273" spans="1:9" x14ac:dyDescent="0.25">
      <c r="A273" s="80">
        <v>272</v>
      </c>
      <c r="B273" s="80">
        <v>44</v>
      </c>
      <c r="C273" s="80">
        <v>1</v>
      </c>
      <c r="D273" s="80" t="s">
        <v>3345</v>
      </c>
      <c r="E273" s="80">
        <v>796</v>
      </c>
      <c r="F273" s="80">
        <v>0.7</v>
      </c>
      <c r="G273" s="80">
        <v>3</v>
      </c>
      <c r="H273" s="80">
        <v>3</v>
      </c>
      <c r="I273" s="80">
        <v>840</v>
      </c>
    </row>
    <row r="274" spans="1:9" x14ac:dyDescent="0.25">
      <c r="A274" s="80">
        <v>273</v>
      </c>
      <c r="B274" s="80">
        <v>44</v>
      </c>
      <c r="C274" s="80">
        <v>2</v>
      </c>
      <c r="D274" s="80" t="s">
        <v>3302</v>
      </c>
      <c r="E274" s="80">
        <v>796</v>
      </c>
      <c r="F274" s="80">
        <v>0.7</v>
      </c>
      <c r="G274" s="80">
        <v>1</v>
      </c>
      <c r="H274" s="80">
        <v>2</v>
      </c>
      <c r="I274" s="80">
        <v>840</v>
      </c>
    </row>
    <row r="275" spans="1:9" x14ac:dyDescent="0.25">
      <c r="A275" s="80">
        <v>274</v>
      </c>
      <c r="B275" s="80">
        <v>45</v>
      </c>
      <c r="C275" s="80">
        <v>1</v>
      </c>
      <c r="D275" s="80" t="s">
        <v>3310</v>
      </c>
      <c r="E275" s="80">
        <v>796</v>
      </c>
      <c r="F275" s="80">
        <v>0.5</v>
      </c>
      <c r="G275" s="80">
        <v>1</v>
      </c>
      <c r="H275" s="80">
        <v>1</v>
      </c>
      <c r="I275" s="80">
        <v>840</v>
      </c>
    </row>
    <row r="276" spans="1:9" x14ac:dyDescent="0.25">
      <c r="A276" s="80">
        <v>275</v>
      </c>
      <c r="B276" s="80">
        <v>45</v>
      </c>
      <c r="C276" s="80">
        <v>2</v>
      </c>
      <c r="D276" s="80" t="s">
        <v>3321</v>
      </c>
      <c r="E276" s="80">
        <v>796</v>
      </c>
      <c r="F276" s="80">
        <v>0.5</v>
      </c>
      <c r="G276" s="80">
        <v>3</v>
      </c>
      <c r="H276" s="80">
        <v>6</v>
      </c>
      <c r="I276" s="80">
        <v>840</v>
      </c>
    </row>
    <row r="277" spans="1:9" x14ac:dyDescent="0.25">
      <c r="A277" s="80">
        <v>276</v>
      </c>
      <c r="B277" s="80">
        <v>45</v>
      </c>
      <c r="C277" s="80">
        <v>3</v>
      </c>
      <c r="D277" s="80" t="s">
        <v>3324</v>
      </c>
      <c r="E277" s="80">
        <v>796</v>
      </c>
      <c r="F277" s="80">
        <v>0.5</v>
      </c>
      <c r="G277" s="80">
        <v>3</v>
      </c>
      <c r="H277" s="80">
        <v>3</v>
      </c>
      <c r="I277" s="80">
        <v>840</v>
      </c>
    </row>
    <row r="278" spans="1:9" x14ac:dyDescent="0.25">
      <c r="A278" s="80">
        <v>277</v>
      </c>
      <c r="B278" s="80">
        <v>45</v>
      </c>
      <c r="C278" s="80">
        <v>4</v>
      </c>
      <c r="D278" s="80" t="s">
        <v>3266</v>
      </c>
      <c r="E278" s="80">
        <v>796</v>
      </c>
      <c r="F278" s="80">
        <v>0.5</v>
      </c>
      <c r="G278" s="80">
        <v>2</v>
      </c>
      <c r="H278" s="80">
        <v>4</v>
      </c>
      <c r="I278" s="80">
        <v>840</v>
      </c>
    </row>
    <row r="279" spans="1:9" x14ac:dyDescent="0.25">
      <c r="A279" s="80">
        <v>278</v>
      </c>
      <c r="B279" s="80">
        <v>46</v>
      </c>
      <c r="C279" s="80">
        <v>1</v>
      </c>
      <c r="D279" s="80" t="s">
        <v>3324</v>
      </c>
      <c r="E279" s="80">
        <v>796</v>
      </c>
      <c r="F279" s="80">
        <v>0.8</v>
      </c>
      <c r="G279" s="80">
        <v>3</v>
      </c>
      <c r="H279" s="80">
        <v>3</v>
      </c>
      <c r="I279" s="80">
        <v>840</v>
      </c>
    </row>
    <row r="280" spans="1:9" x14ac:dyDescent="0.25">
      <c r="A280" s="80">
        <v>279</v>
      </c>
      <c r="B280" s="80">
        <v>46</v>
      </c>
      <c r="C280" s="80">
        <v>2</v>
      </c>
      <c r="D280" s="80" t="s">
        <v>3313</v>
      </c>
      <c r="E280" s="80">
        <v>796</v>
      </c>
      <c r="F280" s="80">
        <v>0.8</v>
      </c>
      <c r="G280" s="80">
        <v>2</v>
      </c>
      <c r="H280" s="80">
        <v>2</v>
      </c>
      <c r="I280" s="80">
        <v>840</v>
      </c>
    </row>
    <row r="281" spans="1:9" x14ac:dyDescent="0.25">
      <c r="A281" s="80">
        <v>280</v>
      </c>
      <c r="B281" s="80">
        <v>46</v>
      </c>
      <c r="C281" s="80">
        <v>3</v>
      </c>
      <c r="D281" s="80" t="s">
        <v>3346</v>
      </c>
      <c r="E281" s="80">
        <v>796</v>
      </c>
      <c r="F281" s="80">
        <v>0.8</v>
      </c>
      <c r="G281" s="80">
        <v>1</v>
      </c>
      <c r="H281" s="80">
        <v>2</v>
      </c>
      <c r="I281" s="80">
        <v>840</v>
      </c>
    </row>
    <row r="282" spans="1:9" x14ac:dyDescent="0.25">
      <c r="A282" s="80">
        <v>281</v>
      </c>
      <c r="B282" s="80">
        <v>46</v>
      </c>
      <c r="C282" s="80">
        <v>4</v>
      </c>
      <c r="D282" s="80" t="s">
        <v>3379</v>
      </c>
      <c r="E282" s="80">
        <v>796</v>
      </c>
      <c r="F282" s="80">
        <v>0.8</v>
      </c>
      <c r="G282" s="80">
        <v>2</v>
      </c>
      <c r="H282" s="80">
        <v>4</v>
      </c>
      <c r="I282" s="80">
        <v>840</v>
      </c>
    </row>
    <row r="283" spans="1:9" x14ac:dyDescent="0.25">
      <c r="A283" s="80">
        <v>282</v>
      </c>
      <c r="B283" s="80">
        <v>47</v>
      </c>
      <c r="C283" s="80">
        <v>1</v>
      </c>
      <c r="D283" s="80" t="s">
        <v>3380</v>
      </c>
      <c r="E283" s="80">
        <v>796</v>
      </c>
      <c r="F283" s="80">
        <v>1.1000000000000001</v>
      </c>
      <c r="G283" s="80">
        <v>2</v>
      </c>
      <c r="H283" s="80">
        <v>2</v>
      </c>
      <c r="I283" s="80">
        <v>840</v>
      </c>
    </row>
    <row r="284" spans="1:9" x14ac:dyDescent="0.25">
      <c r="A284" s="80">
        <v>283</v>
      </c>
      <c r="B284" s="80">
        <v>48</v>
      </c>
      <c r="C284" s="80">
        <v>1</v>
      </c>
      <c r="D284" s="80" t="s">
        <v>3265</v>
      </c>
      <c r="E284" s="80">
        <v>796</v>
      </c>
      <c r="F284" s="80">
        <v>1</v>
      </c>
      <c r="G284" s="80">
        <v>3</v>
      </c>
      <c r="H284" s="80">
        <v>3</v>
      </c>
      <c r="I284" s="80">
        <v>840</v>
      </c>
    </row>
    <row r="285" spans="1:9" x14ac:dyDescent="0.25">
      <c r="A285" s="80">
        <v>284</v>
      </c>
      <c r="B285" s="80">
        <v>49</v>
      </c>
      <c r="C285" s="80">
        <v>1</v>
      </c>
      <c r="D285" s="80" t="s">
        <v>3291</v>
      </c>
      <c r="E285" s="80">
        <v>796</v>
      </c>
      <c r="F285" s="80">
        <v>0.6</v>
      </c>
      <c r="G285" s="80">
        <v>1</v>
      </c>
      <c r="H285" s="80">
        <v>1</v>
      </c>
      <c r="I285" s="80">
        <v>840</v>
      </c>
    </row>
    <row r="286" spans="1:9" x14ac:dyDescent="0.25">
      <c r="A286" s="80">
        <v>285</v>
      </c>
      <c r="B286" s="80">
        <v>49</v>
      </c>
      <c r="C286" s="80">
        <v>2</v>
      </c>
      <c r="D286" s="80" t="s">
        <v>3382</v>
      </c>
      <c r="E286" s="80">
        <v>796</v>
      </c>
      <c r="F286" s="80">
        <v>0.6</v>
      </c>
      <c r="G286" s="80">
        <v>3</v>
      </c>
      <c r="H286" s="80">
        <v>3</v>
      </c>
      <c r="I286" s="80">
        <v>840</v>
      </c>
    </row>
    <row r="287" spans="1:9" x14ac:dyDescent="0.25">
      <c r="A287" s="80">
        <v>286</v>
      </c>
      <c r="B287" s="80">
        <v>50</v>
      </c>
      <c r="C287" s="80">
        <v>1</v>
      </c>
      <c r="D287" s="80" t="s">
        <v>3383</v>
      </c>
      <c r="E287" s="80">
        <v>796</v>
      </c>
      <c r="F287" s="80">
        <v>0.53</v>
      </c>
      <c r="G287" s="80">
        <v>2</v>
      </c>
      <c r="H287" s="80">
        <v>2</v>
      </c>
      <c r="I287" s="80">
        <v>840</v>
      </c>
    </row>
    <row r="288" spans="1:9" x14ac:dyDescent="0.25">
      <c r="A288" s="80">
        <v>287</v>
      </c>
      <c r="B288" s="80">
        <v>50</v>
      </c>
      <c r="C288" s="80">
        <v>2</v>
      </c>
      <c r="D288" s="80" t="s">
        <v>3336</v>
      </c>
      <c r="E288" s="80">
        <v>796</v>
      </c>
      <c r="F288" s="80">
        <v>0.53</v>
      </c>
      <c r="G288" s="80">
        <v>2</v>
      </c>
      <c r="H288" s="80">
        <v>2</v>
      </c>
      <c r="I288" s="80">
        <v>840</v>
      </c>
    </row>
    <row r="289" spans="1:9" x14ac:dyDescent="0.25">
      <c r="A289" s="80">
        <v>288</v>
      </c>
      <c r="B289" s="80">
        <v>50</v>
      </c>
      <c r="C289" s="80">
        <v>3</v>
      </c>
      <c r="D289" s="80" t="s">
        <v>3384</v>
      </c>
      <c r="E289" s="80">
        <v>796</v>
      </c>
      <c r="F289" s="80">
        <v>0.53</v>
      </c>
      <c r="G289" s="80">
        <v>1</v>
      </c>
      <c r="H289" s="80">
        <v>1</v>
      </c>
      <c r="I289" s="80">
        <v>840</v>
      </c>
    </row>
    <row r="290" spans="1:9" x14ac:dyDescent="0.25">
      <c r="A290" s="80">
        <v>289</v>
      </c>
      <c r="B290" s="80">
        <v>50</v>
      </c>
      <c r="C290" s="80">
        <v>4</v>
      </c>
      <c r="D290" s="80" t="s">
        <v>3385</v>
      </c>
      <c r="E290" s="80">
        <v>796</v>
      </c>
      <c r="F290" s="80">
        <v>0.53</v>
      </c>
      <c r="G290" s="80">
        <v>2</v>
      </c>
      <c r="H290" s="80">
        <v>4</v>
      </c>
      <c r="I290" s="80">
        <v>840</v>
      </c>
    </row>
    <row r="291" spans="1:9" x14ac:dyDescent="0.25">
      <c r="A291" s="80">
        <v>290</v>
      </c>
      <c r="B291" s="80">
        <v>51</v>
      </c>
      <c r="C291" s="80">
        <v>1</v>
      </c>
      <c r="D291" s="80" t="s">
        <v>3321</v>
      </c>
      <c r="E291" s="80">
        <v>796</v>
      </c>
      <c r="F291" s="80">
        <v>0.42</v>
      </c>
      <c r="G291" s="80">
        <v>1</v>
      </c>
      <c r="H291" s="80">
        <v>2</v>
      </c>
      <c r="I291" s="80">
        <v>840</v>
      </c>
    </row>
    <row r="292" spans="1:9" x14ac:dyDescent="0.25">
      <c r="A292" s="80">
        <v>291</v>
      </c>
      <c r="B292" s="80">
        <v>51</v>
      </c>
      <c r="C292" s="80">
        <v>2</v>
      </c>
      <c r="D292" s="80" t="s">
        <v>3287</v>
      </c>
      <c r="E292" s="80">
        <v>796</v>
      </c>
      <c r="F292" s="80">
        <v>0.42</v>
      </c>
      <c r="G292" s="80">
        <v>2</v>
      </c>
      <c r="H292" s="80">
        <v>4</v>
      </c>
      <c r="I292" s="80">
        <v>840</v>
      </c>
    </row>
    <row r="293" spans="1:9" x14ac:dyDescent="0.25">
      <c r="A293" s="80">
        <v>292</v>
      </c>
      <c r="B293" s="80">
        <v>51</v>
      </c>
      <c r="C293" s="80">
        <v>3</v>
      </c>
      <c r="D293" s="80" t="s">
        <v>3332</v>
      </c>
      <c r="E293" s="80">
        <v>796</v>
      </c>
      <c r="F293" s="80">
        <v>0.42</v>
      </c>
      <c r="G293" s="80">
        <v>1</v>
      </c>
      <c r="H293" s="80">
        <v>1</v>
      </c>
      <c r="I293" s="80">
        <v>840</v>
      </c>
    </row>
    <row r="294" spans="1:9" x14ac:dyDescent="0.25">
      <c r="A294" s="80">
        <v>293</v>
      </c>
      <c r="B294" s="80">
        <v>51</v>
      </c>
      <c r="C294" s="80">
        <v>4</v>
      </c>
      <c r="D294" s="80" t="s">
        <v>3288</v>
      </c>
      <c r="E294" s="80">
        <v>796</v>
      </c>
      <c r="F294" s="80">
        <v>0.42</v>
      </c>
      <c r="G294" s="80">
        <v>1</v>
      </c>
      <c r="H294" s="80">
        <v>1</v>
      </c>
      <c r="I294" s="80">
        <v>840</v>
      </c>
    </row>
    <row r="295" spans="1:9" x14ac:dyDescent="0.25">
      <c r="A295" s="80">
        <v>294</v>
      </c>
      <c r="B295" s="80">
        <v>51</v>
      </c>
      <c r="C295" s="80">
        <v>5</v>
      </c>
      <c r="D295" s="80" t="s">
        <v>3387</v>
      </c>
      <c r="E295" s="80">
        <v>796</v>
      </c>
      <c r="F295" s="80">
        <v>0.42</v>
      </c>
      <c r="G295" s="80">
        <v>2</v>
      </c>
      <c r="H295" s="80">
        <v>4</v>
      </c>
      <c r="I295" s="80">
        <v>840</v>
      </c>
    </row>
    <row r="296" spans="1:9" x14ac:dyDescent="0.25">
      <c r="A296" s="80">
        <v>295</v>
      </c>
      <c r="B296" s="80">
        <v>51</v>
      </c>
      <c r="C296" s="80">
        <v>6</v>
      </c>
      <c r="D296" s="80" t="s">
        <v>3357</v>
      </c>
      <c r="E296" s="80">
        <v>796</v>
      </c>
      <c r="F296" s="80">
        <v>0.42</v>
      </c>
      <c r="G296" s="80">
        <v>1</v>
      </c>
      <c r="H296" s="80">
        <v>2</v>
      </c>
      <c r="I296" s="80">
        <v>840</v>
      </c>
    </row>
    <row r="297" spans="1:9" x14ac:dyDescent="0.25">
      <c r="A297" s="80">
        <v>296</v>
      </c>
      <c r="B297" s="80">
        <v>51</v>
      </c>
      <c r="C297" s="80">
        <v>7</v>
      </c>
      <c r="D297" s="80" t="s">
        <v>3298</v>
      </c>
      <c r="E297" s="80">
        <v>796</v>
      </c>
      <c r="F297" s="80">
        <v>0.42</v>
      </c>
      <c r="G297" s="80">
        <v>3</v>
      </c>
      <c r="H297" s="80">
        <v>6</v>
      </c>
      <c r="I297" s="80">
        <v>840</v>
      </c>
    </row>
    <row r="298" spans="1:9" x14ac:dyDescent="0.25">
      <c r="A298" s="80">
        <v>297</v>
      </c>
      <c r="B298" s="80">
        <v>51</v>
      </c>
      <c r="C298" s="80">
        <v>8</v>
      </c>
      <c r="D298" s="80" t="s">
        <v>3344</v>
      </c>
      <c r="E298" s="80">
        <v>796</v>
      </c>
      <c r="F298" s="80">
        <v>0.42</v>
      </c>
      <c r="G298" s="80">
        <v>2</v>
      </c>
      <c r="H298" s="80">
        <v>2</v>
      </c>
      <c r="I298" s="80">
        <v>840</v>
      </c>
    </row>
    <row r="299" spans="1:9" x14ac:dyDescent="0.25">
      <c r="A299" s="80">
        <v>298</v>
      </c>
      <c r="B299" s="80">
        <v>51</v>
      </c>
      <c r="C299" s="80">
        <v>9</v>
      </c>
      <c r="D299" s="80" t="s">
        <v>3357</v>
      </c>
      <c r="E299" s="80">
        <v>796</v>
      </c>
      <c r="F299" s="80">
        <v>0.42</v>
      </c>
      <c r="G299" s="80">
        <v>1</v>
      </c>
      <c r="H299" s="80">
        <v>1</v>
      </c>
      <c r="I299" s="80">
        <v>840</v>
      </c>
    </row>
    <row r="300" spans="1:9" x14ac:dyDescent="0.25">
      <c r="A300" s="80">
        <v>299</v>
      </c>
      <c r="B300" s="80">
        <v>51</v>
      </c>
      <c r="C300" s="80">
        <v>10</v>
      </c>
      <c r="D300" s="80" t="s">
        <v>3388</v>
      </c>
      <c r="E300" s="80">
        <v>796</v>
      </c>
      <c r="F300" s="80">
        <v>0.42</v>
      </c>
      <c r="G300" s="80">
        <v>2</v>
      </c>
      <c r="H300" s="80">
        <v>4</v>
      </c>
      <c r="I300" s="80">
        <v>840</v>
      </c>
    </row>
    <row r="301" spans="1:9" x14ac:dyDescent="0.25">
      <c r="A301" s="80">
        <v>300</v>
      </c>
      <c r="B301" s="80">
        <v>52</v>
      </c>
      <c r="C301" s="80">
        <v>1</v>
      </c>
      <c r="D301" s="80" t="s">
        <v>3287</v>
      </c>
      <c r="E301" s="80">
        <v>796</v>
      </c>
      <c r="F301" s="80">
        <v>0.53</v>
      </c>
      <c r="G301" s="80">
        <v>1</v>
      </c>
      <c r="H301" s="80">
        <v>1</v>
      </c>
      <c r="I301" s="80">
        <v>840</v>
      </c>
    </row>
    <row r="302" spans="1:9" x14ac:dyDescent="0.25">
      <c r="A302" s="80">
        <v>301</v>
      </c>
      <c r="B302" s="80">
        <v>52</v>
      </c>
      <c r="C302" s="80">
        <v>2</v>
      </c>
      <c r="D302" s="80" t="s">
        <v>3357</v>
      </c>
      <c r="E302" s="80">
        <v>796</v>
      </c>
      <c r="F302" s="80">
        <v>0.53</v>
      </c>
      <c r="G302" s="80">
        <v>3</v>
      </c>
      <c r="H302" s="80">
        <v>3</v>
      </c>
      <c r="I302" s="80">
        <v>840</v>
      </c>
    </row>
    <row r="303" spans="1:9" x14ac:dyDescent="0.25">
      <c r="A303" s="80">
        <v>302</v>
      </c>
      <c r="B303" s="80">
        <v>52</v>
      </c>
      <c r="C303" s="80">
        <v>3</v>
      </c>
      <c r="D303" s="80" t="s">
        <v>3303</v>
      </c>
      <c r="E303" s="80">
        <v>796</v>
      </c>
      <c r="F303" s="80">
        <v>0.53</v>
      </c>
      <c r="G303" s="80">
        <v>2</v>
      </c>
      <c r="H303" s="80">
        <v>4</v>
      </c>
      <c r="I303" s="80">
        <v>840</v>
      </c>
    </row>
    <row r="304" spans="1:9" x14ac:dyDescent="0.25">
      <c r="A304" s="80">
        <v>303</v>
      </c>
      <c r="B304" s="80">
        <v>53</v>
      </c>
      <c r="C304" s="80">
        <v>1</v>
      </c>
      <c r="D304" s="80" t="s">
        <v>3345</v>
      </c>
      <c r="E304" s="80">
        <v>796</v>
      </c>
      <c r="F304" s="80">
        <v>0.88</v>
      </c>
      <c r="G304" s="80">
        <v>2</v>
      </c>
      <c r="H304" s="80">
        <v>4</v>
      </c>
      <c r="I304" s="80">
        <v>840</v>
      </c>
    </row>
    <row r="305" spans="1:9" x14ac:dyDescent="0.25">
      <c r="A305" s="80">
        <v>304</v>
      </c>
      <c r="B305" s="80">
        <v>53</v>
      </c>
      <c r="C305" s="80">
        <v>2</v>
      </c>
      <c r="D305" s="80" t="s">
        <v>3313</v>
      </c>
      <c r="E305" s="80">
        <v>796</v>
      </c>
      <c r="F305" s="80">
        <v>0.88</v>
      </c>
      <c r="G305" s="80">
        <v>3</v>
      </c>
      <c r="H305" s="80">
        <v>3</v>
      </c>
      <c r="I305" s="80">
        <v>840</v>
      </c>
    </row>
    <row r="306" spans="1:9" x14ac:dyDescent="0.25">
      <c r="A306" s="80">
        <v>305</v>
      </c>
      <c r="B306" s="80">
        <v>53</v>
      </c>
      <c r="C306" s="80">
        <v>3</v>
      </c>
      <c r="D306" s="80" t="s">
        <v>3389</v>
      </c>
      <c r="E306" s="80">
        <v>796</v>
      </c>
      <c r="F306" s="80">
        <v>0.88</v>
      </c>
      <c r="G306" s="80">
        <v>2</v>
      </c>
      <c r="H306" s="80">
        <v>4</v>
      </c>
      <c r="I306" s="80">
        <v>840</v>
      </c>
    </row>
    <row r="307" spans="1:9" x14ac:dyDescent="0.25">
      <c r="A307" s="80">
        <v>306</v>
      </c>
      <c r="B307" s="80">
        <v>53</v>
      </c>
      <c r="C307" s="80">
        <v>4</v>
      </c>
      <c r="D307" s="80" t="s">
        <v>3390</v>
      </c>
      <c r="E307" s="80">
        <v>796</v>
      </c>
      <c r="F307" s="80">
        <v>0.88</v>
      </c>
      <c r="G307" s="80">
        <v>1</v>
      </c>
      <c r="H307" s="80">
        <v>2</v>
      </c>
      <c r="I307" s="80">
        <v>840</v>
      </c>
    </row>
    <row r="308" spans="1:9" x14ac:dyDescent="0.25">
      <c r="A308" s="80">
        <v>307</v>
      </c>
      <c r="B308" s="80">
        <v>53</v>
      </c>
      <c r="C308" s="80">
        <v>5</v>
      </c>
      <c r="D308" s="80" t="s">
        <v>3301</v>
      </c>
      <c r="E308" s="80">
        <v>796</v>
      </c>
      <c r="F308" s="80">
        <v>0.88</v>
      </c>
      <c r="G308" s="80">
        <v>2</v>
      </c>
      <c r="H308" s="80">
        <v>4</v>
      </c>
      <c r="I308" s="80">
        <v>840</v>
      </c>
    </row>
    <row r="309" spans="1:9" x14ac:dyDescent="0.25">
      <c r="A309" s="80">
        <v>308</v>
      </c>
      <c r="B309" s="80">
        <v>53</v>
      </c>
      <c r="C309" s="80">
        <v>6</v>
      </c>
      <c r="D309" s="80" t="s">
        <v>3375</v>
      </c>
      <c r="E309" s="80">
        <v>796</v>
      </c>
      <c r="F309" s="80">
        <v>0.88</v>
      </c>
      <c r="G309" s="80">
        <v>2</v>
      </c>
      <c r="H309" s="80">
        <v>4</v>
      </c>
      <c r="I309" s="80">
        <v>840</v>
      </c>
    </row>
    <row r="310" spans="1:9" x14ac:dyDescent="0.25">
      <c r="A310" s="80">
        <v>309</v>
      </c>
      <c r="B310" s="80">
        <v>54</v>
      </c>
      <c r="C310" s="80">
        <v>1</v>
      </c>
      <c r="D310" s="80" t="s">
        <v>3302</v>
      </c>
      <c r="E310" s="80">
        <v>796</v>
      </c>
      <c r="F310" s="80">
        <v>0.9</v>
      </c>
      <c r="G310" s="80">
        <v>1</v>
      </c>
      <c r="H310" s="80">
        <v>2</v>
      </c>
      <c r="I310" s="80">
        <v>840</v>
      </c>
    </row>
    <row r="311" spans="1:9" x14ac:dyDescent="0.25">
      <c r="A311" s="80">
        <v>310</v>
      </c>
      <c r="B311" s="80">
        <v>54</v>
      </c>
      <c r="C311" s="80">
        <v>2</v>
      </c>
      <c r="D311" s="80" t="s">
        <v>3258</v>
      </c>
      <c r="E311" s="80">
        <v>796</v>
      </c>
      <c r="F311" s="80">
        <v>0.9</v>
      </c>
      <c r="G311" s="80">
        <v>3</v>
      </c>
      <c r="H311" s="80">
        <v>3</v>
      </c>
      <c r="I311" s="80">
        <v>840</v>
      </c>
    </row>
    <row r="312" spans="1:9" x14ac:dyDescent="0.25">
      <c r="A312" s="80">
        <v>311</v>
      </c>
      <c r="B312" s="80">
        <v>54</v>
      </c>
      <c r="C312" s="80">
        <v>3</v>
      </c>
      <c r="D312" s="80" t="s">
        <v>3391</v>
      </c>
      <c r="E312" s="80">
        <v>796</v>
      </c>
      <c r="F312" s="80">
        <v>0.9</v>
      </c>
      <c r="G312" s="80">
        <v>3</v>
      </c>
      <c r="H312" s="80">
        <v>6</v>
      </c>
      <c r="I312" s="80">
        <v>840</v>
      </c>
    </row>
    <row r="313" spans="1:9" x14ac:dyDescent="0.25">
      <c r="A313" s="80">
        <v>312</v>
      </c>
      <c r="B313" s="80">
        <v>54</v>
      </c>
      <c r="C313" s="80">
        <v>4</v>
      </c>
      <c r="D313" s="80" t="s">
        <v>3266</v>
      </c>
      <c r="E313" s="80">
        <v>796</v>
      </c>
      <c r="F313" s="80">
        <v>0.9</v>
      </c>
      <c r="G313" s="80">
        <v>3</v>
      </c>
      <c r="H313" s="80">
        <v>6</v>
      </c>
      <c r="I313" s="80">
        <v>840</v>
      </c>
    </row>
    <row r="314" spans="1:9" x14ac:dyDescent="0.25">
      <c r="A314" s="80">
        <v>313</v>
      </c>
      <c r="B314" s="80">
        <v>54</v>
      </c>
      <c r="C314" s="80">
        <v>5</v>
      </c>
      <c r="D314" s="80" t="s">
        <v>3259</v>
      </c>
      <c r="E314" s="80">
        <v>796</v>
      </c>
      <c r="F314" s="80">
        <v>0.9</v>
      </c>
      <c r="G314" s="80">
        <v>2</v>
      </c>
      <c r="H314" s="80">
        <v>2</v>
      </c>
      <c r="I314" s="80">
        <v>840</v>
      </c>
    </row>
    <row r="315" spans="1:9" x14ac:dyDescent="0.25">
      <c r="A315" s="80">
        <v>314</v>
      </c>
      <c r="B315" s="80">
        <v>54</v>
      </c>
      <c r="C315" s="80">
        <v>6</v>
      </c>
      <c r="D315" s="80" t="s">
        <v>3321</v>
      </c>
      <c r="E315" s="80">
        <v>796</v>
      </c>
      <c r="F315" s="80">
        <v>0.9</v>
      </c>
      <c r="G315" s="80">
        <v>1</v>
      </c>
      <c r="H315" s="80">
        <v>2</v>
      </c>
      <c r="I315" s="80">
        <v>840</v>
      </c>
    </row>
    <row r="316" spans="1:9" x14ac:dyDescent="0.25">
      <c r="A316" s="80">
        <v>315</v>
      </c>
      <c r="B316" s="80">
        <v>54</v>
      </c>
      <c r="C316" s="80">
        <v>7</v>
      </c>
      <c r="D316" s="80" t="s">
        <v>3333</v>
      </c>
      <c r="E316" s="80">
        <v>796</v>
      </c>
      <c r="F316" s="80">
        <v>0.9</v>
      </c>
      <c r="G316" s="80">
        <v>2</v>
      </c>
      <c r="H316" s="80">
        <v>4</v>
      </c>
      <c r="I316" s="80">
        <v>840</v>
      </c>
    </row>
    <row r="317" spans="1:9" x14ac:dyDescent="0.25">
      <c r="A317" s="80">
        <v>316</v>
      </c>
      <c r="B317" s="80">
        <v>54</v>
      </c>
      <c r="C317" s="80">
        <v>8</v>
      </c>
      <c r="D317" s="80" t="s">
        <v>3301</v>
      </c>
      <c r="E317" s="80">
        <v>796</v>
      </c>
      <c r="F317" s="80">
        <v>0.9</v>
      </c>
      <c r="G317" s="80">
        <v>2</v>
      </c>
      <c r="H317" s="80">
        <v>2</v>
      </c>
      <c r="I317" s="80">
        <v>840</v>
      </c>
    </row>
    <row r="318" spans="1:9" x14ac:dyDescent="0.25">
      <c r="A318" s="80">
        <v>317</v>
      </c>
      <c r="B318" s="80">
        <v>54</v>
      </c>
      <c r="C318" s="80">
        <v>9</v>
      </c>
      <c r="D318" s="80" t="s">
        <v>3392</v>
      </c>
      <c r="E318" s="80">
        <v>796</v>
      </c>
      <c r="F318" s="80">
        <v>0.9</v>
      </c>
      <c r="G318" s="80">
        <v>2</v>
      </c>
      <c r="H318" s="80">
        <v>2</v>
      </c>
      <c r="I318" s="80">
        <v>840</v>
      </c>
    </row>
    <row r="319" spans="1:9" x14ac:dyDescent="0.25">
      <c r="A319" s="80">
        <v>318</v>
      </c>
      <c r="B319" s="80">
        <v>54</v>
      </c>
      <c r="C319" s="80">
        <v>10</v>
      </c>
      <c r="D319" s="80" t="s">
        <v>3393</v>
      </c>
      <c r="E319" s="80">
        <v>796</v>
      </c>
      <c r="F319" s="80">
        <v>0.9</v>
      </c>
      <c r="G319" s="80">
        <v>2</v>
      </c>
      <c r="H319" s="80">
        <v>2</v>
      </c>
      <c r="I319" s="80">
        <v>840</v>
      </c>
    </row>
    <row r="320" spans="1:9" x14ac:dyDescent="0.25">
      <c r="A320" s="80">
        <v>319</v>
      </c>
      <c r="B320" s="80">
        <v>54</v>
      </c>
      <c r="C320" s="80">
        <v>11</v>
      </c>
      <c r="D320" s="80" t="s">
        <v>3394</v>
      </c>
      <c r="E320" s="80">
        <v>796</v>
      </c>
      <c r="F320" s="80">
        <v>0.9</v>
      </c>
      <c r="G320" s="80">
        <v>1</v>
      </c>
      <c r="H320" s="80">
        <v>2</v>
      </c>
      <c r="I320" s="80">
        <v>840</v>
      </c>
    </row>
    <row r="321" spans="1:9" x14ac:dyDescent="0.25">
      <c r="A321" s="80">
        <v>320</v>
      </c>
      <c r="B321" s="80">
        <v>54</v>
      </c>
      <c r="C321" s="80">
        <v>12</v>
      </c>
      <c r="D321" s="80" t="s">
        <v>3324</v>
      </c>
      <c r="E321" s="80">
        <v>796</v>
      </c>
      <c r="F321" s="80">
        <v>0.9</v>
      </c>
      <c r="G321" s="80">
        <v>1</v>
      </c>
      <c r="H321" s="80">
        <v>2</v>
      </c>
      <c r="I321" s="80">
        <v>840</v>
      </c>
    </row>
    <row r="322" spans="1:9" x14ac:dyDescent="0.25">
      <c r="A322" s="80">
        <v>321</v>
      </c>
      <c r="B322" s="80">
        <v>54</v>
      </c>
      <c r="C322" s="80">
        <v>13</v>
      </c>
      <c r="D322" s="80" t="s">
        <v>3395</v>
      </c>
      <c r="E322" s="80">
        <v>796</v>
      </c>
      <c r="F322" s="80">
        <v>0.9</v>
      </c>
      <c r="G322" s="80">
        <v>2</v>
      </c>
      <c r="H322" s="80">
        <v>4</v>
      </c>
      <c r="I322" s="80">
        <v>840</v>
      </c>
    </row>
    <row r="323" spans="1:9" x14ac:dyDescent="0.25">
      <c r="A323" s="80">
        <v>322</v>
      </c>
      <c r="B323" s="80">
        <v>54</v>
      </c>
      <c r="C323" s="80">
        <v>14</v>
      </c>
      <c r="D323" s="80" t="s">
        <v>3291</v>
      </c>
      <c r="E323" s="80">
        <v>796</v>
      </c>
      <c r="F323" s="80">
        <v>0.9</v>
      </c>
      <c r="G323" s="80">
        <v>1</v>
      </c>
      <c r="H323" s="80">
        <v>2</v>
      </c>
      <c r="I323" s="80">
        <v>840</v>
      </c>
    </row>
    <row r="324" spans="1:9" x14ac:dyDescent="0.25">
      <c r="A324" s="80">
        <v>323</v>
      </c>
      <c r="B324" s="80">
        <v>54</v>
      </c>
      <c r="C324" s="80">
        <v>15</v>
      </c>
      <c r="D324" s="80" t="s">
        <v>3372</v>
      </c>
      <c r="E324" s="80">
        <v>796</v>
      </c>
      <c r="F324" s="80">
        <v>0.9</v>
      </c>
      <c r="G324" s="80">
        <v>1</v>
      </c>
      <c r="H324" s="80">
        <v>2</v>
      </c>
      <c r="I324" s="80">
        <v>840</v>
      </c>
    </row>
    <row r="325" spans="1:9" x14ac:dyDescent="0.25">
      <c r="A325" s="80">
        <v>324</v>
      </c>
      <c r="B325" s="80">
        <v>54</v>
      </c>
      <c r="C325" s="80">
        <v>16</v>
      </c>
      <c r="D325" s="80" t="s">
        <v>3375</v>
      </c>
      <c r="E325" s="80">
        <v>796</v>
      </c>
      <c r="F325" s="80">
        <v>0.9</v>
      </c>
      <c r="G325" s="80">
        <v>1</v>
      </c>
      <c r="H325" s="80">
        <v>1</v>
      </c>
      <c r="I325" s="80">
        <v>840</v>
      </c>
    </row>
    <row r="326" spans="1:9" x14ac:dyDescent="0.25">
      <c r="A326" s="80">
        <v>325</v>
      </c>
      <c r="B326" s="80">
        <v>55</v>
      </c>
      <c r="C326" s="80">
        <v>1</v>
      </c>
      <c r="D326" s="80" t="s">
        <v>3396</v>
      </c>
      <c r="E326" s="80">
        <v>796</v>
      </c>
      <c r="F326" s="80">
        <v>0.5</v>
      </c>
      <c r="G326" s="80">
        <v>1</v>
      </c>
      <c r="H326" s="80">
        <v>1</v>
      </c>
      <c r="I326" s="80">
        <v>840</v>
      </c>
    </row>
    <row r="327" spans="1:9" x14ac:dyDescent="0.25">
      <c r="A327" s="80">
        <v>326</v>
      </c>
      <c r="B327" s="80">
        <v>55</v>
      </c>
      <c r="C327" s="80">
        <v>2</v>
      </c>
      <c r="D327" s="80" t="s">
        <v>3301</v>
      </c>
      <c r="E327" s="80">
        <v>796</v>
      </c>
      <c r="F327" s="80">
        <v>0.5</v>
      </c>
      <c r="G327" s="80">
        <v>1</v>
      </c>
      <c r="H327" s="80">
        <v>2</v>
      </c>
      <c r="I327" s="80">
        <v>840</v>
      </c>
    </row>
    <row r="328" spans="1:9" x14ac:dyDescent="0.25">
      <c r="A328" s="80">
        <v>327</v>
      </c>
      <c r="B328" s="80">
        <v>55</v>
      </c>
      <c r="C328" s="80">
        <v>3</v>
      </c>
      <c r="D328" s="80" t="s">
        <v>3324</v>
      </c>
      <c r="E328" s="80">
        <v>796</v>
      </c>
      <c r="F328" s="80">
        <v>0.5</v>
      </c>
      <c r="G328" s="80">
        <v>3</v>
      </c>
      <c r="H328" s="80">
        <v>3</v>
      </c>
      <c r="I328" s="80">
        <v>840</v>
      </c>
    </row>
    <row r="329" spans="1:9" x14ac:dyDescent="0.25">
      <c r="A329" s="80">
        <v>328</v>
      </c>
      <c r="B329" s="80">
        <v>55</v>
      </c>
      <c r="C329" s="80">
        <v>4</v>
      </c>
      <c r="D329" s="80" t="s">
        <v>3302</v>
      </c>
      <c r="E329" s="80">
        <v>796</v>
      </c>
      <c r="F329" s="80">
        <v>0.5</v>
      </c>
      <c r="G329" s="80">
        <v>2</v>
      </c>
      <c r="H329" s="80">
        <v>4</v>
      </c>
      <c r="I329" s="80">
        <v>840</v>
      </c>
    </row>
    <row r="330" spans="1:9" x14ac:dyDescent="0.25">
      <c r="A330" s="80">
        <v>329</v>
      </c>
      <c r="B330" s="80">
        <v>55</v>
      </c>
      <c r="C330" s="80">
        <v>5</v>
      </c>
      <c r="D330" s="80" t="s">
        <v>3397</v>
      </c>
      <c r="E330" s="80">
        <v>796</v>
      </c>
      <c r="F330" s="80">
        <v>0.5</v>
      </c>
      <c r="G330" s="80">
        <v>3</v>
      </c>
      <c r="H330" s="80">
        <v>6</v>
      </c>
      <c r="I330" s="80">
        <v>840</v>
      </c>
    </row>
    <row r="331" spans="1:9" x14ac:dyDescent="0.25">
      <c r="A331" s="80">
        <v>330</v>
      </c>
      <c r="B331" s="80">
        <v>55</v>
      </c>
      <c r="C331" s="80">
        <v>6</v>
      </c>
      <c r="D331" s="80" t="s">
        <v>3298</v>
      </c>
      <c r="E331" s="80">
        <v>796</v>
      </c>
      <c r="F331" s="80">
        <v>0.5</v>
      </c>
      <c r="G331" s="80">
        <v>1</v>
      </c>
      <c r="H331" s="80">
        <v>2</v>
      </c>
      <c r="I331" s="80">
        <v>840</v>
      </c>
    </row>
    <row r="332" spans="1:9" x14ac:dyDescent="0.25">
      <c r="A332" s="80">
        <v>331</v>
      </c>
      <c r="B332" s="80">
        <v>55</v>
      </c>
      <c r="C332" s="80">
        <v>7</v>
      </c>
      <c r="D332" s="80" t="s">
        <v>3342</v>
      </c>
      <c r="E332" s="80">
        <v>796</v>
      </c>
      <c r="F332" s="80">
        <v>0.5</v>
      </c>
      <c r="G332" s="80">
        <v>3</v>
      </c>
      <c r="H332" s="80">
        <v>3</v>
      </c>
      <c r="I332" s="80">
        <v>840</v>
      </c>
    </row>
    <row r="333" spans="1:9" x14ac:dyDescent="0.25">
      <c r="A333" s="80">
        <v>332</v>
      </c>
      <c r="B333" s="80">
        <v>55</v>
      </c>
      <c r="C333" s="80">
        <v>8</v>
      </c>
      <c r="D333" s="80" t="s">
        <v>3287</v>
      </c>
      <c r="E333" s="80">
        <v>796</v>
      </c>
      <c r="F333" s="80">
        <v>0.5</v>
      </c>
      <c r="G333" s="80">
        <v>2</v>
      </c>
      <c r="H333" s="80">
        <v>2</v>
      </c>
      <c r="I333" s="80">
        <v>840</v>
      </c>
    </row>
    <row r="334" spans="1:9" x14ac:dyDescent="0.25">
      <c r="A334" s="80">
        <v>333</v>
      </c>
      <c r="B334" s="80">
        <v>55</v>
      </c>
      <c r="C334" s="80">
        <v>9</v>
      </c>
      <c r="D334" s="80" t="s">
        <v>3374</v>
      </c>
      <c r="E334" s="80">
        <v>796</v>
      </c>
      <c r="F334" s="80">
        <v>0.5</v>
      </c>
      <c r="G334" s="80">
        <v>2</v>
      </c>
      <c r="H334" s="80">
        <v>2</v>
      </c>
      <c r="I334" s="80">
        <v>840</v>
      </c>
    </row>
    <row r="335" spans="1:9" x14ac:dyDescent="0.25">
      <c r="A335" s="80">
        <v>334</v>
      </c>
      <c r="B335" s="80">
        <v>55</v>
      </c>
      <c r="C335" s="80">
        <v>10</v>
      </c>
      <c r="D335" s="80" t="s">
        <v>3352</v>
      </c>
      <c r="E335" s="80">
        <v>796</v>
      </c>
      <c r="F335" s="80">
        <v>0.5</v>
      </c>
      <c r="G335" s="80">
        <v>3</v>
      </c>
      <c r="H335" s="80">
        <v>3</v>
      </c>
      <c r="I335" s="80">
        <v>840</v>
      </c>
    </row>
    <row r="336" spans="1:9" x14ac:dyDescent="0.25">
      <c r="A336" s="80">
        <v>335</v>
      </c>
      <c r="B336" s="80">
        <v>55</v>
      </c>
      <c r="C336" s="80">
        <v>11</v>
      </c>
      <c r="D336" s="80" t="s">
        <v>3398</v>
      </c>
      <c r="E336" s="80">
        <v>796</v>
      </c>
      <c r="F336" s="80">
        <v>0.5</v>
      </c>
      <c r="G336" s="80">
        <v>2</v>
      </c>
      <c r="H336" s="80">
        <v>4</v>
      </c>
      <c r="I336" s="80">
        <v>840</v>
      </c>
    </row>
    <row r="337" spans="1:9" x14ac:dyDescent="0.25">
      <c r="A337" s="80">
        <v>336</v>
      </c>
      <c r="B337" s="80">
        <v>55</v>
      </c>
      <c r="C337" s="80">
        <v>12</v>
      </c>
      <c r="D337" s="80" t="s">
        <v>3290</v>
      </c>
      <c r="E337" s="80">
        <v>796</v>
      </c>
      <c r="F337" s="80">
        <v>0.5</v>
      </c>
      <c r="G337" s="80">
        <v>1</v>
      </c>
      <c r="H337" s="80">
        <v>2</v>
      </c>
      <c r="I337" s="80">
        <v>840</v>
      </c>
    </row>
    <row r="338" spans="1:9" x14ac:dyDescent="0.25">
      <c r="A338" s="80">
        <v>337</v>
      </c>
      <c r="B338" s="80">
        <v>55</v>
      </c>
      <c r="C338" s="80">
        <v>13</v>
      </c>
      <c r="D338" s="80" t="s">
        <v>3399</v>
      </c>
      <c r="E338" s="80">
        <v>796</v>
      </c>
      <c r="F338" s="80">
        <v>0.5</v>
      </c>
      <c r="G338" s="80">
        <v>3</v>
      </c>
      <c r="H338" s="80">
        <v>6</v>
      </c>
      <c r="I338" s="80">
        <v>840</v>
      </c>
    </row>
    <row r="339" spans="1:9" x14ac:dyDescent="0.25">
      <c r="A339" s="80">
        <v>338</v>
      </c>
      <c r="B339" s="80">
        <v>55</v>
      </c>
      <c r="C339" s="80">
        <v>14</v>
      </c>
      <c r="D339" s="80" t="s">
        <v>3385</v>
      </c>
      <c r="E339" s="80">
        <v>796</v>
      </c>
      <c r="F339" s="80">
        <v>0.5</v>
      </c>
      <c r="G339" s="80">
        <v>2</v>
      </c>
      <c r="H339" s="80">
        <v>2</v>
      </c>
      <c r="I339" s="80">
        <v>840</v>
      </c>
    </row>
    <row r="340" spans="1:9" x14ac:dyDescent="0.25">
      <c r="A340" s="80">
        <v>339</v>
      </c>
      <c r="B340" s="80">
        <v>55</v>
      </c>
      <c r="C340" s="80">
        <v>15</v>
      </c>
      <c r="D340" s="80" t="s">
        <v>3400</v>
      </c>
      <c r="E340" s="80">
        <v>796</v>
      </c>
      <c r="F340" s="80">
        <v>0.5</v>
      </c>
      <c r="G340" s="80">
        <v>2</v>
      </c>
      <c r="H340" s="80">
        <v>4</v>
      </c>
      <c r="I340" s="80">
        <v>840</v>
      </c>
    </row>
    <row r="341" spans="1:9" x14ac:dyDescent="0.25">
      <c r="A341" s="80">
        <v>340</v>
      </c>
      <c r="B341" s="80">
        <v>56</v>
      </c>
      <c r="C341" s="80">
        <v>1</v>
      </c>
      <c r="D341" s="80" t="s">
        <v>3288</v>
      </c>
      <c r="E341" s="80">
        <v>796</v>
      </c>
      <c r="F341" s="80">
        <v>0.72</v>
      </c>
      <c r="G341" s="80">
        <v>1</v>
      </c>
      <c r="H341" s="80">
        <v>1</v>
      </c>
      <c r="I341" s="80">
        <v>840</v>
      </c>
    </row>
    <row r="342" spans="1:9" x14ac:dyDescent="0.25">
      <c r="A342" s="80">
        <v>341</v>
      </c>
      <c r="B342" s="80">
        <v>56</v>
      </c>
      <c r="C342" s="80">
        <v>2</v>
      </c>
      <c r="D342" s="80" t="s">
        <v>3289</v>
      </c>
      <c r="E342" s="80">
        <v>796</v>
      </c>
      <c r="F342" s="80">
        <v>0.72</v>
      </c>
      <c r="G342" s="80">
        <v>1</v>
      </c>
      <c r="H342" s="80">
        <v>1</v>
      </c>
      <c r="I342" s="80">
        <v>840</v>
      </c>
    </row>
    <row r="343" spans="1:9" x14ac:dyDescent="0.25">
      <c r="A343" s="80">
        <v>342</v>
      </c>
      <c r="B343" s="80">
        <v>56</v>
      </c>
      <c r="C343" s="80">
        <v>3</v>
      </c>
      <c r="D343" s="80" t="s">
        <v>3291</v>
      </c>
      <c r="E343" s="80">
        <v>796</v>
      </c>
      <c r="F343" s="80">
        <v>0.72</v>
      </c>
      <c r="G343" s="80">
        <v>1</v>
      </c>
      <c r="H343" s="80">
        <v>2</v>
      </c>
      <c r="I343" s="80">
        <v>840</v>
      </c>
    </row>
    <row r="344" spans="1:9" x14ac:dyDescent="0.25">
      <c r="A344" s="80">
        <v>343</v>
      </c>
      <c r="B344" s="80">
        <v>56</v>
      </c>
      <c r="C344" s="80">
        <v>4</v>
      </c>
      <c r="D344" s="80" t="s">
        <v>3321</v>
      </c>
      <c r="E344" s="80">
        <v>796</v>
      </c>
      <c r="F344" s="80">
        <v>0.72</v>
      </c>
      <c r="G344" s="80">
        <v>2</v>
      </c>
      <c r="H344" s="80">
        <v>2</v>
      </c>
      <c r="I344" s="80">
        <v>840</v>
      </c>
    </row>
    <row r="345" spans="1:9" x14ac:dyDescent="0.25">
      <c r="A345" s="80">
        <v>344</v>
      </c>
      <c r="B345" s="80">
        <v>56</v>
      </c>
      <c r="C345" s="80">
        <v>5</v>
      </c>
      <c r="D345" s="80" t="s">
        <v>3297</v>
      </c>
      <c r="E345" s="80">
        <v>796</v>
      </c>
      <c r="F345" s="80">
        <v>0.72</v>
      </c>
      <c r="G345" s="80">
        <v>2</v>
      </c>
      <c r="H345" s="80">
        <v>2</v>
      </c>
      <c r="I345" s="80">
        <v>840</v>
      </c>
    </row>
    <row r="346" spans="1:9" x14ac:dyDescent="0.25">
      <c r="A346" s="80">
        <v>345</v>
      </c>
      <c r="B346" s="80">
        <v>56</v>
      </c>
      <c r="C346" s="80">
        <v>6</v>
      </c>
      <c r="D346" s="80" t="s">
        <v>3399</v>
      </c>
      <c r="E346" s="80">
        <v>796</v>
      </c>
      <c r="F346" s="80">
        <v>0.72</v>
      </c>
      <c r="G346" s="80">
        <v>1</v>
      </c>
      <c r="H346" s="80">
        <v>1</v>
      </c>
      <c r="I346" s="80">
        <v>840</v>
      </c>
    </row>
    <row r="347" spans="1:9" x14ac:dyDescent="0.25">
      <c r="A347" s="80">
        <v>346</v>
      </c>
      <c r="B347" s="80">
        <v>57</v>
      </c>
      <c r="C347" s="80">
        <v>1</v>
      </c>
      <c r="D347" s="80" t="s">
        <v>3402</v>
      </c>
      <c r="E347" s="80">
        <v>796</v>
      </c>
      <c r="F347" s="80">
        <v>7.1</v>
      </c>
      <c r="G347" s="80">
        <v>3</v>
      </c>
      <c r="H347" s="80">
        <v>3</v>
      </c>
      <c r="I347" s="80">
        <v>840</v>
      </c>
    </row>
    <row r="348" spans="1:9" x14ac:dyDescent="0.25">
      <c r="A348" s="80">
        <v>347</v>
      </c>
      <c r="B348" s="80">
        <v>58</v>
      </c>
      <c r="C348" s="80">
        <v>1</v>
      </c>
      <c r="D348" s="80" t="s">
        <v>3402</v>
      </c>
      <c r="E348" s="80">
        <v>796</v>
      </c>
      <c r="F348" s="80">
        <v>9.6999999999999993</v>
      </c>
      <c r="G348" s="80">
        <v>2</v>
      </c>
      <c r="H348" s="80">
        <v>2</v>
      </c>
      <c r="I348" s="80">
        <v>840</v>
      </c>
    </row>
    <row r="349" spans="1:9" x14ac:dyDescent="0.25">
      <c r="A349" s="80">
        <v>348</v>
      </c>
      <c r="B349" s="80">
        <v>59</v>
      </c>
      <c r="C349" s="80">
        <v>1</v>
      </c>
      <c r="D349" s="80" t="s">
        <v>3272</v>
      </c>
      <c r="E349" s="80">
        <v>796</v>
      </c>
      <c r="F349" s="80">
        <v>1.21</v>
      </c>
      <c r="G349" s="80">
        <v>2</v>
      </c>
      <c r="H349" s="80">
        <v>2</v>
      </c>
      <c r="I349" s="80">
        <v>840</v>
      </c>
    </row>
    <row r="350" spans="1:9" x14ac:dyDescent="0.25">
      <c r="A350" s="80">
        <v>349</v>
      </c>
      <c r="B350" s="80">
        <v>59</v>
      </c>
      <c r="C350" s="80">
        <v>2</v>
      </c>
      <c r="D350" s="80" t="s">
        <v>3352</v>
      </c>
      <c r="E350" s="80">
        <v>796</v>
      </c>
      <c r="F350" s="80">
        <v>1.21</v>
      </c>
      <c r="G350" s="80">
        <v>1</v>
      </c>
      <c r="H350" s="80">
        <v>1</v>
      </c>
      <c r="I350" s="80">
        <v>840</v>
      </c>
    </row>
    <row r="351" spans="1:9" x14ac:dyDescent="0.25">
      <c r="A351" s="80">
        <v>350</v>
      </c>
      <c r="B351" s="80">
        <v>59</v>
      </c>
      <c r="C351" s="80">
        <v>3</v>
      </c>
      <c r="D351" s="80" t="s">
        <v>3290</v>
      </c>
      <c r="E351" s="80">
        <v>796</v>
      </c>
      <c r="F351" s="80">
        <v>1.21</v>
      </c>
      <c r="G351" s="80">
        <v>2</v>
      </c>
      <c r="H351" s="80">
        <v>2</v>
      </c>
      <c r="I351" s="80">
        <v>840</v>
      </c>
    </row>
    <row r="352" spans="1:9" x14ac:dyDescent="0.25">
      <c r="A352" s="80">
        <v>351</v>
      </c>
      <c r="B352" s="80">
        <v>59</v>
      </c>
      <c r="C352" s="80">
        <v>4</v>
      </c>
      <c r="D352" s="80" t="s">
        <v>3404</v>
      </c>
      <c r="E352" s="80">
        <v>796</v>
      </c>
      <c r="F352" s="80">
        <v>1.21</v>
      </c>
      <c r="G352" s="80">
        <v>2</v>
      </c>
      <c r="H352" s="80">
        <v>4</v>
      </c>
      <c r="I352" s="80">
        <v>840</v>
      </c>
    </row>
    <row r="353" spans="1:9" x14ac:dyDescent="0.25">
      <c r="A353" s="80">
        <v>352</v>
      </c>
      <c r="B353" s="80">
        <v>59</v>
      </c>
      <c r="C353" s="80">
        <v>5</v>
      </c>
      <c r="D353" s="80" t="s">
        <v>3405</v>
      </c>
      <c r="E353" s="80">
        <v>796</v>
      </c>
      <c r="F353" s="80">
        <v>1.21</v>
      </c>
      <c r="G353" s="80">
        <v>2</v>
      </c>
      <c r="H353" s="80">
        <v>4</v>
      </c>
      <c r="I353" s="80">
        <v>840</v>
      </c>
    </row>
    <row r="354" spans="1:9" x14ac:dyDescent="0.25">
      <c r="A354" s="80">
        <v>353</v>
      </c>
      <c r="B354" s="80">
        <v>59</v>
      </c>
      <c r="C354" s="80">
        <v>6</v>
      </c>
      <c r="D354" s="80" t="s">
        <v>3406</v>
      </c>
      <c r="E354" s="80">
        <v>796</v>
      </c>
      <c r="F354" s="80">
        <v>1.21</v>
      </c>
      <c r="G354" s="80">
        <v>2</v>
      </c>
      <c r="H354" s="80">
        <v>2</v>
      </c>
      <c r="I354" s="80">
        <v>840</v>
      </c>
    </row>
    <row r="355" spans="1:9" x14ac:dyDescent="0.25">
      <c r="A355" s="80">
        <v>354</v>
      </c>
      <c r="B355" s="80">
        <v>59</v>
      </c>
      <c r="C355" s="80">
        <v>7</v>
      </c>
      <c r="D355" s="80" t="s">
        <v>3375</v>
      </c>
      <c r="E355" s="80">
        <v>796</v>
      </c>
      <c r="F355" s="80">
        <v>1.21</v>
      </c>
      <c r="G355" s="80">
        <v>1</v>
      </c>
      <c r="H355" s="80">
        <v>1</v>
      </c>
      <c r="I355" s="80">
        <v>840</v>
      </c>
    </row>
    <row r="356" spans="1:9" x14ac:dyDescent="0.25">
      <c r="A356" s="80">
        <v>355</v>
      </c>
      <c r="B356" s="80">
        <v>60</v>
      </c>
      <c r="C356" s="80">
        <v>1</v>
      </c>
      <c r="D356" s="80" t="s">
        <v>3375</v>
      </c>
      <c r="E356" s="80">
        <v>796</v>
      </c>
      <c r="F356" s="80">
        <v>1.9</v>
      </c>
      <c r="G356" s="80">
        <v>1</v>
      </c>
      <c r="H356" s="80">
        <v>2</v>
      </c>
      <c r="I356" s="80">
        <v>840</v>
      </c>
    </row>
    <row r="357" spans="1:9" x14ac:dyDescent="0.25">
      <c r="A357" s="80">
        <v>356</v>
      </c>
      <c r="B357" s="80">
        <v>60</v>
      </c>
      <c r="C357" s="80">
        <v>2</v>
      </c>
      <c r="D357" s="80" t="s">
        <v>3406</v>
      </c>
      <c r="E357" s="80">
        <v>796</v>
      </c>
      <c r="F357" s="80">
        <v>1.9</v>
      </c>
      <c r="G357" s="80">
        <v>1</v>
      </c>
      <c r="H357" s="80">
        <v>1</v>
      </c>
      <c r="I357" s="80">
        <v>840</v>
      </c>
    </row>
    <row r="358" spans="1:9" x14ac:dyDescent="0.25">
      <c r="A358" s="80">
        <v>357</v>
      </c>
      <c r="B358" s="80">
        <v>60</v>
      </c>
      <c r="C358" s="80">
        <v>3</v>
      </c>
      <c r="D358" s="80" t="s">
        <v>3409</v>
      </c>
      <c r="E358" s="80">
        <v>796</v>
      </c>
      <c r="F358" s="80">
        <v>1.9</v>
      </c>
      <c r="G358" s="80">
        <v>1</v>
      </c>
      <c r="H358" s="80">
        <v>2</v>
      </c>
      <c r="I358" s="80">
        <v>840</v>
      </c>
    </row>
    <row r="359" spans="1:9" x14ac:dyDescent="0.25">
      <c r="A359" s="80">
        <v>358</v>
      </c>
      <c r="B359" s="80">
        <v>60</v>
      </c>
      <c r="C359" s="80">
        <v>4</v>
      </c>
      <c r="D359" s="80" t="s">
        <v>3280</v>
      </c>
      <c r="E359" s="80">
        <v>796</v>
      </c>
      <c r="F359" s="80">
        <v>1.9</v>
      </c>
      <c r="G359" s="80">
        <v>3</v>
      </c>
      <c r="H359" s="80">
        <v>6</v>
      </c>
      <c r="I359" s="80">
        <v>840</v>
      </c>
    </row>
    <row r="360" spans="1:9" x14ac:dyDescent="0.25">
      <c r="A360" s="80">
        <v>359</v>
      </c>
      <c r="B360" s="80">
        <v>60</v>
      </c>
      <c r="C360" s="80">
        <v>5</v>
      </c>
      <c r="D360" s="80" t="s">
        <v>3410</v>
      </c>
      <c r="E360" s="80">
        <v>796</v>
      </c>
      <c r="F360" s="80">
        <v>1.9</v>
      </c>
      <c r="G360" s="80">
        <v>3</v>
      </c>
      <c r="H360" s="80">
        <v>6</v>
      </c>
      <c r="I360" s="80">
        <v>840</v>
      </c>
    </row>
    <row r="361" spans="1:9" x14ac:dyDescent="0.25">
      <c r="A361" s="80">
        <v>360</v>
      </c>
      <c r="B361" s="80">
        <v>60</v>
      </c>
      <c r="C361" s="80">
        <v>6</v>
      </c>
      <c r="D361" s="80" t="s">
        <v>3411</v>
      </c>
      <c r="E361" s="80">
        <v>796</v>
      </c>
      <c r="F361" s="80">
        <v>1.9</v>
      </c>
      <c r="G361" s="80">
        <v>2</v>
      </c>
      <c r="H361" s="80">
        <v>2</v>
      </c>
      <c r="I361" s="80">
        <v>840</v>
      </c>
    </row>
    <row r="362" spans="1:9" x14ac:dyDescent="0.25">
      <c r="A362" s="80">
        <v>361</v>
      </c>
      <c r="B362" s="80">
        <v>60</v>
      </c>
      <c r="C362" s="80">
        <v>7</v>
      </c>
      <c r="D362" s="80" t="s">
        <v>3273</v>
      </c>
      <c r="E362" s="80">
        <v>796</v>
      </c>
      <c r="F362" s="80">
        <v>1.9</v>
      </c>
      <c r="G362" s="80">
        <v>2</v>
      </c>
      <c r="H362" s="80">
        <v>2</v>
      </c>
      <c r="I362" s="80">
        <v>840</v>
      </c>
    </row>
    <row r="363" spans="1:9" x14ac:dyDescent="0.25">
      <c r="A363" s="80">
        <v>362</v>
      </c>
      <c r="B363" s="80">
        <v>60</v>
      </c>
      <c r="C363" s="80">
        <v>8</v>
      </c>
      <c r="D363" s="80" t="s">
        <v>3290</v>
      </c>
      <c r="E363" s="80">
        <v>796</v>
      </c>
      <c r="F363" s="80">
        <v>1.9</v>
      </c>
      <c r="G363" s="80">
        <v>1</v>
      </c>
      <c r="H363" s="80">
        <v>2</v>
      </c>
      <c r="I363" s="80">
        <v>840</v>
      </c>
    </row>
    <row r="364" spans="1:9" x14ac:dyDescent="0.25">
      <c r="A364" s="80">
        <v>363</v>
      </c>
      <c r="B364" s="80">
        <v>61</v>
      </c>
      <c r="C364" s="80">
        <v>1</v>
      </c>
      <c r="D364" s="80" t="s">
        <v>3290</v>
      </c>
      <c r="E364" s="80">
        <v>796</v>
      </c>
      <c r="F364" s="80">
        <v>1.71</v>
      </c>
      <c r="G364" s="80">
        <v>2</v>
      </c>
      <c r="H364" s="80">
        <v>2</v>
      </c>
      <c r="I364" s="80">
        <v>840</v>
      </c>
    </row>
    <row r="365" spans="1:9" x14ac:dyDescent="0.25">
      <c r="A365" s="80">
        <v>364</v>
      </c>
      <c r="B365" s="80">
        <v>61</v>
      </c>
      <c r="C365" s="80">
        <v>2</v>
      </c>
      <c r="D365" s="80" t="s">
        <v>3406</v>
      </c>
      <c r="E365" s="80">
        <v>796</v>
      </c>
      <c r="F365" s="80">
        <v>1.71</v>
      </c>
      <c r="G365" s="80">
        <v>1</v>
      </c>
      <c r="H365" s="80">
        <v>2</v>
      </c>
      <c r="I365" s="80">
        <v>840</v>
      </c>
    </row>
    <row r="366" spans="1:9" x14ac:dyDescent="0.25">
      <c r="A366" s="80">
        <v>365</v>
      </c>
      <c r="B366" s="80">
        <v>61</v>
      </c>
      <c r="C366" s="80">
        <v>3</v>
      </c>
      <c r="D366" s="80" t="s">
        <v>3273</v>
      </c>
      <c r="E366" s="80">
        <v>796</v>
      </c>
      <c r="F366" s="80">
        <v>1.71</v>
      </c>
      <c r="G366" s="80">
        <v>1</v>
      </c>
      <c r="H366" s="80">
        <v>1</v>
      </c>
      <c r="I366" s="80">
        <v>840</v>
      </c>
    </row>
    <row r="367" spans="1:9" x14ac:dyDescent="0.25">
      <c r="A367" s="80">
        <v>366</v>
      </c>
      <c r="B367" s="80">
        <v>61</v>
      </c>
      <c r="C367" s="80">
        <v>4</v>
      </c>
      <c r="D367" s="80" t="s">
        <v>3375</v>
      </c>
      <c r="E367" s="80">
        <v>796</v>
      </c>
      <c r="F367" s="80">
        <v>1.71</v>
      </c>
      <c r="G367" s="80">
        <v>2</v>
      </c>
      <c r="H367" s="80">
        <v>4</v>
      </c>
      <c r="I367" s="80">
        <v>840</v>
      </c>
    </row>
    <row r="368" spans="1:9" x14ac:dyDescent="0.25">
      <c r="A368" s="80">
        <v>367</v>
      </c>
      <c r="B368" s="80">
        <v>61</v>
      </c>
      <c r="C368" s="80">
        <v>5</v>
      </c>
      <c r="D368" s="80" t="s">
        <v>3405</v>
      </c>
      <c r="E368" s="80">
        <v>796</v>
      </c>
      <c r="F368" s="80">
        <v>1.71</v>
      </c>
      <c r="G368" s="80">
        <v>3</v>
      </c>
      <c r="H368" s="80">
        <v>3</v>
      </c>
      <c r="I368" s="80">
        <v>840</v>
      </c>
    </row>
    <row r="369" spans="1:9" x14ac:dyDescent="0.25">
      <c r="A369" s="80">
        <v>368</v>
      </c>
      <c r="B369" s="80">
        <v>61</v>
      </c>
      <c r="C369" s="80">
        <v>6</v>
      </c>
      <c r="D369" s="80" t="s">
        <v>3404</v>
      </c>
      <c r="E369" s="80">
        <v>796</v>
      </c>
      <c r="F369" s="80">
        <v>1.71</v>
      </c>
      <c r="G369" s="80">
        <v>1</v>
      </c>
      <c r="H369" s="80">
        <v>1</v>
      </c>
      <c r="I369" s="80">
        <v>840</v>
      </c>
    </row>
    <row r="370" spans="1:9" x14ac:dyDescent="0.25">
      <c r="A370" s="80">
        <v>369</v>
      </c>
      <c r="B370" s="80">
        <v>61</v>
      </c>
      <c r="C370" s="80">
        <v>7</v>
      </c>
      <c r="D370" s="80" t="s">
        <v>3352</v>
      </c>
      <c r="E370" s="80">
        <v>796</v>
      </c>
      <c r="F370" s="80">
        <v>1.71</v>
      </c>
      <c r="G370" s="80">
        <v>3</v>
      </c>
      <c r="H370" s="80">
        <v>6</v>
      </c>
      <c r="I370" s="80">
        <v>840</v>
      </c>
    </row>
    <row r="371" spans="1:9" x14ac:dyDescent="0.25">
      <c r="A371" s="80">
        <v>370</v>
      </c>
      <c r="B371" s="80">
        <v>61</v>
      </c>
      <c r="C371" s="80">
        <v>8</v>
      </c>
      <c r="D371" s="80" t="s">
        <v>3280</v>
      </c>
      <c r="E371" s="80">
        <v>796</v>
      </c>
      <c r="F371" s="80">
        <v>1.71</v>
      </c>
      <c r="G371" s="80">
        <v>1</v>
      </c>
      <c r="H371" s="80">
        <v>1</v>
      </c>
      <c r="I371" s="80">
        <v>840</v>
      </c>
    </row>
    <row r="372" spans="1:9" x14ac:dyDescent="0.25">
      <c r="A372" s="80">
        <v>371</v>
      </c>
      <c r="B372" s="80">
        <v>62</v>
      </c>
      <c r="C372" s="80">
        <v>1</v>
      </c>
      <c r="D372" s="80" t="s">
        <v>3412</v>
      </c>
      <c r="E372" s="80">
        <v>796</v>
      </c>
      <c r="F372" s="80">
        <v>0.5</v>
      </c>
      <c r="G372" s="80">
        <v>3</v>
      </c>
      <c r="H372" s="80">
        <v>3</v>
      </c>
      <c r="I372" s="80">
        <v>840</v>
      </c>
    </row>
    <row r="373" spans="1:9" x14ac:dyDescent="0.25">
      <c r="A373" s="80">
        <v>372</v>
      </c>
      <c r="B373" s="80">
        <v>62</v>
      </c>
      <c r="C373" s="80">
        <v>2</v>
      </c>
      <c r="D373" s="80" t="s">
        <v>3413</v>
      </c>
      <c r="E373" s="80">
        <v>796</v>
      </c>
      <c r="F373" s="80">
        <v>0.5</v>
      </c>
      <c r="G373" s="80">
        <v>2</v>
      </c>
      <c r="H373" s="80">
        <v>2</v>
      </c>
      <c r="I373" s="80">
        <v>840</v>
      </c>
    </row>
    <row r="374" spans="1:9" x14ac:dyDescent="0.25">
      <c r="A374" s="80">
        <v>373</v>
      </c>
      <c r="B374" s="80">
        <v>62</v>
      </c>
      <c r="C374" s="80">
        <v>3</v>
      </c>
      <c r="D374" s="80" t="s">
        <v>3375</v>
      </c>
      <c r="E374" s="80">
        <v>796</v>
      </c>
      <c r="F374" s="80">
        <v>0.5</v>
      </c>
      <c r="G374" s="80">
        <v>1</v>
      </c>
      <c r="H374" s="80">
        <v>2</v>
      </c>
      <c r="I374" s="80">
        <v>840</v>
      </c>
    </row>
    <row r="375" spans="1:9" x14ac:dyDescent="0.25">
      <c r="A375" s="80">
        <v>374</v>
      </c>
      <c r="B375" s="80">
        <v>63</v>
      </c>
      <c r="C375" s="80">
        <v>1</v>
      </c>
      <c r="D375" s="80" t="s">
        <v>3416</v>
      </c>
      <c r="E375" s="80">
        <v>796</v>
      </c>
      <c r="F375" s="80">
        <v>0.66</v>
      </c>
      <c r="G375" s="80">
        <v>2</v>
      </c>
      <c r="H375" s="80">
        <v>4</v>
      </c>
      <c r="I375" s="80">
        <v>840</v>
      </c>
    </row>
    <row r="376" spans="1:9" x14ac:dyDescent="0.25">
      <c r="A376" s="80">
        <v>375</v>
      </c>
      <c r="B376" s="80">
        <v>63</v>
      </c>
      <c r="C376" s="80">
        <v>2</v>
      </c>
      <c r="D376" s="80" t="s">
        <v>3417</v>
      </c>
      <c r="E376" s="80">
        <v>796</v>
      </c>
      <c r="F376" s="80">
        <v>0.66</v>
      </c>
      <c r="G376" s="80">
        <v>1</v>
      </c>
      <c r="H376" s="80">
        <v>2</v>
      </c>
      <c r="I376" s="80">
        <v>840</v>
      </c>
    </row>
    <row r="377" spans="1:9" x14ac:dyDescent="0.25">
      <c r="A377" s="80">
        <v>376</v>
      </c>
      <c r="B377" s="80">
        <v>63</v>
      </c>
      <c r="C377" s="80">
        <v>3</v>
      </c>
      <c r="D377" s="80" t="s">
        <v>3418</v>
      </c>
      <c r="E377" s="80">
        <v>796</v>
      </c>
      <c r="F377" s="80">
        <v>0.66</v>
      </c>
      <c r="G377" s="80">
        <v>1</v>
      </c>
      <c r="H377" s="80">
        <v>2</v>
      </c>
      <c r="I377" s="80">
        <v>840</v>
      </c>
    </row>
    <row r="378" spans="1:9" x14ac:dyDescent="0.25">
      <c r="A378" s="80">
        <v>377</v>
      </c>
      <c r="B378" s="80">
        <v>63</v>
      </c>
      <c r="C378" s="80">
        <v>4</v>
      </c>
      <c r="D378" s="80" t="s">
        <v>3419</v>
      </c>
      <c r="E378" s="80">
        <v>796</v>
      </c>
      <c r="F378" s="80">
        <v>0.66</v>
      </c>
      <c r="G378" s="80">
        <v>3</v>
      </c>
      <c r="H378" s="80">
        <v>3</v>
      </c>
      <c r="I378" s="80">
        <v>840</v>
      </c>
    </row>
    <row r="379" spans="1:9" x14ac:dyDescent="0.25">
      <c r="A379" s="80">
        <v>378</v>
      </c>
      <c r="B379" s="80">
        <v>63</v>
      </c>
      <c r="C379" s="80">
        <v>5</v>
      </c>
      <c r="D379" s="80" t="s">
        <v>3420</v>
      </c>
      <c r="E379" s="80">
        <v>796</v>
      </c>
      <c r="F379" s="80">
        <v>0.66</v>
      </c>
      <c r="G379" s="80">
        <v>3</v>
      </c>
      <c r="H379" s="80">
        <v>3</v>
      </c>
      <c r="I379" s="80">
        <v>840</v>
      </c>
    </row>
    <row r="380" spans="1:9" x14ac:dyDescent="0.25">
      <c r="A380" s="80">
        <v>379</v>
      </c>
      <c r="B380" s="80">
        <v>63</v>
      </c>
      <c r="C380" s="80">
        <v>6</v>
      </c>
      <c r="D380" s="80" t="s">
        <v>3421</v>
      </c>
      <c r="E380" s="80">
        <v>796</v>
      </c>
      <c r="F380" s="80">
        <v>0.66</v>
      </c>
      <c r="G380" s="80">
        <v>3</v>
      </c>
      <c r="H380" s="80">
        <v>3</v>
      </c>
      <c r="I380" s="80">
        <v>840</v>
      </c>
    </row>
    <row r="381" spans="1:9" x14ac:dyDescent="0.25">
      <c r="A381" s="80">
        <v>380</v>
      </c>
      <c r="B381" s="80">
        <v>63</v>
      </c>
      <c r="C381" s="80">
        <v>7</v>
      </c>
      <c r="D381" s="80" t="s">
        <v>3422</v>
      </c>
      <c r="E381" s="80">
        <v>796</v>
      </c>
      <c r="F381" s="80">
        <v>0.66</v>
      </c>
      <c r="G381" s="80">
        <v>1</v>
      </c>
      <c r="H381" s="80">
        <v>2</v>
      </c>
      <c r="I381" s="80">
        <v>840</v>
      </c>
    </row>
    <row r="382" spans="1:9" x14ac:dyDescent="0.25">
      <c r="A382" s="80">
        <v>381</v>
      </c>
      <c r="B382" s="80">
        <v>63</v>
      </c>
      <c r="C382" s="80">
        <v>8</v>
      </c>
      <c r="D382" s="80" t="s">
        <v>3295</v>
      </c>
      <c r="E382" s="80">
        <v>796</v>
      </c>
      <c r="F382" s="80">
        <v>0.66</v>
      </c>
      <c r="G382" s="80">
        <v>2</v>
      </c>
      <c r="H382" s="80">
        <v>2</v>
      </c>
      <c r="I382" s="80">
        <v>840</v>
      </c>
    </row>
    <row r="383" spans="1:9" x14ac:dyDescent="0.25">
      <c r="A383" s="80">
        <v>382</v>
      </c>
      <c r="B383" s="80">
        <v>64</v>
      </c>
      <c r="C383" s="80">
        <v>1</v>
      </c>
      <c r="D383" s="80" t="s">
        <v>3423</v>
      </c>
      <c r="E383" s="80">
        <v>796</v>
      </c>
      <c r="F383" s="80">
        <v>0.8</v>
      </c>
      <c r="G383" s="80">
        <v>3</v>
      </c>
      <c r="H383" s="80">
        <v>3</v>
      </c>
      <c r="I383" s="80">
        <v>840</v>
      </c>
    </row>
    <row r="384" spans="1:9" x14ac:dyDescent="0.25">
      <c r="A384" s="80">
        <v>383</v>
      </c>
      <c r="B384" s="80">
        <v>64</v>
      </c>
      <c r="C384" s="80">
        <v>2</v>
      </c>
      <c r="D384" s="80" t="s">
        <v>3321</v>
      </c>
      <c r="E384" s="80">
        <v>796</v>
      </c>
      <c r="F384" s="80">
        <v>0.8</v>
      </c>
      <c r="G384" s="80">
        <v>1</v>
      </c>
      <c r="H384" s="80">
        <v>1</v>
      </c>
      <c r="I384" s="80">
        <v>840</v>
      </c>
    </row>
    <row r="385" spans="1:9" x14ac:dyDescent="0.25">
      <c r="A385" s="80">
        <v>384</v>
      </c>
      <c r="B385" s="80">
        <v>64</v>
      </c>
      <c r="C385" s="80">
        <v>3</v>
      </c>
      <c r="D385" s="80" t="s">
        <v>3424</v>
      </c>
      <c r="E385" s="80">
        <v>796</v>
      </c>
      <c r="F385" s="80">
        <v>0.8</v>
      </c>
      <c r="G385" s="80">
        <v>1</v>
      </c>
      <c r="H385" s="80">
        <v>2</v>
      </c>
      <c r="I385" s="80">
        <v>840</v>
      </c>
    </row>
    <row r="386" spans="1:9" x14ac:dyDescent="0.25">
      <c r="A386" s="80">
        <v>385</v>
      </c>
      <c r="B386" s="80">
        <v>64</v>
      </c>
      <c r="C386" s="80">
        <v>4</v>
      </c>
      <c r="D386" s="80" t="s">
        <v>3425</v>
      </c>
      <c r="E386" s="80">
        <v>796</v>
      </c>
      <c r="F386" s="80">
        <v>0.8</v>
      </c>
      <c r="G386" s="80">
        <v>3</v>
      </c>
      <c r="H386" s="80">
        <v>3</v>
      </c>
      <c r="I386" s="80">
        <v>840</v>
      </c>
    </row>
    <row r="387" spans="1:9" x14ac:dyDescent="0.25">
      <c r="A387" s="80">
        <v>386</v>
      </c>
      <c r="B387" s="80">
        <v>64</v>
      </c>
      <c r="C387" s="80">
        <v>5</v>
      </c>
      <c r="D387" s="80" t="s">
        <v>3426</v>
      </c>
      <c r="E387" s="80">
        <v>796</v>
      </c>
      <c r="F387" s="80">
        <v>0.8</v>
      </c>
      <c r="G387" s="80">
        <v>2</v>
      </c>
      <c r="H387" s="80">
        <v>4</v>
      </c>
      <c r="I387" s="80">
        <v>840</v>
      </c>
    </row>
    <row r="388" spans="1:9" x14ac:dyDescent="0.25">
      <c r="A388" s="80">
        <v>387</v>
      </c>
      <c r="B388" s="80">
        <v>64</v>
      </c>
      <c r="C388" s="80">
        <v>6</v>
      </c>
      <c r="D388" s="80" t="s">
        <v>3427</v>
      </c>
      <c r="E388" s="80">
        <v>796</v>
      </c>
      <c r="F388" s="80">
        <v>0.8</v>
      </c>
      <c r="G388" s="80">
        <v>2</v>
      </c>
      <c r="H388" s="80">
        <v>2</v>
      </c>
      <c r="I388" s="80">
        <v>840</v>
      </c>
    </row>
    <row r="389" spans="1:9" x14ac:dyDescent="0.25">
      <c r="A389" s="80">
        <v>388</v>
      </c>
      <c r="B389" s="80">
        <v>65</v>
      </c>
      <c r="C389" s="80">
        <v>1</v>
      </c>
      <c r="D389" s="80" t="s">
        <v>3428</v>
      </c>
      <c r="E389" s="80">
        <v>796</v>
      </c>
      <c r="F389" s="80">
        <v>0.36</v>
      </c>
      <c r="G389" s="80">
        <v>3</v>
      </c>
      <c r="H389" s="80">
        <v>3</v>
      </c>
      <c r="I389" s="80">
        <v>840</v>
      </c>
    </row>
    <row r="390" spans="1:9" x14ac:dyDescent="0.25">
      <c r="A390" s="80">
        <v>389</v>
      </c>
      <c r="B390" s="80">
        <v>65</v>
      </c>
      <c r="C390" s="80">
        <v>2</v>
      </c>
      <c r="D390" s="80" t="s">
        <v>3429</v>
      </c>
      <c r="E390" s="80">
        <v>796</v>
      </c>
      <c r="F390" s="80">
        <v>0.36</v>
      </c>
      <c r="G390" s="80">
        <v>1</v>
      </c>
      <c r="H390" s="80">
        <v>2</v>
      </c>
      <c r="I390" s="80">
        <v>840</v>
      </c>
    </row>
    <row r="391" spans="1:9" x14ac:dyDescent="0.25">
      <c r="A391" s="80">
        <v>390</v>
      </c>
      <c r="B391" s="80">
        <v>65</v>
      </c>
      <c r="C391" s="80">
        <v>3</v>
      </c>
      <c r="D391" s="80" t="s">
        <v>3430</v>
      </c>
      <c r="E391" s="80">
        <v>796</v>
      </c>
      <c r="F391" s="80">
        <v>0.36</v>
      </c>
      <c r="G391" s="80">
        <v>3</v>
      </c>
      <c r="H391" s="80">
        <v>6</v>
      </c>
      <c r="I391" s="80">
        <v>840</v>
      </c>
    </row>
    <row r="392" spans="1:9" x14ac:dyDescent="0.25">
      <c r="A392" s="80">
        <v>391</v>
      </c>
      <c r="B392" s="80">
        <v>65</v>
      </c>
      <c r="C392" s="80">
        <v>4</v>
      </c>
      <c r="D392" s="80" t="s">
        <v>3431</v>
      </c>
      <c r="E392" s="80">
        <v>796</v>
      </c>
      <c r="F392" s="80">
        <v>0.36</v>
      </c>
      <c r="G392" s="80">
        <v>3</v>
      </c>
      <c r="H392" s="80">
        <v>3</v>
      </c>
      <c r="I392" s="80">
        <v>840</v>
      </c>
    </row>
    <row r="393" spans="1:9" x14ac:dyDescent="0.25">
      <c r="A393" s="80">
        <v>392</v>
      </c>
      <c r="B393" s="80">
        <v>65</v>
      </c>
      <c r="C393" s="80">
        <v>5</v>
      </c>
      <c r="D393" s="80" t="s">
        <v>3419</v>
      </c>
      <c r="E393" s="80">
        <v>796</v>
      </c>
      <c r="F393" s="80">
        <v>0.36</v>
      </c>
      <c r="G393" s="80">
        <v>2</v>
      </c>
      <c r="H393" s="80">
        <v>4</v>
      </c>
      <c r="I393" s="80">
        <v>840</v>
      </c>
    </row>
    <row r="394" spans="1:9" x14ac:dyDescent="0.25">
      <c r="A394" s="80">
        <v>393</v>
      </c>
      <c r="B394" s="80">
        <v>65</v>
      </c>
      <c r="C394" s="80">
        <v>6</v>
      </c>
      <c r="D394" s="80" t="s">
        <v>3432</v>
      </c>
      <c r="E394" s="80">
        <v>796</v>
      </c>
      <c r="F394" s="80">
        <v>0.36</v>
      </c>
      <c r="G394" s="80">
        <v>3</v>
      </c>
      <c r="H394" s="80">
        <v>3</v>
      </c>
      <c r="I394" s="80">
        <v>840</v>
      </c>
    </row>
    <row r="395" spans="1:9" x14ac:dyDescent="0.25">
      <c r="A395" s="80">
        <v>394</v>
      </c>
      <c r="B395" s="80">
        <v>65</v>
      </c>
      <c r="C395" s="80">
        <v>7</v>
      </c>
      <c r="D395" s="80" t="s">
        <v>3433</v>
      </c>
      <c r="E395" s="80">
        <v>796</v>
      </c>
      <c r="F395" s="80">
        <v>0.36</v>
      </c>
      <c r="G395" s="80">
        <v>1</v>
      </c>
      <c r="H395" s="80">
        <v>2</v>
      </c>
      <c r="I395" s="80">
        <v>840</v>
      </c>
    </row>
    <row r="396" spans="1:9" x14ac:dyDescent="0.25">
      <c r="A396" s="80">
        <v>395</v>
      </c>
      <c r="B396" s="80">
        <v>65</v>
      </c>
      <c r="C396" s="80">
        <v>8</v>
      </c>
      <c r="D396" s="80" t="s">
        <v>3434</v>
      </c>
      <c r="E396" s="80">
        <v>796</v>
      </c>
      <c r="F396" s="80">
        <v>0.36</v>
      </c>
      <c r="G396" s="80">
        <v>1</v>
      </c>
      <c r="H396" s="80">
        <v>1</v>
      </c>
      <c r="I396" s="80">
        <v>840</v>
      </c>
    </row>
    <row r="397" spans="1:9" x14ac:dyDescent="0.25">
      <c r="A397" s="80">
        <v>396</v>
      </c>
      <c r="B397" s="80">
        <v>65</v>
      </c>
      <c r="C397" s="80">
        <v>9</v>
      </c>
      <c r="D397" s="80" t="s">
        <v>3435</v>
      </c>
      <c r="E397" s="80">
        <v>796</v>
      </c>
      <c r="F397" s="80">
        <v>0.36</v>
      </c>
      <c r="G397" s="80">
        <v>2</v>
      </c>
      <c r="H397" s="80">
        <v>2</v>
      </c>
      <c r="I397" s="80">
        <v>840</v>
      </c>
    </row>
    <row r="398" spans="1:9" x14ac:dyDescent="0.25">
      <c r="A398" s="80">
        <v>397</v>
      </c>
      <c r="B398" s="80">
        <v>65</v>
      </c>
      <c r="C398" s="80">
        <v>10</v>
      </c>
      <c r="D398" s="80" t="s">
        <v>3436</v>
      </c>
      <c r="E398" s="80">
        <v>796</v>
      </c>
      <c r="F398" s="80">
        <v>0.36</v>
      </c>
      <c r="G398" s="80">
        <v>2</v>
      </c>
      <c r="H398" s="80">
        <v>4</v>
      </c>
      <c r="I398" s="80">
        <v>840</v>
      </c>
    </row>
    <row r="399" spans="1:9" x14ac:dyDescent="0.25">
      <c r="A399" s="80">
        <v>398</v>
      </c>
      <c r="B399" s="80">
        <v>65</v>
      </c>
      <c r="C399" s="80">
        <v>11</v>
      </c>
      <c r="D399" s="80" t="s">
        <v>3437</v>
      </c>
      <c r="E399" s="80">
        <v>796</v>
      </c>
      <c r="F399" s="80">
        <v>0.36</v>
      </c>
      <c r="G399" s="80">
        <v>2</v>
      </c>
      <c r="H399" s="80">
        <v>4</v>
      </c>
      <c r="I399" s="80">
        <v>840</v>
      </c>
    </row>
    <row r="400" spans="1:9" x14ac:dyDescent="0.25">
      <c r="A400" s="80">
        <v>399</v>
      </c>
      <c r="B400" s="80">
        <v>65</v>
      </c>
      <c r="C400" s="80">
        <v>12</v>
      </c>
      <c r="D400" s="80" t="s">
        <v>3438</v>
      </c>
      <c r="E400" s="80">
        <v>796</v>
      </c>
      <c r="F400" s="80">
        <v>0.36</v>
      </c>
      <c r="G400" s="80">
        <v>3</v>
      </c>
      <c r="H400" s="80">
        <v>3</v>
      </c>
      <c r="I400" s="80">
        <v>840</v>
      </c>
    </row>
    <row r="401" spans="1:9" x14ac:dyDescent="0.25">
      <c r="A401" s="80">
        <v>400</v>
      </c>
      <c r="B401" s="80">
        <v>65</v>
      </c>
      <c r="C401" s="80">
        <v>13</v>
      </c>
      <c r="D401" s="80" t="s">
        <v>3439</v>
      </c>
      <c r="E401" s="80">
        <v>796</v>
      </c>
      <c r="F401" s="80">
        <v>0.36</v>
      </c>
      <c r="G401" s="80">
        <v>3</v>
      </c>
      <c r="H401" s="80">
        <v>6</v>
      </c>
      <c r="I401" s="80">
        <v>840</v>
      </c>
    </row>
    <row r="402" spans="1:9" x14ac:dyDescent="0.25">
      <c r="A402" s="80">
        <v>401</v>
      </c>
      <c r="B402" s="80">
        <v>65</v>
      </c>
      <c r="C402" s="80">
        <v>14</v>
      </c>
      <c r="D402" s="80" t="s">
        <v>3261</v>
      </c>
      <c r="E402" s="80">
        <v>796</v>
      </c>
      <c r="F402" s="80">
        <v>0.36</v>
      </c>
      <c r="G402" s="80">
        <v>2</v>
      </c>
      <c r="H402" s="80">
        <v>2</v>
      </c>
      <c r="I402" s="80">
        <v>840</v>
      </c>
    </row>
    <row r="403" spans="1:9" x14ac:dyDescent="0.25">
      <c r="A403" s="80">
        <v>402</v>
      </c>
      <c r="B403" s="80">
        <v>66</v>
      </c>
      <c r="C403" s="80">
        <v>1</v>
      </c>
      <c r="D403" s="80" t="s">
        <v>3440</v>
      </c>
      <c r="E403" s="80">
        <v>796</v>
      </c>
      <c r="F403" s="80">
        <v>0.85</v>
      </c>
      <c r="G403" s="80">
        <v>1</v>
      </c>
      <c r="H403" s="80">
        <v>1</v>
      </c>
      <c r="I403" s="80">
        <v>840</v>
      </c>
    </row>
    <row r="404" spans="1:9" x14ac:dyDescent="0.25">
      <c r="A404" s="80">
        <v>403</v>
      </c>
      <c r="B404" s="80">
        <v>66</v>
      </c>
      <c r="C404" s="80">
        <v>2</v>
      </c>
      <c r="D404" s="80" t="s">
        <v>3441</v>
      </c>
      <c r="E404" s="80">
        <v>796</v>
      </c>
      <c r="F404" s="80">
        <v>0.85</v>
      </c>
      <c r="G404" s="80">
        <v>2</v>
      </c>
      <c r="H404" s="80">
        <v>2</v>
      </c>
      <c r="I404" s="80">
        <v>840</v>
      </c>
    </row>
    <row r="405" spans="1:9" x14ac:dyDescent="0.25">
      <c r="A405" s="80">
        <v>404</v>
      </c>
      <c r="B405" s="80">
        <v>66</v>
      </c>
      <c r="C405" s="80">
        <v>3</v>
      </c>
      <c r="D405" s="80" t="s">
        <v>3442</v>
      </c>
      <c r="E405" s="80">
        <v>796</v>
      </c>
      <c r="F405" s="80">
        <v>0.85</v>
      </c>
      <c r="G405" s="80">
        <v>2</v>
      </c>
      <c r="H405" s="80">
        <v>2</v>
      </c>
      <c r="I405" s="80">
        <v>840</v>
      </c>
    </row>
    <row r="406" spans="1:9" x14ac:dyDescent="0.25">
      <c r="A406" s="80">
        <v>405</v>
      </c>
      <c r="B406" s="80">
        <v>66</v>
      </c>
      <c r="C406" s="80">
        <v>4</v>
      </c>
      <c r="D406" s="80" t="s">
        <v>3443</v>
      </c>
      <c r="E406" s="80">
        <v>796</v>
      </c>
      <c r="F406" s="80">
        <v>0.85</v>
      </c>
      <c r="G406" s="80">
        <v>2</v>
      </c>
      <c r="H406" s="80">
        <v>2</v>
      </c>
      <c r="I406" s="80">
        <v>840</v>
      </c>
    </row>
    <row r="407" spans="1:9" x14ac:dyDescent="0.25">
      <c r="A407" s="80">
        <v>406</v>
      </c>
      <c r="B407" s="80">
        <v>66</v>
      </c>
      <c r="C407" s="80">
        <v>5</v>
      </c>
      <c r="D407" s="80" t="s">
        <v>3444</v>
      </c>
      <c r="E407" s="80">
        <v>796</v>
      </c>
      <c r="F407" s="80">
        <v>0.85</v>
      </c>
      <c r="G407" s="80">
        <v>3</v>
      </c>
      <c r="H407" s="80">
        <v>3</v>
      </c>
      <c r="I407" s="80">
        <v>840</v>
      </c>
    </row>
    <row r="408" spans="1:9" x14ac:dyDescent="0.25">
      <c r="A408" s="80">
        <v>407</v>
      </c>
      <c r="B408" s="80">
        <v>66</v>
      </c>
      <c r="C408" s="80">
        <v>6</v>
      </c>
      <c r="D408" s="80" t="s">
        <v>3445</v>
      </c>
      <c r="E408" s="80">
        <v>796</v>
      </c>
      <c r="F408" s="80">
        <v>0.85</v>
      </c>
      <c r="G408" s="80">
        <v>1</v>
      </c>
      <c r="H408" s="80">
        <v>2</v>
      </c>
      <c r="I408" s="80">
        <v>840</v>
      </c>
    </row>
    <row r="409" spans="1:9" x14ac:dyDescent="0.25">
      <c r="A409" s="80">
        <v>408</v>
      </c>
      <c r="B409" s="80">
        <v>66</v>
      </c>
      <c r="C409" s="80">
        <v>7</v>
      </c>
      <c r="D409" s="80" t="s">
        <v>3446</v>
      </c>
      <c r="E409" s="80">
        <v>796</v>
      </c>
      <c r="F409" s="80">
        <v>0.85</v>
      </c>
      <c r="G409" s="80">
        <v>3</v>
      </c>
      <c r="H409" s="80">
        <v>3</v>
      </c>
      <c r="I409" s="80">
        <v>840</v>
      </c>
    </row>
    <row r="410" spans="1:9" x14ac:dyDescent="0.25">
      <c r="A410" s="80">
        <v>409</v>
      </c>
      <c r="B410" s="80">
        <v>66</v>
      </c>
      <c r="C410" s="80">
        <v>8</v>
      </c>
      <c r="D410" s="80" t="s">
        <v>3447</v>
      </c>
      <c r="E410" s="80">
        <v>796</v>
      </c>
      <c r="F410" s="80">
        <v>0.85</v>
      </c>
      <c r="G410" s="80">
        <v>3</v>
      </c>
      <c r="H410" s="80">
        <v>6</v>
      </c>
      <c r="I410" s="80">
        <v>840</v>
      </c>
    </row>
    <row r="411" spans="1:9" x14ac:dyDescent="0.25">
      <c r="A411" s="80">
        <v>410</v>
      </c>
      <c r="B411" s="80">
        <v>66</v>
      </c>
      <c r="C411" s="80">
        <v>9</v>
      </c>
      <c r="D411" s="80" t="s">
        <v>3448</v>
      </c>
      <c r="E411" s="80">
        <v>796</v>
      </c>
      <c r="F411" s="80">
        <v>0.85</v>
      </c>
      <c r="G411" s="80">
        <v>3</v>
      </c>
      <c r="H411" s="80">
        <v>3</v>
      </c>
      <c r="I411" s="80">
        <v>840</v>
      </c>
    </row>
    <row r="412" spans="1:9" x14ac:dyDescent="0.25">
      <c r="A412" s="80">
        <v>411</v>
      </c>
      <c r="B412" s="80">
        <v>66</v>
      </c>
      <c r="C412" s="80">
        <v>10</v>
      </c>
      <c r="D412" s="80" t="s">
        <v>3449</v>
      </c>
      <c r="E412" s="80">
        <v>796</v>
      </c>
      <c r="F412" s="80">
        <v>0.85</v>
      </c>
      <c r="G412" s="80">
        <v>2</v>
      </c>
      <c r="H412" s="80">
        <v>4</v>
      </c>
      <c r="I412" s="80">
        <v>840</v>
      </c>
    </row>
    <row r="413" spans="1:9" x14ac:dyDescent="0.25">
      <c r="A413" s="80">
        <v>412</v>
      </c>
      <c r="B413" s="80">
        <v>66</v>
      </c>
      <c r="C413" s="80">
        <v>11</v>
      </c>
      <c r="D413" s="80" t="s">
        <v>3450</v>
      </c>
      <c r="E413" s="80">
        <v>796</v>
      </c>
      <c r="F413" s="80">
        <v>0.85</v>
      </c>
      <c r="G413" s="80">
        <v>3</v>
      </c>
      <c r="H413" s="80">
        <v>6</v>
      </c>
      <c r="I413" s="80">
        <v>840</v>
      </c>
    </row>
    <row r="414" spans="1:9" x14ac:dyDescent="0.25">
      <c r="A414" s="80">
        <v>413</v>
      </c>
      <c r="B414" s="80">
        <v>66</v>
      </c>
      <c r="C414" s="80">
        <v>12</v>
      </c>
      <c r="D414" s="80" t="s">
        <v>3451</v>
      </c>
      <c r="E414" s="80">
        <v>796</v>
      </c>
      <c r="F414" s="80">
        <v>0.85</v>
      </c>
      <c r="G414" s="80">
        <v>3</v>
      </c>
      <c r="H414" s="80">
        <v>6</v>
      </c>
      <c r="I414" s="80">
        <v>840</v>
      </c>
    </row>
    <row r="415" spans="1:9" x14ac:dyDescent="0.25">
      <c r="A415" s="80">
        <v>414</v>
      </c>
      <c r="B415" s="80">
        <v>66</v>
      </c>
      <c r="C415" s="80">
        <v>13</v>
      </c>
      <c r="D415" s="80" t="s">
        <v>3452</v>
      </c>
      <c r="E415" s="80">
        <v>796</v>
      </c>
      <c r="F415" s="80">
        <v>0.85</v>
      </c>
      <c r="G415" s="80">
        <v>2</v>
      </c>
      <c r="H415" s="80">
        <v>4</v>
      </c>
      <c r="I415" s="80">
        <v>840</v>
      </c>
    </row>
    <row r="416" spans="1:9" x14ac:dyDescent="0.25">
      <c r="A416" s="80">
        <v>415</v>
      </c>
      <c r="B416" s="80">
        <v>66</v>
      </c>
      <c r="C416" s="80">
        <v>14</v>
      </c>
      <c r="D416" s="80" t="s">
        <v>3453</v>
      </c>
      <c r="E416" s="80">
        <v>796</v>
      </c>
      <c r="F416" s="80">
        <v>0.85</v>
      </c>
      <c r="G416" s="80">
        <v>3</v>
      </c>
      <c r="H416" s="80">
        <v>6</v>
      </c>
      <c r="I416" s="80">
        <v>840</v>
      </c>
    </row>
    <row r="417" spans="1:9" x14ac:dyDescent="0.25">
      <c r="A417" s="80">
        <v>416</v>
      </c>
      <c r="B417" s="80">
        <v>66</v>
      </c>
      <c r="C417" s="80">
        <v>15</v>
      </c>
      <c r="D417" s="80" t="s">
        <v>3454</v>
      </c>
      <c r="E417" s="80">
        <v>796</v>
      </c>
      <c r="F417" s="80">
        <v>0.85</v>
      </c>
      <c r="G417" s="80">
        <v>1</v>
      </c>
      <c r="H417" s="80">
        <v>2</v>
      </c>
      <c r="I417" s="80">
        <v>840</v>
      </c>
    </row>
    <row r="418" spans="1:9" x14ac:dyDescent="0.25">
      <c r="A418" s="80">
        <v>417</v>
      </c>
      <c r="B418" s="80">
        <v>66</v>
      </c>
      <c r="C418" s="80">
        <v>16</v>
      </c>
      <c r="D418" s="80" t="s">
        <v>3455</v>
      </c>
      <c r="E418" s="80">
        <v>796</v>
      </c>
      <c r="F418" s="80">
        <v>0.85</v>
      </c>
      <c r="G418" s="80">
        <v>2</v>
      </c>
      <c r="H418" s="80">
        <v>4</v>
      </c>
      <c r="I418" s="80">
        <v>840</v>
      </c>
    </row>
    <row r="419" spans="1:9" x14ac:dyDescent="0.25">
      <c r="A419" s="80">
        <v>418</v>
      </c>
      <c r="B419" s="80">
        <v>66</v>
      </c>
      <c r="C419" s="80">
        <v>17</v>
      </c>
      <c r="D419" s="80" t="s">
        <v>3456</v>
      </c>
      <c r="E419" s="80">
        <v>796</v>
      </c>
      <c r="F419" s="80">
        <v>0.85</v>
      </c>
      <c r="G419" s="80">
        <v>3</v>
      </c>
      <c r="H419" s="80">
        <v>6</v>
      </c>
      <c r="I419" s="80">
        <v>840</v>
      </c>
    </row>
    <row r="420" spans="1:9" x14ac:dyDescent="0.25">
      <c r="A420" s="80">
        <v>419</v>
      </c>
      <c r="B420" s="80">
        <v>67</v>
      </c>
      <c r="C420" s="80">
        <v>1</v>
      </c>
      <c r="D420" s="80" t="s">
        <v>3458</v>
      </c>
      <c r="E420" s="80">
        <v>796</v>
      </c>
      <c r="F420" s="80">
        <v>0.99</v>
      </c>
      <c r="G420" s="80">
        <v>3</v>
      </c>
      <c r="H420" s="80">
        <v>3</v>
      </c>
      <c r="I420" s="80">
        <v>840</v>
      </c>
    </row>
    <row r="421" spans="1:9" x14ac:dyDescent="0.25">
      <c r="A421" s="80">
        <v>420</v>
      </c>
      <c r="B421" s="80">
        <v>67</v>
      </c>
      <c r="C421" s="80">
        <v>2</v>
      </c>
      <c r="D421" s="80" t="s">
        <v>3459</v>
      </c>
      <c r="E421" s="80">
        <v>796</v>
      </c>
      <c r="F421" s="80">
        <v>0.99</v>
      </c>
      <c r="G421" s="80">
        <v>3</v>
      </c>
      <c r="H421" s="80">
        <v>6</v>
      </c>
      <c r="I421" s="80">
        <v>840</v>
      </c>
    </row>
    <row r="422" spans="1:9" x14ac:dyDescent="0.25">
      <c r="A422" s="80">
        <v>421</v>
      </c>
      <c r="B422" s="80">
        <v>67</v>
      </c>
      <c r="C422" s="80">
        <v>3</v>
      </c>
      <c r="D422" s="80" t="s">
        <v>3460</v>
      </c>
      <c r="E422" s="80">
        <v>796</v>
      </c>
      <c r="F422" s="80">
        <v>0.99</v>
      </c>
      <c r="G422" s="80">
        <v>1</v>
      </c>
      <c r="H422" s="80">
        <v>1</v>
      </c>
      <c r="I422" s="80">
        <v>840</v>
      </c>
    </row>
    <row r="423" spans="1:9" x14ac:dyDescent="0.25">
      <c r="A423" s="80">
        <v>422</v>
      </c>
      <c r="B423" s="80">
        <v>67</v>
      </c>
      <c r="C423" s="80">
        <v>4</v>
      </c>
      <c r="D423" s="80" t="s">
        <v>3461</v>
      </c>
      <c r="E423" s="80">
        <v>796</v>
      </c>
      <c r="F423" s="80">
        <v>0.99</v>
      </c>
      <c r="G423" s="80">
        <v>2</v>
      </c>
      <c r="H423" s="80">
        <v>4</v>
      </c>
      <c r="I423" s="80">
        <v>840</v>
      </c>
    </row>
    <row r="424" spans="1:9" x14ac:dyDescent="0.25">
      <c r="A424" s="80">
        <v>423</v>
      </c>
      <c r="B424" s="80">
        <v>67</v>
      </c>
      <c r="C424" s="80">
        <v>5</v>
      </c>
      <c r="D424" s="80" t="s">
        <v>3462</v>
      </c>
      <c r="E424" s="80">
        <v>796</v>
      </c>
      <c r="F424" s="80">
        <v>0.99</v>
      </c>
      <c r="G424" s="80">
        <v>3</v>
      </c>
      <c r="H424" s="80">
        <v>3</v>
      </c>
      <c r="I424" s="80">
        <v>840</v>
      </c>
    </row>
    <row r="425" spans="1:9" x14ac:dyDescent="0.25">
      <c r="A425" s="80">
        <v>424</v>
      </c>
      <c r="B425" s="80">
        <v>67</v>
      </c>
      <c r="C425" s="80">
        <v>6</v>
      </c>
      <c r="D425" s="80" t="s">
        <v>3463</v>
      </c>
      <c r="E425" s="80">
        <v>796</v>
      </c>
      <c r="F425" s="80">
        <v>0.99</v>
      </c>
      <c r="G425" s="80">
        <v>3</v>
      </c>
      <c r="H425" s="80">
        <v>6</v>
      </c>
      <c r="I425" s="80">
        <v>840</v>
      </c>
    </row>
    <row r="426" spans="1:9" x14ac:dyDescent="0.25">
      <c r="A426" s="80">
        <v>425</v>
      </c>
      <c r="B426" s="80">
        <v>67</v>
      </c>
      <c r="C426" s="80">
        <v>7</v>
      </c>
      <c r="D426" s="80" t="s">
        <v>3464</v>
      </c>
      <c r="E426" s="80">
        <v>796</v>
      </c>
      <c r="F426" s="80">
        <v>0.99</v>
      </c>
      <c r="G426" s="80">
        <v>3</v>
      </c>
      <c r="H426" s="80">
        <v>3</v>
      </c>
      <c r="I426" s="80">
        <v>840</v>
      </c>
    </row>
    <row r="427" spans="1:9" x14ac:dyDescent="0.25">
      <c r="A427" s="80">
        <v>426</v>
      </c>
      <c r="B427" s="80">
        <v>68</v>
      </c>
      <c r="C427" s="80">
        <v>1</v>
      </c>
      <c r="D427" s="80" t="s">
        <v>3465</v>
      </c>
      <c r="E427" s="80">
        <v>796</v>
      </c>
      <c r="F427" s="80">
        <v>1.31</v>
      </c>
      <c r="G427" s="80">
        <v>3</v>
      </c>
      <c r="H427" s="80">
        <v>3</v>
      </c>
      <c r="I427" s="80">
        <v>840</v>
      </c>
    </row>
    <row r="428" spans="1:9" x14ac:dyDescent="0.25">
      <c r="A428" s="80">
        <v>427</v>
      </c>
      <c r="B428" s="80">
        <v>68</v>
      </c>
      <c r="C428" s="80">
        <v>2</v>
      </c>
      <c r="D428" s="80" t="s">
        <v>3466</v>
      </c>
      <c r="E428" s="80">
        <v>796</v>
      </c>
      <c r="F428" s="80">
        <v>1.31</v>
      </c>
      <c r="G428" s="80">
        <v>1</v>
      </c>
      <c r="H428" s="80">
        <v>2</v>
      </c>
      <c r="I428" s="80">
        <v>840</v>
      </c>
    </row>
    <row r="429" spans="1:9" x14ac:dyDescent="0.25">
      <c r="A429" s="80">
        <v>428</v>
      </c>
      <c r="B429" s="80">
        <v>68</v>
      </c>
      <c r="C429" s="80">
        <v>3</v>
      </c>
      <c r="D429" s="80" t="s">
        <v>3265</v>
      </c>
      <c r="E429" s="80">
        <v>796</v>
      </c>
      <c r="F429" s="80">
        <v>1.31</v>
      </c>
      <c r="G429" s="80">
        <v>2</v>
      </c>
      <c r="H429" s="80">
        <v>4</v>
      </c>
      <c r="I429" s="80">
        <v>840</v>
      </c>
    </row>
    <row r="430" spans="1:9" x14ac:dyDescent="0.25">
      <c r="A430" s="80">
        <v>429</v>
      </c>
      <c r="B430" s="80">
        <v>68</v>
      </c>
      <c r="C430" s="80">
        <v>4</v>
      </c>
      <c r="D430" s="80" t="s">
        <v>3467</v>
      </c>
      <c r="E430" s="80">
        <v>796</v>
      </c>
      <c r="F430" s="80">
        <v>1.31</v>
      </c>
      <c r="G430" s="80">
        <v>3</v>
      </c>
      <c r="H430" s="80">
        <v>6</v>
      </c>
      <c r="I430" s="80">
        <v>840</v>
      </c>
    </row>
    <row r="431" spans="1:9" x14ac:dyDescent="0.25">
      <c r="A431" s="80">
        <v>430</v>
      </c>
      <c r="B431" s="80">
        <v>68</v>
      </c>
      <c r="C431" s="80">
        <v>5</v>
      </c>
      <c r="D431" s="80" t="s">
        <v>3468</v>
      </c>
      <c r="E431" s="80">
        <v>796</v>
      </c>
      <c r="F431" s="80">
        <v>1.31</v>
      </c>
      <c r="G431" s="80">
        <v>3</v>
      </c>
      <c r="H431" s="80">
        <v>3</v>
      </c>
      <c r="I431" s="80">
        <v>840</v>
      </c>
    </row>
    <row r="432" spans="1:9" x14ac:dyDescent="0.25">
      <c r="A432" s="80">
        <v>431</v>
      </c>
      <c r="B432" s="80">
        <v>68</v>
      </c>
      <c r="C432" s="80">
        <v>6</v>
      </c>
      <c r="D432" s="80" t="s">
        <v>3469</v>
      </c>
      <c r="E432" s="80">
        <v>796</v>
      </c>
      <c r="F432" s="80">
        <v>1.31</v>
      </c>
      <c r="G432" s="80">
        <v>3</v>
      </c>
      <c r="H432" s="80">
        <v>3</v>
      </c>
      <c r="I432" s="80">
        <v>840</v>
      </c>
    </row>
    <row r="433" spans="1:9" x14ac:dyDescent="0.25">
      <c r="A433" s="80">
        <v>432</v>
      </c>
      <c r="B433" s="80">
        <v>68</v>
      </c>
      <c r="C433" s="80">
        <v>7</v>
      </c>
      <c r="D433" s="80" t="s">
        <v>3470</v>
      </c>
      <c r="E433" s="80">
        <v>796</v>
      </c>
      <c r="F433" s="80">
        <v>1.31</v>
      </c>
      <c r="G433" s="80">
        <v>1</v>
      </c>
      <c r="H433" s="80">
        <v>1</v>
      </c>
      <c r="I433" s="80">
        <v>840</v>
      </c>
    </row>
    <row r="434" spans="1:9" x14ac:dyDescent="0.25">
      <c r="A434" s="80">
        <v>433</v>
      </c>
      <c r="B434" s="80">
        <v>69</v>
      </c>
      <c r="C434" s="80">
        <v>1</v>
      </c>
      <c r="D434" s="80" t="s">
        <v>3472</v>
      </c>
      <c r="E434" s="80">
        <v>796</v>
      </c>
      <c r="F434" s="80">
        <v>0.81</v>
      </c>
      <c r="G434" s="80">
        <v>3</v>
      </c>
      <c r="H434" s="80">
        <v>6</v>
      </c>
      <c r="I434" s="80">
        <v>840</v>
      </c>
    </row>
    <row r="435" spans="1:9" x14ac:dyDescent="0.25">
      <c r="A435" s="80">
        <v>434</v>
      </c>
      <c r="B435" s="80">
        <v>69</v>
      </c>
      <c r="C435" s="80">
        <v>2</v>
      </c>
      <c r="D435" s="80" t="s">
        <v>3473</v>
      </c>
      <c r="E435" s="80">
        <v>796</v>
      </c>
      <c r="F435" s="80">
        <v>0.81</v>
      </c>
      <c r="G435" s="80">
        <v>1</v>
      </c>
      <c r="H435" s="80">
        <v>2</v>
      </c>
      <c r="I435" s="80">
        <v>840</v>
      </c>
    </row>
    <row r="436" spans="1:9" x14ac:dyDescent="0.25">
      <c r="A436" s="80">
        <v>435</v>
      </c>
      <c r="B436" s="80">
        <v>69</v>
      </c>
      <c r="C436" s="80">
        <v>3</v>
      </c>
      <c r="D436" s="80" t="s">
        <v>3474</v>
      </c>
      <c r="E436" s="80">
        <v>796</v>
      </c>
      <c r="F436" s="80">
        <v>0.81</v>
      </c>
      <c r="G436" s="80">
        <v>2</v>
      </c>
      <c r="H436" s="80">
        <v>2</v>
      </c>
      <c r="I436" s="80">
        <v>840</v>
      </c>
    </row>
    <row r="437" spans="1:9" x14ac:dyDescent="0.25">
      <c r="A437" s="80">
        <v>436</v>
      </c>
      <c r="B437" s="80">
        <v>69</v>
      </c>
      <c r="C437" s="80">
        <v>4</v>
      </c>
      <c r="D437" s="80" t="s">
        <v>3475</v>
      </c>
      <c r="E437" s="80">
        <v>796</v>
      </c>
      <c r="F437" s="80">
        <v>0.81</v>
      </c>
      <c r="G437" s="80">
        <v>1</v>
      </c>
      <c r="H437" s="80">
        <v>1</v>
      </c>
      <c r="I437" s="80">
        <v>840</v>
      </c>
    </row>
    <row r="438" spans="1:9" x14ac:dyDescent="0.25">
      <c r="A438" s="80">
        <v>437</v>
      </c>
      <c r="B438" s="80">
        <v>69</v>
      </c>
      <c r="C438" s="80">
        <v>5</v>
      </c>
      <c r="D438" s="80" t="s">
        <v>3476</v>
      </c>
      <c r="E438" s="80">
        <v>796</v>
      </c>
      <c r="F438" s="80">
        <v>0.81</v>
      </c>
      <c r="G438" s="80">
        <v>2</v>
      </c>
      <c r="H438" s="80">
        <v>4</v>
      </c>
      <c r="I438" s="80">
        <v>840</v>
      </c>
    </row>
    <row r="439" spans="1:9" x14ac:dyDescent="0.25">
      <c r="A439" s="80">
        <v>438</v>
      </c>
      <c r="B439" s="80">
        <v>69</v>
      </c>
      <c r="C439" s="80">
        <v>6</v>
      </c>
      <c r="D439" s="80" t="s">
        <v>3477</v>
      </c>
      <c r="E439" s="80">
        <v>796</v>
      </c>
      <c r="F439" s="80">
        <v>0.81</v>
      </c>
      <c r="G439" s="80">
        <v>3</v>
      </c>
      <c r="H439" s="80">
        <v>3</v>
      </c>
      <c r="I439" s="80">
        <v>840</v>
      </c>
    </row>
    <row r="440" spans="1:9" x14ac:dyDescent="0.25">
      <c r="A440" s="80">
        <v>439</v>
      </c>
      <c r="B440" s="80">
        <v>69</v>
      </c>
      <c r="C440" s="80">
        <v>7</v>
      </c>
      <c r="D440" s="80" t="s">
        <v>3478</v>
      </c>
      <c r="E440" s="80">
        <v>796</v>
      </c>
      <c r="F440" s="80">
        <v>0.81</v>
      </c>
      <c r="G440" s="80">
        <v>1</v>
      </c>
      <c r="H440" s="80">
        <v>2</v>
      </c>
      <c r="I440" s="80">
        <v>840</v>
      </c>
    </row>
    <row r="441" spans="1:9" x14ac:dyDescent="0.25">
      <c r="A441" s="80">
        <v>440</v>
      </c>
      <c r="B441" s="80">
        <v>69</v>
      </c>
      <c r="C441" s="80">
        <v>8</v>
      </c>
      <c r="D441" s="80" t="s">
        <v>3479</v>
      </c>
      <c r="E441" s="80">
        <v>796</v>
      </c>
      <c r="F441" s="80">
        <v>0.81</v>
      </c>
      <c r="G441" s="80">
        <v>2</v>
      </c>
      <c r="H441" s="80">
        <v>2</v>
      </c>
      <c r="I441" s="80">
        <v>840</v>
      </c>
    </row>
    <row r="442" spans="1:9" x14ac:dyDescent="0.25">
      <c r="A442" s="80">
        <v>441</v>
      </c>
      <c r="B442" s="80">
        <v>69</v>
      </c>
      <c r="C442" s="80">
        <v>9</v>
      </c>
      <c r="D442" s="80" t="s">
        <v>3480</v>
      </c>
      <c r="E442" s="80">
        <v>796</v>
      </c>
      <c r="F442" s="80">
        <v>0.81</v>
      </c>
      <c r="G442" s="80">
        <v>3</v>
      </c>
      <c r="H442" s="80">
        <v>3</v>
      </c>
      <c r="I442" s="80">
        <v>840</v>
      </c>
    </row>
    <row r="443" spans="1:9" x14ac:dyDescent="0.25">
      <c r="A443" s="80">
        <v>442</v>
      </c>
      <c r="B443" s="80">
        <v>69</v>
      </c>
      <c r="C443" s="80">
        <v>10</v>
      </c>
      <c r="D443" s="80" t="s">
        <v>3481</v>
      </c>
      <c r="E443" s="80">
        <v>796</v>
      </c>
      <c r="F443" s="80">
        <v>0.81</v>
      </c>
      <c r="G443" s="80">
        <v>3</v>
      </c>
      <c r="H443" s="80">
        <v>3</v>
      </c>
      <c r="I443" s="80">
        <v>840</v>
      </c>
    </row>
    <row r="444" spans="1:9" x14ac:dyDescent="0.25">
      <c r="A444" s="80">
        <v>443</v>
      </c>
      <c r="B444" s="80">
        <v>69</v>
      </c>
      <c r="C444" s="80">
        <v>11</v>
      </c>
      <c r="D444" s="80" t="s">
        <v>3482</v>
      </c>
      <c r="E444" s="80">
        <v>796</v>
      </c>
      <c r="F444" s="80">
        <v>0.81</v>
      </c>
      <c r="G444" s="80">
        <v>3</v>
      </c>
      <c r="H444" s="80">
        <v>6</v>
      </c>
      <c r="I444" s="80">
        <v>840</v>
      </c>
    </row>
    <row r="445" spans="1:9" x14ac:dyDescent="0.25">
      <c r="A445" s="80">
        <v>444</v>
      </c>
      <c r="B445" s="80">
        <v>70</v>
      </c>
      <c r="C445" s="80">
        <v>1</v>
      </c>
      <c r="D445" s="80" t="s">
        <v>3483</v>
      </c>
      <c r="E445" s="80">
        <v>796</v>
      </c>
      <c r="F445" s="80">
        <v>1.04</v>
      </c>
      <c r="G445" s="80">
        <v>2</v>
      </c>
      <c r="H445" s="80">
        <v>2</v>
      </c>
      <c r="I445" s="80">
        <v>840</v>
      </c>
    </row>
    <row r="446" spans="1:9" x14ac:dyDescent="0.25">
      <c r="A446" s="80">
        <v>445</v>
      </c>
      <c r="B446" s="80">
        <v>70</v>
      </c>
      <c r="C446" s="80">
        <v>2</v>
      </c>
      <c r="D446" s="80" t="s">
        <v>3274</v>
      </c>
      <c r="E446" s="80">
        <v>796</v>
      </c>
      <c r="F446" s="80">
        <v>1.04</v>
      </c>
      <c r="G446" s="80">
        <v>2</v>
      </c>
      <c r="H446" s="80">
        <v>4</v>
      </c>
      <c r="I446" s="80">
        <v>840</v>
      </c>
    </row>
    <row r="447" spans="1:9" x14ac:dyDescent="0.25">
      <c r="A447" s="80">
        <v>446</v>
      </c>
      <c r="B447" s="80">
        <v>70</v>
      </c>
      <c r="C447" s="80">
        <v>3</v>
      </c>
      <c r="D447" s="80" t="s">
        <v>3280</v>
      </c>
      <c r="E447" s="80">
        <v>796</v>
      </c>
      <c r="F447" s="80">
        <v>1.04</v>
      </c>
      <c r="G447" s="80">
        <v>2</v>
      </c>
      <c r="H447" s="80">
        <v>2</v>
      </c>
      <c r="I447" s="80">
        <v>840</v>
      </c>
    </row>
    <row r="448" spans="1:9" x14ac:dyDescent="0.25">
      <c r="A448" s="80">
        <v>447</v>
      </c>
      <c r="B448" s="80">
        <v>70</v>
      </c>
      <c r="C448" s="80">
        <v>4</v>
      </c>
      <c r="D448" s="80" t="s">
        <v>3258</v>
      </c>
      <c r="E448" s="80">
        <v>796</v>
      </c>
      <c r="F448" s="80">
        <v>1.04</v>
      </c>
      <c r="G448" s="80">
        <v>3</v>
      </c>
      <c r="H448" s="80">
        <v>3</v>
      </c>
      <c r="I448" s="80">
        <v>840</v>
      </c>
    </row>
    <row r="449" spans="1:9" x14ac:dyDescent="0.25">
      <c r="A449" s="80">
        <v>448</v>
      </c>
      <c r="B449" s="80">
        <v>70</v>
      </c>
      <c r="C449" s="80">
        <v>5</v>
      </c>
      <c r="D449" s="80" t="s">
        <v>3288</v>
      </c>
      <c r="E449" s="80">
        <v>796</v>
      </c>
      <c r="F449" s="80">
        <v>1.04</v>
      </c>
      <c r="G449" s="80">
        <v>1</v>
      </c>
      <c r="H449" s="80">
        <v>1</v>
      </c>
      <c r="I449" s="80">
        <v>840</v>
      </c>
    </row>
    <row r="450" spans="1:9" x14ac:dyDescent="0.25">
      <c r="A450" s="80">
        <v>449</v>
      </c>
      <c r="B450" s="80">
        <v>70</v>
      </c>
      <c r="C450" s="80">
        <v>6</v>
      </c>
      <c r="D450" s="80" t="s">
        <v>3310</v>
      </c>
      <c r="E450" s="80">
        <v>796</v>
      </c>
      <c r="F450" s="80">
        <v>1.04</v>
      </c>
      <c r="G450" s="80">
        <v>2</v>
      </c>
      <c r="H450" s="80">
        <v>2</v>
      </c>
      <c r="I450" s="80">
        <v>840</v>
      </c>
    </row>
    <row r="451" spans="1:9" x14ac:dyDescent="0.25">
      <c r="A451" s="80">
        <v>450</v>
      </c>
      <c r="B451" s="80">
        <v>70</v>
      </c>
      <c r="C451" s="80">
        <v>7</v>
      </c>
      <c r="D451" s="80" t="s">
        <v>3290</v>
      </c>
      <c r="E451" s="80">
        <v>796</v>
      </c>
      <c r="F451" s="80">
        <v>1.04</v>
      </c>
      <c r="G451" s="80">
        <v>3</v>
      </c>
      <c r="H451" s="80">
        <v>3</v>
      </c>
      <c r="I451" s="80">
        <v>840</v>
      </c>
    </row>
    <row r="452" spans="1:9" x14ac:dyDescent="0.25">
      <c r="A452" s="80">
        <v>451</v>
      </c>
      <c r="B452" s="80">
        <v>71</v>
      </c>
      <c r="C452" s="80">
        <v>1</v>
      </c>
      <c r="D452" s="80" t="s">
        <v>3345</v>
      </c>
      <c r="E452" s="80">
        <v>796</v>
      </c>
      <c r="F452" s="80">
        <v>1.02</v>
      </c>
      <c r="G452" s="80">
        <v>3</v>
      </c>
      <c r="H452" s="80">
        <v>3</v>
      </c>
      <c r="I452" s="80">
        <v>840</v>
      </c>
    </row>
    <row r="453" spans="1:9" x14ac:dyDescent="0.25">
      <c r="A453" s="80">
        <v>452</v>
      </c>
      <c r="B453" s="80">
        <v>71</v>
      </c>
      <c r="C453" s="80">
        <v>2</v>
      </c>
      <c r="D453" s="80" t="s">
        <v>3259</v>
      </c>
      <c r="E453" s="80">
        <v>796</v>
      </c>
      <c r="F453" s="80">
        <v>1.02</v>
      </c>
      <c r="G453" s="80">
        <v>1</v>
      </c>
      <c r="H453" s="80">
        <v>2</v>
      </c>
      <c r="I453" s="80">
        <v>840</v>
      </c>
    </row>
    <row r="454" spans="1:9" x14ac:dyDescent="0.25">
      <c r="A454" s="80">
        <v>453</v>
      </c>
      <c r="B454" s="80">
        <v>71</v>
      </c>
      <c r="C454" s="80">
        <v>3</v>
      </c>
      <c r="D454" s="80" t="s">
        <v>3274</v>
      </c>
      <c r="E454" s="80">
        <v>796</v>
      </c>
      <c r="F454" s="80">
        <v>1.02</v>
      </c>
      <c r="G454" s="80">
        <v>1</v>
      </c>
      <c r="H454" s="80">
        <v>1</v>
      </c>
      <c r="I454" s="80">
        <v>840</v>
      </c>
    </row>
    <row r="455" spans="1:9" x14ac:dyDescent="0.25">
      <c r="A455" s="80">
        <v>454</v>
      </c>
      <c r="B455" s="80">
        <v>71</v>
      </c>
      <c r="C455" s="80">
        <v>4</v>
      </c>
      <c r="D455" s="80" t="s">
        <v>3392</v>
      </c>
      <c r="E455" s="80">
        <v>796</v>
      </c>
      <c r="F455" s="80">
        <v>1.02</v>
      </c>
      <c r="G455" s="80">
        <v>3</v>
      </c>
      <c r="H455" s="80">
        <v>3</v>
      </c>
      <c r="I455" s="80">
        <v>840</v>
      </c>
    </row>
    <row r="456" spans="1:9" x14ac:dyDescent="0.25">
      <c r="A456" s="80">
        <v>455</v>
      </c>
      <c r="B456" s="80">
        <v>71</v>
      </c>
      <c r="C456" s="80">
        <v>5</v>
      </c>
      <c r="D456" s="80" t="s">
        <v>3484</v>
      </c>
      <c r="E456" s="80">
        <v>796</v>
      </c>
      <c r="F456" s="80">
        <v>1.02</v>
      </c>
      <c r="G456" s="80">
        <v>3</v>
      </c>
      <c r="H456" s="80">
        <v>3</v>
      </c>
      <c r="I456" s="80">
        <v>840</v>
      </c>
    </row>
    <row r="457" spans="1:9" x14ac:dyDescent="0.25">
      <c r="A457" s="80">
        <v>456</v>
      </c>
      <c r="B457" s="80">
        <v>71</v>
      </c>
      <c r="C457" s="80">
        <v>6</v>
      </c>
      <c r="D457" s="80" t="s">
        <v>3280</v>
      </c>
      <c r="E457" s="80">
        <v>796</v>
      </c>
      <c r="F457" s="80">
        <v>1.02</v>
      </c>
      <c r="G457" s="80">
        <v>1</v>
      </c>
      <c r="H457" s="80">
        <v>2</v>
      </c>
      <c r="I457" s="80">
        <v>840</v>
      </c>
    </row>
    <row r="458" spans="1:9" x14ac:dyDescent="0.25">
      <c r="A458" s="80">
        <v>457</v>
      </c>
      <c r="B458" s="80">
        <v>71</v>
      </c>
      <c r="C458" s="80">
        <v>7</v>
      </c>
      <c r="D458" s="80" t="s">
        <v>3301</v>
      </c>
      <c r="E458" s="80">
        <v>796</v>
      </c>
      <c r="F458" s="80">
        <v>1.02</v>
      </c>
      <c r="G458" s="80">
        <v>2</v>
      </c>
      <c r="H458" s="80">
        <v>4</v>
      </c>
      <c r="I458" s="80">
        <v>840</v>
      </c>
    </row>
    <row r="459" spans="1:9" x14ac:dyDescent="0.25">
      <c r="A459" s="80">
        <v>458</v>
      </c>
      <c r="B459" s="80">
        <v>71</v>
      </c>
      <c r="C459" s="80">
        <v>8</v>
      </c>
      <c r="D459" s="80" t="s">
        <v>3485</v>
      </c>
      <c r="E459" s="80">
        <v>796</v>
      </c>
      <c r="F459" s="80">
        <v>1.02</v>
      </c>
      <c r="G459" s="80">
        <v>1</v>
      </c>
      <c r="H459" s="80">
        <v>2</v>
      </c>
      <c r="I459" s="80">
        <v>840</v>
      </c>
    </row>
    <row r="460" spans="1:9" x14ac:dyDescent="0.25">
      <c r="A460" s="80">
        <v>459</v>
      </c>
      <c r="B460" s="80">
        <v>71</v>
      </c>
      <c r="C460" s="80">
        <v>9</v>
      </c>
      <c r="D460" s="80" t="s">
        <v>3310</v>
      </c>
      <c r="E460" s="80">
        <v>796</v>
      </c>
      <c r="F460" s="80">
        <v>1.02</v>
      </c>
      <c r="G460" s="80">
        <v>2</v>
      </c>
      <c r="H460" s="80">
        <v>2</v>
      </c>
      <c r="I460" s="80">
        <v>840</v>
      </c>
    </row>
    <row r="461" spans="1:9" x14ac:dyDescent="0.25">
      <c r="A461" s="80">
        <v>460</v>
      </c>
      <c r="B461" s="80">
        <v>71</v>
      </c>
      <c r="C461" s="80">
        <v>10</v>
      </c>
      <c r="D461" s="80" t="s">
        <v>3291</v>
      </c>
      <c r="E461" s="80">
        <v>796</v>
      </c>
      <c r="F461" s="80">
        <v>1.02</v>
      </c>
      <c r="G461" s="80">
        <v>1</v>
      </c>
      <c r="H461" s="80">
        <v>2</v>
      </c>
      <c r="I461" s="80">
        <v>840</v>
      </c>
    </row>
    <row r="462" spans="1:9" x14ac:dyDescent="0.25">
      <c r="A462" s="80">
        <v>461</v>
      </c>
      <c r="B462" s="80">
        <v>72</v>
      </c>
      <c r="C462" s="80">
        <v>1</v>
      </c>
      <c r="D462" s="80" t="s">
        <v>3321</v>
      </c>
      <c r="E462" s="80">
        <v>796</v>
      </c>
      <c r="F462" s="80">
        <v>0.8</v>
      </c>
      <c r="G462" s="80">
        <v>2</v>
      </c>
      <c r="H462" s="80">
        <v>2</v>
      </c>
      <c r="I462" s="80">
        <v>840</v>
      </c>
    </row>
    <row r="463" spans="1:9" x14ac:dyDescent="0.25">
      <c r="A463" s="80">
        <v>462</v>
      </c>
      <c r="B463" s="80">
        <v>72</v>
      </c>
      <c r="C463" s="80">
        <v>2</v>
      </c>
      <c r="D463" s="80" t="s">
        <v>3332</v>
      </c>
      <c r="E463" s="80">
        <v>796</v>
      </c>
      <c r="F463" s="80">
        <v>0.8</v>
      </c>
      <c r="G463" s="80">
        <v>3</v>
      </c>
      <c r="H463" s="80">
        <v>3</v>
      </c>
      <c r="I463" s="80">
        <v>840</v>
      </c>
    </row>
    <row r="464" spans="1:9" x14ac:dyDescent="0.25">
      <c r="A464" s="80">
        <v>463</v>
      </c>
      <c r="B464" s="80">
        <v>72</v>
      </c>
      <c r="C464" s="80">
        <v>3</v>
      </c>
      <c r="D464" s="80" t="s">
        <v>3486</v>
      </c>
      <c r="E464" s="80">
        <v>796</v>
      </c>
      <c r="F464" s="80">
        <v>0.8</v>
      </c>
      <c r="G464" s="80">
        <v>2</v>
      </c>
      <c r="H464" s="80">
        <v>2</v>
      </c>
      <c r="I464" s="80">
        <v>840</v>
      </c>
    </row>
    <row r="465" spans="1:9" x14ac:dyDescent="0.25">
      <c r="A465" s="80">
        <v>464</v>
      </c>
      <c r="B465" s="80">
        <v>72</v>
      </c>
      <c r="C465" s="80">
        <v>4</v>
      </c>
      <c r="D465" s="80" t="s">
        <v>3302</v>
      </c>
      <c r="E465" s="80">
        <v>796</v>
      </c>
      <c r="F465" s="80">
        <v>0.8</v>
      </c>
      <c r="G465" s="80">
        <v>3</v>
      </c>
      <c r="H465" s="80">
        <v>3</v>
      </c>
      <c r="I465" s="80">
        <v>840</v>
      </c>
    </row>
    <row r="466" spans="1:9" x14ac:dyDescent="0.25">
      <c r="A466" s="80">
        <v>465</v>
      </c>
      <c r="B466" s="80">
        <v>72</v>
      </c>
      <c r="C466" s="80">
        <v>5</v>
      </c>
      <c r="D466" s="80" t="s">
        <v>3301</v>
      </c>
      <c r="E466" s="80">
        <v>796</v>
      </c>
      <c r="F466" s="80">
        <v>0.8</v>
      </c>
      <c r="G466" s="80">
        <v>2</v>
      </c>
      <c r="H466" s="80">
        <v>2</v>
      </c>
      <c r="I466" s="80">
        <v>840</v>
      </c>
    </row>
    <row r="467" spans="1:9" x14ac:dyDescent="0.25">
      <c r="A467" s="80">
        <v>466</v>
      </c>
      <c r="B467" s="80">
        <v>72</v>
      </c>
      <c r="C467" s="80">
        <v>6</v>
      </c>
      <c r="D467" s="80" t="s">
        <v>3487</v>
      </c>
      <c r="E467" s="80">
        <v>796</v>
      </c>
      <c r="F467" s="80">
        <v>0.8</v>
      </c>
      <c r="G467" s="80">
        <v>1</v>
      </c>
      <c r="H467" s="80">
        <v>2</v>
      </c>
      <c r="I467" s="80">
        <v>840</v>
      </c>
    </row>
    <row r="468" spans="1:9" x14ac:dyDescent="0.25">
      <c r="A468" s="80">
        <v>467</v>
      </c>
      <c r="B468" s="80">
        <v>73</v>
      </c>
      <c r="C468" s="80">
        <v>1</v>
      </c>
      <c r="D468" s="80" t="s">
        <v>3489</v>
      </c>
      <c r="E468" s="80">
        <v>796</v>
      </c>
      <c r="F468" s="80">
        <v>0.54</v>
      </c>
      <c r="G468" s="80">
        <v>1</v>
      </c>
      <c r="H468" s="80">
        <v>1</v>
      </c>
      <c r="I468" s="80">
        <v>840</v>
      </c>
    </row>
    <row r="469" spans="1:9" x14ac:dyDescent="0.25">
      <c r="A469" s="80">
        <v>468</v>
      </c>
      <c r="B469" s="80">
        <v>73</v>
      </c>
      <c r="C469" s="80">
        <v>2</v>
      </c>
      <c r="D469" s="80" t="s">
        <v>3490</v>
      </c>
      <c r="E469" s="80">
        <v>796</v>
      </c>
      <c r="F469" s="80">
        <v>0.54</v>
      </c>
      <c r="G469" s="80">
        <v>1</v>
      </c>
      <c r="H469" s="80">
        <v>1</v>
      </c>
      <c r="I469" s="80">
        <v>840</v>
      </c>
    </row>
    <row r="470" spans="1:9" x14ac:dyDescent="0.25">
      <c r="A470" s="80">
        <v>469</v>
      </c>
      <c r="B470" s="80">
        <v>73</v>
      </c>
      <c r="C470" s="80">
        <v>3</v>
      </c>
      <c r="D470" s="80" t="s">
        <v>3431</v>
      </c>
      <c r="E470" s="80">
        <v>796</v>
      </c>
      <c r="F470" s="80">
        <v>0.54</v>
      </c>
      <c r="G470" s="80">
        <v>3</v>
      </c>
      <c r="H470" s="80">
        <v>3</v>
      </c>
      <c r="I470" s="80">
        <v>840</v>
      </c>
    </row>
    <row r="471" spans="1:9" x14ac:dyDescent="0.25">
      <c r="A471" s="80">
        <v>470</v>
      </c>
      <c r="B471" s="80">
        <v>73</v>
      </c>
      <c r="C471" s="80">
        <v>4</v>
      </c>
      <c r="D471" s="80" t="s">
        <v>3430</v>
      </c>
      <c r="E471" s="80">
        <v>796</v>
      </c>
      <c r="F471" s="80">
        <v>0.54</v>
      </c>
      <c r="G471" s="80">
        <v>2</v>
      </c>
      <c r="H471" s="80">
        <v>4</v>
      </c>
      <c r="I471" s="80">
        <v>840</v>
      </c>
    </row>
    <row r="472" spans="1:9" x14ac:dyDescent="0.25">
      <c r="A472" s="80">
        <v>471</v>
      </c>
      <c r="B472" s="80">
        <v>73</v>
      </c>
      <c r="C472" s="80">
        <v>5</v>
      </c>
      <c r="D472" s="80" t="s">
        <v>3491</v>
      </c>
      <c r="E472" s="80">
        <v>796</v>
      </c>
      <c r="F472" s="80">
        <v>0.54</v>
      </c>
      <c r="G472" s="80">
        <v>2</v>
      </c>
      <c r="H472" s="80">
        <v>4</v>
      </c>
      <c r="I472" s="80">
        <v>840</v>
      </c>
    </row>
    <row r="473" spans="1:9" x14ac:dyDescent="0.25">
      <c r="A473" s="80">
        <v>472</v>
      </c>
      <c r="B473" s="80">
        <v>73</v>
      </c>
      <c r="C473" s="80">
        <v>6</v>
      </c>
      <c r="D473" s="80" t="s">
        <v>3266</v>
      </c>
      <c r="E473" s="80">
        <v>796</v>
      </c>
      <c r="F473" s="80">
        <v>0.54</v>
      </c>
      <c r="G473" s="80">
        <v>1</v>
      </c>
      <c r="H473" s="80">
        <v>1</v>
      </c>
      <c r="I473" s="80">
        <v>840</v>
      </c>
    </row>
    <row r="474" spans="1:9" x14ac:dyDescent="0.25">
      <c r="A474" s="80">
        <v>473</v>
      </c>
      <c r="B474" s="80">
        <v>73</v>
      </c>
      <c r="C474" s="80">
        <v>7</v>
      </c>
      <c r="D474" s="80" t="s">
        <v>3492</v>
      </c>
      <c r="E474" s="80">
        <v>796</v>
      </c>
      <c r="F474" s="80">
        <v>0.54</v>
      </c>
      <c r="G474" s="80">
        <v>2</v>
      </c>
      <c r="H474" s="80">
        <v>4</v>
      </c>
      <c r="I474" s="80">
        <v>840</v>
      </c>
    </row>
    <row r="475" spans="1:9" x14ac:dyDescent="0.25">
      <c r="A475" s="80">
        <v>474</v>
      </c>
      <c r="B475" s="80">
        <v>74</v>
      </c>
      <c r="C475" s="80">
        <v>1</v>
      </c>
      <c r="D475" s="80" t="s">
        <v>3493</v>
      </c>
      <c r="E475" s="80">
        <v>796</v>
      </c>
      <c r="F475" s="80">
        <v>0.44</v>
      </c>
      <c r="G475" s="80">
        <v>2</v>
      </c>
      <c r="H475" s="80">
        <v>4</v>
      </c>
      <c r="I475" s="80">
        <v>840</v>
      </c>
    </row>
    <row r="476" spans="1:9" x14ac:dyDescent="0.25">
      <c r="A476" s="80">
        <v>475</v>
      </c>
      <c r="B476" s="80">
        <v>74</v>
      </c>
      <c r="C476" s="80">
        <v>2</v>
      </c>
      <c r="D476" s="80" t="s">
        <v>3494</v>
      </c>
      <c r="E476" s="80">
        <v>796</v>
      </c>
      <c r="F476" s="80">
        <v>0.44</v>
      </c>
      <c r="G476" s="80">
        <v>1</v>
      </c>
      <c r="H476" s="80">
        <v>2</v>
      </c>
      <c r="I476" s="80">
        <v>840</v>
      </c>
    </row>
    <row r="477" spans="1:9" x14ac:dyDescent="0.25">
      <c r="A477" s="80">
        <v>476</v>
      </c>
      <c r="B477" s="80">
        <v>74</v>
      </c>
      <c r="C477" s="80">
        <v>3</v>
      </c>
      <c r="D477" s="80" t="s">
        <v>3426</v>
      </c>
      <c r="E477" s="80">
        <v>796</v>
      </c>
      <c r="F477" s="80">
        <v>0.44</v>
      </c>
      <c r="G477" s="80">
        <v>2</v>
      </c>
      <c r="H477" s="80">
        <v>4</v>
      </c>
      <c r="I477" s="80">
        <v>840</v>
      </c>
    </row>
    <row r="478" spans="1:9" x14ac:dyDescent="0.25">
      <c r="A478" s="80">
        <v>477</v>
      </c>
      <c r="B478" s="80">
        <v>74</v>
      </c>
      <c r="C478" s="80">
        <v>4</v>
      </c>
      <c r="D478" s="80" t="s">
        <v>3495</v>
      </c>
      <c r="E478" s="80">
        <v>796</v>
      </c>
      <c r="F478" s="80">
        <v>0.44</v>
      </c>
      <c r="G478" s="80">
        <v>1</v>
      </c>
      <c r="H478" s="80">
        <v>1</v>
      </c>
      <c r="I478" s="80">
        <v>840</v>
      </c>
    </row>
    <row r="479" spans="1:9" x14ac:dyDescent="0.25">
      <c r="A479" s="80">
        <v>478</v>
      </c>
      <c r="B479" s="80">
        <v>74</v>
      </c>
      <c r="C479" s="80">
        <v>5</v>
      </c>
      <c r="D479" s="80" t="s">
        <v>3496</v>
      </c>
      <c r="E479" s="80">
        <v>796</v>
      </c>
      <c r="F479" s="80">
        <v>0.44</v>
      </c>
      <c r="G479" s="80">
        <v>1</v>
      </c>
      <c r="H479" s="80">
        <v>2</v>
      </c>
      <c r="I479" s="80">
        <v>840</v>
      </c>
    </row>
    <row r="480" spans="1:9" x14ac:dyDescent="0.25">
      <c r="A480" s="80">
        <v>479</v>
      </c>
      <c r="B480" s="80">
        <v>74</v>
      </c>
      <c r="C480" s="80">
        <v>6</v>
      </c>
      <c r="D480" s="80" t="s">
        <v>3497</v>
      </c>
      <c r="E480" s="80">
        <v>796</v>
      </c>
      <c r="F480" s="80">
        <v>0.44</v>
      </c>
      <c r="G480" s="80">
        <v>3</v>
      </c>
      <c r="H480" s="80">
        <v>3</v>
      </c>
      <c r="I480" s="80">
        <v>840</v>
      </c>
    </row>
    <row r="481" spans="1:9" x14ac:dyDescent="0.25">
      <c r="A481" s="80">
        <v>480</v>
      </c>
      <c r="B481" s="80">
        <v>74</v>
      </c>
      <c r="C481" s="80">
        <v>7</v>
      </c>
      <c r="D481" s="80" t="s">
        <v>3498</v>
      </c>
      <c r="E481" s="80">
        <v>796</v>
      </c>
      <c r="F481" s="80">
        <v>0.44</v>
      </c>
      <c r="G481" s="80">
        <v>2</v>
      </c>
      <c r="H481" s="80">
        <v>4</v>
      </c>
      <c r="I481" s="80">
        <v>840</v>
      </c>
    </row>
    <row r="482" spans="1:9" x14ac:dyDescent="0.25">
      <c r="A482" s="80">
        <v>481</v>
      </c>
      <c r="B482" s="80">
        <v>74</v>
      </c>
      <c r="C482" s="80">
        <v>8</v>
      </c>
      <c r="D482" s="80" t="s">
        <v>3499</v>
      </c>
      <c r="E482" s="80">
        <v>796</v>
      </c>
      <c r="F482" s="80">
        <v>0.44</v>
      </c>
      <c r="G482" s="80">
        <v>1</v>
      </c>
      <c r="H482" s="80">
        <v>2</v>
      </c>
      <c r="I482" s="80">
        <v>840</v>
      </c>
    </row>
    <row r="483" spans="1:9" x14ac:dyDescent="0.25">
      <c r="A483" s="80">
        <v>482</v>
      </c>
      <c r="B483" s="80">
        <v>74</v>
      </c>
      <c r="C483" s="80">
        <v>9</v>
      </c>
      <c r="D483" s="80" t="s">
        <v>3500</v>
      </c>
      <c r="E483" s="80">
        <v>796</v>
      </c>
      <c r="F483" s="80">
        <v>0.44</v>
      </c>
      <c r="G483" s="80">
        <v>3</v>
      </c>
      <c r="H483" s="80">
        <v>3</v>
      </c>
      <c r="I483" s="80">
        <v>840</v>
      </c>
    </row>
    <row r="484" spans="1:9" x14ac:dyDescent="0.25">
      <c r="A484" s="80">
        <v>483</v>
      </c>
      <c r="B484" s="80">
        <v>74</v>
      </c>
      <c r="C484" s="80">
        <v>10</v>
      </c>
      <c r="D484" s="80" t="s">
        <v>3501</v>
      </c>
      <c r="E484" s="80">
        <v>796</v>
      </c>
      <c r="F484" s="80">
        <v>0.44</v>
      </c>
      <c r="G484" s="80">
        <v>3</v>
      </c>
      <c r="H484" s="80">
        <v>3</v>
      </c>
      <c r="I484" s="80">
        <v>840</v>
      </c>
    </row>
    <row r="485" spans="1:9" x14ac:dyDescent="0.25">
      <c r="A485" s="80">
        <v>484</v>
      </c>
      <c r="B485" s="80">
        <v>74</v>
      </c>
      <c r="C485" s="80">
        <v>11</v>
      </c>
      <c r="D485" s="80" t="s">
        <v>3502</v>
      </c>
      <c r="E485" s="80">
        <v>796</v>
      </c>
      <c r="F485" s="80">
        <v>0.44</v>
      </c>
      <c r="G485" s="80">
        <v>3</v>
      </c>
      <c r="H485" s="80">
        <v>6</v>
      </c>
      <c r="I485" s="80">
        <v>840</v>
      </c>
    </row>
    <row r="486" spans="1:9" x14ac:dyDescent="0.25">
      <c r="A486" s="80">
        <v>485</v>
      </c>
      <c r="B486" s="80">
        <v>74</v>
      </c>
      <c r="C486" s="80">
        <v>12</v>
      </c>
      <c r="D486" s="80" t="s">
        <v>3328</v>
      </c>
      <c r="E486" s="80">
        <v>796</v>
      </c>
      <c r="F486" s="80">
        <v>0.44</v>
      </c>
      <c r="G486" s="80">
        <v>3</v>
      </c>
      <c r="H486" s="80">
        <v>6</v>
      </c>
      <c r="I486" s="80">
        <v>840</v>
      </c>
    </row>
    <row r="487" spans="1:9" x14ac:dyDescent="0.25">
      <c r="A487" s="80">
        <v>486</v>
      </c>
      <c r="B487" s="80">
        <v>74</v>
      </c>
      <c r="C487" s="80">
        <v>13</v>
      </c>
      <c r="D487" s="80" t="s">
        <v>3503</v>
      </c>
      <c r="E487" s="80">
        <v>796</v>
      </c>
      <c r="F487" s="80">
        <v>0.44</v>
      </c>
      <c r="G487" s="80">
        <v>1</v>
      </c>
      <c r="H487" s="80">
        <v>1</v>
      </c>
      <c r="I487" s="80">
        <v>840</v>
      </c>
    </row>
    <row r="488" spans="1:9" x14ac:dyDescent="0.25">
      <c r="A488" s="80">
        <v>487</v>
      </c>
      <c r="B488" s="80">
        <v>74</v>
      </c>
      <c r="C488" s="80">
        <v>14</v>
      </c>
      <c r="D488" s="80" t="s">
        <v>3260</v>
      </c>
      <c r="E488" s="80">
        <v>796</v>
      </c>
      <c r="F488" s="80">
        <v>0.44</v>
      </c>
      <c r="G488" s="80">
        <v>3</v>
      </c>
      <c r="H488" s="80">
        <v>6</v>
      </c>
      <c r="I488" s="80">
        <v>840</v>
      </c>
    </row>
    <row r="489" spans="1:9" x14ac:dyDescent="0.25">
      <c r="A489" s="80">
        <v>488</v>
      </c>
      <c r="B489" s="80">
        <v>74</v>
      </c>
      <c r="C489" s="80">
        <v>15</v>
      </c>
      <c r="D489" s="80" t="s">
        <v>3301</v>
      </c>
      <c r="E489" s="80">
        <v>796</v>
      </c>
      <c r="F489" s="80">
        <v>0.44</v>
      </c>
      <c r="G489" s="80">
        <v>3</v>
      </c>
      <c r="H489" s="80">
        <v>3</v>
      </c>
      <c r="I489" s="80">
        <v>840</v>
      </c>
    </row>
    <row r="490" spans="1:9" x14ac:dyDescent="0.25">
      <c r="A490" s="80">
        <v>489</v>
      </c>
      <c r="B490" s="80">
        <v>74</v>
      </c>
      <c r="C490" s="80">
        <v>16</v>
      </c>
      <c r="D490" s="80" t="s">
        <v>3302</v>
      </c>
      <c r="E490" s="80">
        <v>796</v>
      </c>
      <c r="F490" s="80">
        <v>0.44</v>
      </c>
      <c r="G490" s="80">
        <v>1</v>
      </c>
      <c r="H490" s="80">
        <v>1</v>
      </c>
      <c r="I490" s="80">
        <v>840</v>
      </c>
    </row>
    <row r="491" spans="1:9" x14ac:dyDescent="0.25">
      <c r="A491" s="80">
        <v>490</v>
      </c>
      <c r="B491" s="80">
        <v>75</v>
      </c>
      <c r="C491" s="80">
        <v>1</v>
      </c>
      <c r="D491" s="80" t="s">
        <v>3337</v>
      </c>
      <c r="E491" s="80">
        <v>796</v>
      </c>
      <c r="F491" s="80">
        <v>1.68</v>
      </c>
      <c r="G491" s="80">
        <v>1</v>
      </c>
      <c r="H491" s="80">
        <v>1</v>
      </c>
      <c r="I491" s="80">
        <v>840</v>
      </c>
    </row>
    <row r="492" spans="1:9" x14ac:dyDescent="0.25">
      <c r="A492" s="80">
        <v>491</v>
      </c>
      <c r="B492" s="80">
        <v>75</v>
      </c>
      <c r="C492" s="80">
        <v>2</v>
      </c>
      <c r="D492" s="80" t="s">
        <v>3274</v>
      </c>
      <c r="E492" s="80">
        <v>796</v>
      </c>
      <c r="F492" s="80">
        <v>1.68</v>
      </c>
      <c r="G492" s="80">
        <v>3</v>
      </c>
      <c r="H492" s="80">
        <v>3</v>
      </c>
      <c r="I492" s="80">
        <v>840</v>
      </c>
    </row>
    <row r="493" spans="1:9" x14ac:dyDescent="0.25">
      <c r="A493" s="80">
        <v>492</v>
      </c>
      <c r="B493" s="80">
        <v>75</v>
      </c>
      <c r="C493" s="80">
        <v>3</v>
      </c>
      <c r="D493" s="80" t="s">
        <v>3280</v>
      </c>
      <c r="E493" s="80">
        <v>796</v>
      </c>
      <c r="F493" s="80">
        <v>1.68</v>
      </c>
      <c r="G493" s="80">
        <v>3</v>
      </c>
      <c r="H493" s="80">
        <v>6</v>
      </c>
      <c r="I493" s="80">
        <v>840</v>
      </c>
    </row>
    <row r="494" spans="1:9" x14ac:dyDescent="0.25">
      <c r="A494" s="80">
        <v>493</v>
      </c>
      <c r="B494" s="80">
        <v>75</v>
      </c>
      <c r="C494" s="80">
        <v>4</v>
      </c>
      <c r="D494" s="80" t="s">
        <v>3504</v>
      </c>
      <c r="E494" s="80">
        <v>796</v>
      </c>
      <c r="F494" s="80">
        <v>1.68</v>
      </c>
      <c r="G494" s="80">
        <v>1</v>
      </c>
      <c r="H494" s="80">
        <v>2</v>
      </c>
      <c r="I494" s="80">
        <v>840</v>
      </c>
    </row>
    <row r="495" spans="1:9" x14ac:dyDescent="0.25">
      <c r="A495" s="80">
        <v>494</v>
      </c>
      <c r="B495" s="80">
        <v>76</v>
      </c>
      <c r="C495" s="80">
        <v>1</v>
      </c>
      <c r="D495" s="80" t="s">
        <v>3344</v>
      </c>
      <c r="E495" s="80">
        <v>796</v>
      </c>
      <c r="F495" s="80">
        <v>0.43</v>
      </c>
      <c r="G495" s="80">
        <v>3</v>
      </c>
      <c r="H495" s="80">
        <v>3</v>
      </c>
      <c r="I495" s="80">
        <v>840</v>
      </c>
    </row>
    <row r="496" spans="1:9" x14ac:dyDescent="0.25">
      <c r="A496" s="80">
        <v>495</v>
      </c>
      <c r="B496" s="80">
        <v>76</v>
      </c>
      <c r="C496" s="80">
        <v>2</v>
      </c>
      <c r="D496" s="80" t="s">
        <v>3310</v>
      </c>
      <c r="E496" s="80">
        <v>796</v>
      </c>
      <c r="F496" s="80">
        <v>0.43</v>
      </c>
      <c r="G496" s="80">
        <v>1</v>
      </c>
      <c r="H496" s="80">
        <v>2</v>
      </c>
      <c r="I496" s="80">
        <v>840</v>
      </c>
    </row>
    <row r="497" spans="1:9" x14ac:dyDescent="0.25">
      <c r="A497" s="80">
        <v>496</v>
      </c>
      <c r="B497" s="80">
        <v>76</v>
      </c>
      <c r="C497" s="80">
        <v>3</v>
      </c>
      <c r="D497" s="80" t="s">
        <v>3301</v>
      </c>
      <c r="E497" s="80">
        <v>796</v>
      </c>
      <c r="F497" s="80">
        <v>0.43</v>
      </c>
      <c r="G497" s="80">
        <v>1</v>
      </c>
      <c r="H497" s="80">
        <v>2</v>
      </c>
      <c r="I497" s="80">
        <v>840</v>
      </c>
    </row>
    <row r="498" spans="1:9" x14ac:dyDescent="0.25">
      <c r="A498" s="80">
        <v>497</v>
      </c>
      <c r="B498" s="80">
        <v>76</v>
      </c>
      <c r="C498" s="80">
        <v>4</v>
      </c>
      <c r="D498" s="80" t="s">
        <v>3505</v>
      </c>
      <c r="E498" s="80">
        <v>796</v>
      </c>
      <c r="F498" s="80">
        <v>0.43</v>
      </c>
      <c r="G498" s="80">
        <v>2</v>
      </c>
      <c r="H498" s="80">
        <v>4</v>
      </c>
      <c r="I498" s="80">
        <v>840</v>
      </c>
    </row>
    <row r="499" spans="1:9" x14ac:dyDescent="0.25">
      <c r="A499" s="80">
        <v>498</v>
      </c>
      <c r="B499" s="80">
        <v>76</v>
      </c>
      <c r="C499" s="80">
        <v>5</v>
      </c>
      <c r="D499" s="80" t="s">
        <v>3321</v>
      </c>
      <c r="E499" s="80">
        <v>796</v>
      </c>
      <c r="F499" s="80">
        <v>0.43</v>
      </c>
      <c r="G499" s="80">
        <v>1</v>
      </c>
      <c r="H499" s="80">
        <v>1</v>
      </c>
      <c r="I499" s="80">
        <v>840</v>
      </c>
    </row>
    <row r="500" spans="1:9" x14ac:dyDescent="0.25">
      <c r="A500" s="80">
        <v>499</v>
      </c>
      <c r="B500" s="80">
        <v>76</v>
      </c>
      <c r="C500" s="80">
        <v>6</v>
      </c>
      <c r="D500" s="80" t="s">
        <v>3287</v>
      </c>
      <c r="E500" s="80">
        <v>796</v>
      </c>
      <c r="F500" s="80">
        <v>0.43</v>
      </c>
      <c r="G500" s="80">
        <v>2</v>
      </c>
      <c r="H500" s="80">
        <v>2</v>
      </c>
      <c r="I500" s="80">
        <v>840</v>
      </c>
    </row>
    <row r="501" spans="1:9" x14ac:dyDescent="0.25">
      <c r="A501" s="80">
        <v>500</v>
      </c>
      <c r="B501" s="80">
        <v>76</v>
      </c>
      <c r="C501" s="80">
        <v>7</v>
      </c>
      <c r="D501" s="80" t="s">
        <v>3265</v>
      </c>
      <c r="E501" s="80">
        <v>796</v>
      </c>
      <c r="F501" s="80">
        <v>0.43</v>
      </c>
      <c r="G501" s="80">
        <v>1</v>
      </c>
      <c r="H501" s="80">
        <v>1</v>
      </c>
      <c r="I501" s="80">
        <v>840</v>
      </c>
    </row>
    <row r="502" spans="1:9" x14ac:dyDescent="0.25">
      <c r="A502" s="80">
        <v>501</v>
      </c>
      <c r="B502" s="80">
        <v>76</v>
      </c>
      <c r="C502" s="80">
        <v>8</v>
      </c>
      <c r="D502" s="80" t="s">
        <v>3506</v>
      </c>
      <c r="E502" s="80">
        <v>796</v>
      </c>
      <c r="F502" s="80">
        <v>0.43</v>
      </c>
      <c r="G502" s="80">
        <v>1</v>
      </c>
      <c r="H502" s="80">
        <v>2</v>
      </c>
      <c r="I502" s="80">
        <v>840</v>
      </c>
    </row>
    <row r="503" spans="1:9" x14ac:dyDescent="0.25">
      <c r="A503" s="80">
        <v>502</v>
      </c>
      <c r="B503" s="80">
        <v>77</v>
      </c>
      <c r="C503" s="80">
        <v>1</v>
      </c>
      <c r="D503" s="80" t="s">
        <v>3265</v>
      </c>
      <c r="E503" s="80">
        <v>796</v>
      </c>
      <c r="F503" s="80">
        <v>0.6</v>
      </c>
      <c r="G503" s="80">
        <v>3</v>
      </c>
      <c r="H503" s="80">
        <v>3</v>
      </c>
      <c r="I503" s="80">
        <v>840</v>
      </c>
    </row>
    <row r="504" spans="1:9" x14ac:dyDescent="0.25">
      <c r="A504" s="80">
        <v>503</v>
      </c>
      <c r="B504" s="80">
        <v>77</v>
      </c>
      <c r="C504" s="80">
        <v>2</v>
      </c>
      <c r="D504" s="80" t="s">
        <v>3301</v>
      </c>
      <c r="E504" s="80">
        <v>796</v>
      </c>
      <c r="F504" s="80">
        <v>0.6</v>
      </c>
      <c r="G504" s="80">
        <v>2</v>
      </c>
      <c r="H504" s="80">
        <v>2</v>
      </c>
      <c r="I504" s="80">
        <v>840</v>
      </c>
    </row>
    <row r="505" spans="1:9" x14ac:dyDescent="0.25">
      <c r="A505" s="80">
        <v>504</v>
      </c>
      <c r="B505" s="80">
        <v>77</v>
      </c>
      <c r="C505" s="80">
        <v>3</v>
      </c>
      <c r="D505" s="80" t="s">
        <v>3324</v>
      </c>
      <c r="E505" s="80">
        <v>796</v>
      </c>
      <c r="F505" s="80">
        <v>0.6</v>
      </c>
      <c r="G505" s="80">
        <v>3</v>
      </c>
      <c r="H505" s="80">
        <v>3</v>
      </c>
      <c r="I505" s="80">
        <v>840</v>
      </c>
    </row>
    <row r="506" spans="1:9" x14ac:dyDescent="0.25">
      <c r="A506" s="80">
        <v>505</v>
      </c>
      <c r="B506" s="80">
        <v>77</v>
      </c>
      <c r="C506" s="80">
        <v>4</v>
      </c>
      <c r="D506" s="80" t="s">
        <v>3289</v>
      </c>
      <c r="E506" s="80">
        <v>796</v>
      </c>
      <c r="F506" s="80">
        <v>0.6</v>
      </c>
      <c r="G506" s="80">
        <v>3</v>
      </c>
      <c r="H506" s="80">
        <v>3</v>
      </c>
      <c r="I506" s="80">
        <v>840</v>
      </c>
    </row>
    <row r="507" spans="1:9" x14ac:dyDescent="0.25">
      <c r="A507" s="80">
        <v>506</v>
      </c>
      <c r="B507" s="80">
        <v>77</v>
      </c>
      <c r="C507" s="80">
        <v>5</v>
      </c>
      <c r="D507" s="80" t="s">
        <v>3342</v>
      </c>
      <c r="E507" s="80">
        <v>796</v>
      </c>
      <c r="F507" s="80">
        <v>0.6</v>
      </c>
      <c r="G507" s="80">
        <v>2</v>
      </c>
      <c r="H507" s="80">
        <v>2</v>
      </c>
      <c r="I507" s="80">
        <v>840</v>
      </c>
    </row>
    <row r="508" spans="1:9" x14ac:dyDescent="0.25">
      <c r="A508" s="80">
        <v>507</v>
      </c>
      <c r="B508" s="80">
        <v>77</v>
      </c>
      <c r="C508" s="80">
        <v>6</v>
      </c>
      <c r="D508" s="80" t="s">
        <v>3266</v>
      </c>
      <c r="E508" s="80">
        <v>796</v>
      </c>
      <c r="F508" s="80">
        <v>0.6</v>
      </c>
      <c r="G508" s="80">
        <v>1</v>
      </c>
      <c r="H508" s="80">
        <v>1</v>
      </c>
      <c r="I508" s="80">
        <v>840</v>
      </c>
    </row>
    <row r="509" spans="1:9" x14ac:dyDescent="0.25">
      <c r="A509" s="80">
        <v>508</v>
      </c>
      <c r="B509" s="80">
        <v>77</v>
      </c>
      <c r="C509" s="80">
        <v>7</v>
      </c>
      <c r="D509" s="80" t="s">
        <v>3321</v>
      </c>
      <c r="E509" s="80">
        <v>796</v>
      </c>
      <c r="F509" s="80">
        <v>0.6</v>
      </c>
      <c r="G509" s="80">
        <v>3</v>
      </c>
      <c r="H509" s="80">
        <v>6</v>
      </c>
      <c r="I509" s="80">
        <v>840</v>
      </c>
    </row>
    <row r="510" spans="1:9" x14ac:dyDescent="0.25">
      <c r="A510" s="80">
        <v>509</v>
      </c>
      <c r="B510" s="80">
        <v>77</v>
      </c>
      <c r="C510" s="80">
        <v>8</v>
      </c>
      <c r="D510" s="80" t="s">
        <v>3258</v>
      </c>
      <c r="E510" s="80">
        <v>796</v>
      </c>
      <c r="F510" s="80">
        <v>0.6</v>
      </c>
      <c r="G510" s="80">
        <v>1</v>
      </c>
      <c r="H510" s="80">
        <v>1</v>
      </c>
      <c r="I510" s="80">
        <v>840</v>
      </c>
    </row>
    <row r="511" spans="1:9" x14ac:dyDescent="0.25">
      <c r="A511" s="80">
        <v>510</v>
      </c>
      <c r="B511" s="80">
        <v>77</v>
      </c>
      <c r="C511" s="80">
        <v>9</v>
      </c>
      <c r="D511" s="80" t="s">
        <v>3375</v>
      </c>
      <c r="E511" s="80">
        <v>796</v>
      </c>
      <c r="F511" s="80">
        <v>0.6</v>
      </c>
      <c r="G511" s="80">
        <v>3</v>
      </c>
      <c r="H511" s="80">
        <v>6</v>
      </c>
      <c r="I511" s="80">
        <v>840</v>
      </c>
    </row>
    <row r="512" spans="1:9" x14ac:dyDescent="0.25">
      <c r="A512" s="80">
        <v>511</v>
      </c>
      <c r="B512" s="80">
        <v>77</v>
      </c>
      <c r="C512" s="80">
        <v>10</v>
      </c>
      <c r="D512" s="80" t="s">
        <v>3507</v>
      </c>
      <c r="E512" s="80">
        <v>796</v>
      </c>
      <c r="F512" s="80">
        <v>0.6</v>
      </c>
      <c r="G512" s="80">
        <v>2</v>
      </c>
      <c r="H512" s="80">
        <v>4</v>
      </c>
      <c r="I512" s="80">
        <v>840</v>
      </c>
    </row>
    <row r="513" spans="1:9" x14ac:dyDescent="0.25">
      <c r="A513" s="80">
        <v>512</v>
      </c>
      <c r="B513" s="80">
        <v>78</v>
      </c>
      <c r="C513" s="80">
        <v>1</v>
      </c>
      <c r="D513" s="80" t="s">
        <v>3291</v>
      </c>
      <c r="E513" s="80">
        <v>796</v>
      </c>
      <c r="F513" s="80">
        <v>0.5</v>
      </c>
      <c r="G513" s="80">
        <v>2</v>
      </c>
      <c r="H513" s="80">
        <v>2</v>
      </c>
      <c r="I513" s="80">
        <v>840</v>
      </c>
    </row>
    <row r="514" spans="1:9" x14ac:dyDescent="0.25">
      <c r="A514" s="80">
        <v>513</v>
      </c>
      <c r="B514" s="80">
        <v>78</v>
      </c>
      <c r="C514" s="80">
        <v>2</v>
      </c>
      <c r="D514" s="80" t="s">
        <v>3508</v>
      </c>
      <c r="E514" s="80">
        <v>796</v>
      </c>
      <c r="F514" s="80">
        <v>0.5</v>
      </c>
      <c r="G514" s="80">
        <v>3</v>
      </c>
      <c r="H514" s="80">
        <v>6</v>
      </c>
      <c r="I514" s="80">
        <v>840</v>
      </c>
    </row>
    <row r="515" spans="1:9" x14ac:dyDescent="0.25">
      <c r="A515" s="80">
        <v>514</v>
      </c>
      <c r="B515" s="80">
        <v>78</v>
      </c>
      <c r="C515" s="80">
        <v>3</v>
      </c>
      <c r="D515" s="80" t="s">
        <v>3509</v>
      </c>
      <c r="E515" s="80">
        <v>796</v>
      </c>
      <c r="F515" s="80">
        <v>0.5</v>
      </c>
      <c r="G515" s="80">
        <v>3</v>
      </c>
      <c r="H515" s="80">
        <v>6</v>
      </c>
      <c r="I515" s="80">
        <v>840</v>
      </c>
    </row>
    <row r="516" spans="1:9" x14ac:dyDescent="0.25">
      <c r="A516" s="80">
        <v>515</v>
      </c>
      <c r="B516" s="80">
        <v>79</v>
      </c>
      <c r="C516" s="80">
        <v>1</v>
      </c>
      <c r="D516" s="80" t="s">
        <v>3324</v>
      </c>
      <c r="E516" s="80">
        <v>796</v>
      </c>
      <c r="F516" s="80">
        <v>0.5</v>
      </c>
      <c r="G516" s="80">
        <v>2</v>
      </c>
      <c r="H516" s="80">
        <v>4</v>
      </c>
      <c r="I516" s="80">
        <v>840</v>
      </c>
    </row>
    <row r="517" spans="1:9" x14ac:dyDescent="0.25">
      <c r="A517" s="80">
        <v>516</v>
      </c>
      <c r="B517" s="80">
        <v>79</v>
      </c>
      <c r="C517" s="80">
        <v>2</v>
      </c>
      <c r="D517" s="80" t="s">
        <v>3313</v>
      </c>
      <c r="E517" s="80">
        <v>796</v>
      </c>
      <c r="F517" s="80">
        <v>0.5</v>
      </c>
      <c r="G517" s="80">
        <v>2</v>
      </c>
      <c r="H517" s="80">
        <v>2</v>
      </c>
      <c r="I517" s="80">
        <v>840</v>
      </c>
    </row>
    <row r="518" spans="1:9" x14ac:dyDescent="0.25">
      <c r="A518" s="80">
        <v>517</v>
      </c>
      <c r="B518" s="80">
        <v>80</v>
      </c>
      <c r="C518" s="80">
        <v>1</v>
      </c>
      <c r="D518" s="80" t="s">
        <v>3358</v>
      </c>
      <c r="E518" s="80">
        <v>796</v>
      </c>
      <c r="F518" s="80">
        <v>0.19</v>
      </c>
      <c r="G518" s="80">
        <v>1</v>
      </c>
      <c r="H518" s="80">
        <v>2</v>
      </c>
      <c r="I518" s="80">
        <v>840</v>
      </c>
    </row>
    <row r="519" spans="1:9" x14ac:dyDescent="0.25">
      <c r="A519" s="80">
        <v>518</v>
      </c>
      <c r="B519" s="80">
        <v>80</v>
      </c>
      <c r="C519" s="80">
        <v>2</v>
      </c>
      <c r="D519" s="80" t="s">
        <v>3313</v>
      </c>
      <c r="E519" s="80">
        <v>796</v>
      </c>
      <c r="F519" s="80">
        <v>0.19</v>
      </c>
      <c r="G519" s="80">
        <v>3</v>
      </c>
      <c r="H519" s="80">
        <v>3</v>
      </c>
      <c r="I519" s="80">
        <v>840</v>
      </c>
    </row>
    <row r="520" spans="1:9" x14ac:dyDescent="0.25">
      <c r="A520" s="80">
        <v>519</v>
      </c>
      <c r="B520" s="80">
        <v>80</v>
      </c>
      <c r="C520" s="80">
        <v>3</v>
      </c>
      <c r="D520" s="80" t="s">
        <v>3500</v>
      </c>
      <c r="E520" s="80">
        <v>796</v>
      </c>
      <c r="F520" s="80">
        <v>0.19</v>
      </c>
      <c r="G520" s="80">
        <v>3</v>
      </c>
      <c r="H520" s="80">
        <v>6</v>
      </c>
      <c r="I520" s="80">
        <v>840</v>
      </c>
    </row>
    <row r="521" spans="1:9" x14ac:dyDescent="0.25">
      <c r="A521" s="80">
        <v>520</v>
      </c>
      <c r="B521" s="80">
        <v>80</v>
      </c>
      <c r="C521" s="80">
        <v>4</v>
      </c>
      <c r="D521" s="80" t="s">
        <v>3287</v>
      </c>
      <c r="E521" s="80">
        <v>796</v>
      </c>
      <c r="F521" s="80">
        <v>0.19</v>
      </c>
      <c r="G521" s="80">
        <v>3</v>
      </c>
      <c r="H521" s="80">
        <v>6</v>
      </c>
      <c r="I521" s="80">
        <v>840</v>
      </c>
    </row>
    <row r="522" spans="1:9" x14ac:dyDescent="0.25">
      <c r="A522" s="80">
        <v>521</v>
      </c>
      <c r="B522" s="80">
        <v>80</v>
      </c>
      <c r="C522" s="80">
        <v>5</v>
      </c>
      <c r="D522" s="80" t="s">
        <v>3324</v>
      </c>
      <c r="E522" s="80">
        <v>796</v>
      </c>
      <c r="F522" s="80">
        <v>0.19</v>
      </c>
      <c r="G522" s="80">
        <v>1</v>
      </c>
      <c r="H522" s="80">
        <v>2</v>
      </c>
      <c r="I522" s="80">
        <v>840</v>
      </c>
    </row>
    <row r="523" spans="1:9" x14ac:dyDescent="0.25">
      <c r="A523" s="80">
        <v>522</v>
      </c>
      <c r="B523" s="80">
        <v>80</v>
      </c>
      <c r="C523" s="80">
        <v>6</v>
      </c>
      <c r="D523" s="80" t="s">
        <v>3321</v>
      </c>
      <c r="E523" s="80">
        <v>796</v>
      </c>
      <c r="F523" s="80">
        <v>0.19</v>
      </c>
      <c r="G523" s="80">
        <v>3</v>
      </c>
      <c r="H523" s="80">
        <v>3</v>
      </c>
      <c r="I523" s="80">
        <v>840</v>
      </c>
    </row>
    <row r="524" spans="1:9" x14ac:dyDescent="0.25">
      <c r="A524" s="80">
        <v>523</v>
      </c>
      <c r="B524" s="80">
        <v>80</v>
      </c>
      <c r="C524" s="80">
        <v>7</v>
      </c>
      <c r="D524" s="80" t="s">
        <v>3258</v>
      </c>
      <c r="E524" s="80">
        <v>796</v>
      </c>
      <c r="F524" s="80">
        <v>0.19</v>
      </c>
      <c r="G524" s="80">
        <v>3</v>
      </c>
      <c r="H524" s="80">
        <v>3</v>
      </c>
      <c r="I524" s="80">
        <v>840</v>
      </c>
    </row>
    <row r="525" spans="1:9" x14ac:dyDescent="0.25">
      <c r="A525" s="80">
        <v>524</v>
      </c>
      <c r="B525" s="80">
        <v>80</v>
      </c>
      <c r="C525" s="80">
        <v>8</v>
      </c>
      <c r="D525" s="80" t="s">
        <v>3400</v>
      </c>
      <c r="E525" s="80">
        <v>796</v>
      </c>
      <c r="F525" s="80">
        <v>0.19</v>
      </c>
      <c r="G525" s="80">
        <v>2</v>
      </c>
      <c r="H525" s="80">
        <v>2</v>
      </c>
      <c r="I525" s="80">
        <v>840</v>
      </c>
    </row>
    <row r="526" spans="1:9" x14ac:dyDescent="0.25">
      <c r="A526" s="80">
        <v>525</v>
      </c>
      <c r="B526" s="80">
        <v>81</v>
      </c>
      <c r="C526" s="80">
        <v>1</v>
      </c>
      <c r="D526" s="80" t="s">
        <v>3297</v>
      </c>
      <c r="E526" s="80">
        <v>796</v>
      </c>
      <c r="F526" s="80">
        <v>0.98</v>
      </c>
      <c r="G526" s="80">
        <v>1</v>
      </c>
      <c r="H526" s="80">
        <v>2</v>
      </c>
      <c r="I526" s="80">
        <v>840</v>
      </c>
    </row>
    <row r="527" spans="1:9" x14ac:dyDescent="0.25">
      <c r="A527" s="80">
        <v>526</v>
      </c>
      <c r="B527" s="80">
        <v>81</v>
      </c>
      <c r="C527" s="80">
        <v>2</v>
      </c>
      <c r="D527" s="80" t="s">
        <v>3510</v>
      </c>
      <c r="E527" s="80">
        <v>796</v>
      </c>
      <c r="F527" s="80">
        <v>0.98</v>
      </c>
      <c r="G527" s="80">
        <v>3</v>
      </c>
      <c r="H527" s="80">
        <v>3</v>
      </c>
      <c r="I527" s="80">
        <v>840</v>
      </c>
    </row>
    <row r="528" spans="1:9" x14ac:dyDescent="0.25">
      <c r="A528" s="80">
        <v>527</v>
      </c>
      <c r="B528" s="80">
        <v>81</v>
      </c>
      <c r="C528" s="80">
        <v>3</v>
      </c>
      <c r="D528" s="80" t="s">
        <v>3511</v>
      </c>
      <c r="E528" s="80">
        <v>796</v>
      </c>
      <c r="F528" s="80">
        <v>0.98</v>
      </c>
      <c r="G528" s="80">
        <v>2</v>
      </c>
      <c r="H528" s="80">
        <v>4</v>
      </c>
      <c r="I528" s="80">
        <v>840</v>
      </c>
    </row>
    <row r="529" spans="1:9" x14ac:dyDescent="0.25">
      <c r="A529" s="80">
        <v>528</v>
      </c>
      <c r="B529" s="80">
        <v>81</v>
      </c>
      <c r="C529" s="80">
        <v>4</v>
      </c>
      <c r="D529" s="80" t="s">
        <v>3400</v>
      </c>
      <c r="E529" s="80">
        <v>796</v>
      </c>
      <c r="F529" s="80">
        <v>0.98</v>
      </c>
      <c r="G529" s="80">
        <v>1</v>
      </c>
      <c r="H529" s="80">
        <v>1</v>
      </c>
      <c r="I529" s="80">
        <v>840</v>
      </c>
    </row>
    <row r="530" spans="1:9" x14ac:dyDescent="0.25">
      <c r="A530" s="80">
        <v>529</v>
      </c>
      <c r="B530" s="80">
        <v>81</v>
      </c>
      <c r="C530" s="80">
        <v>5</v>
      </c>
      <c r="D530" s="80" t="s">
        <v>3512</v>
      </c>
      <c r="E530" s="80">
        <v>796</v>
      </c>
      <c r="F530" s="80">
        <v>0.98</v>
      </c>
      <c r="G530" s="80">
        <v>2</v>
      </c>
      <c r="H530" s="80">
        <v>4</v>
      </c>
      <c r="I530" s="80">
        <v>840</v>
      </c>
    </row>
    <row r="531" spans="1:9" x14ac:dyDescent="0.25">
      <c r="A531" s="80">
        <v>530</v>
      </c>
      <c r="B531" s="80">
        <v>82</v>
      </c>
      <c r="C531" s="80">
        <v>1</v>
      </c>
      <c r="D531" s="80" t="s">
        <v>3297</v>
      </c>
      <c r="E531" s="80">
        <v>796</v>
      </c>
      <c r="F531" s="80">
        <v>0.7</v>
      </c>
      <c r="G531" s="80">
        <v>1</v>
      </c>
      <c r="H531" s="80">
        <v>2</v>
      </c>
      <c r="I531" s="80">
        <v>840</v>
      </c>
    </row>
    <row r="532" spans="1:9" x14ac:dyDescent="0.25">
      <c r="A532" s="80">
        <v>531</v>
      </c>
      <c r="B532" s="80">
        <v>82</v>
      </c>
      <c r="C532" s="80">
        <v>2</v>
      </c>
      <c r="D532" s="80" t="s">
        <v>3328</v>
      </c>
      <c r="E532" s="80">
        <v>796</v>
      </c>
      <c r="F532" s="80">
        <v>0.7</v>
      </c>
      <c r="G532" s="80">
        <v>2</v>
      </c>
      <c r="H532" s="80">
        <v>2</v>
      </c>
      <c r="I532" s="80">
        <v>840</v>
      </c>
    </row>
    <row r="533" spans="1:9" x14ac:dyDescent="0.25">
      <c r="A533" s="80">
        <v>532</v>
      </c>
      <c r="B533" s="80">
        <v>82</v>
      </c>
      <c r="C533" s="80">
        <v>3</v>
      </c>
      <c r="D533" s="80" t="s">
        <v>3301</v>
      </c>
      <c r="E533" s="80">
        <v>796</v>
      </c>
      <c r="F533" s="80">
        <v>0.7</v>
      </c>
      <c r="G533" s="80">
        <v>1</v>
      </c>
      <c r="H533" s="80">
        <v>2</v>
      </c>
      <c r="I533" s="80">
        <v>840</v>
      </c>
    </row>
    <row r="534" spans="1:9" x14ac:dyDescent="0.25">
      <c r="A534" s="80">
        <v>533</v>
      </c>
      <c r="B534" s="80">
        <v>82</v>
      </c>
      <c r="C534" s="80">
        <v>4</v>
      </c>
      <c r="D534" s="80" t="s">
        <v>3260</v>
      </c>
      <c r="E534" s="80">
        <v>796</v>
      </c>
      <c r="F534" s="80">
        <v>0.7</v>
      </c>
      <c r="G534" s="80">
        <v>2</v>
      </c>
      <c r="H534" s="80">
        <v>4</v>
      </c>
      <c r="I534" s="80">
        <v>840</v>
      </c>
    </row>
    <row r="535" spans="1:9" x14ac:dyDescent="0.25">
      <c r="A535" s="80">
        <v>534</v>
      </c>
      <c r="B535" s="80">
        <v>83</v>
      </c>
      <c r="C535" s="80">
        <v>1</v>
      </c>
      <c r="D535" s="80" t="s">
        <v>3313</v>
      </c>
      <c r="E535" s="80">
        <v>796</v>
      </c>
      <c r="F535" s="80">
        <v>0.24</v>
      </c>
      <c r="G535" s="80">
        <v>1</v>
      </c>
      <c r="H535" s="80">
        <v>1</v>
      </c>
      <c r="I535" s="80">
        <v>840</v>
      </c>
    </row>
    <row r="536" spans="1:9" x14ac:dyDescent="0.25">
      <c r="A536" s="80">
        <v>535</v>
      </c>
      <c r="B536" s="80">
        <v>83</v>
      </c>
      <c r="C536" s="80">
        <v>2</v>
      </c>
      <c r="D536" s="80" t="s">
        <v>3374</v>
      </c>
      <c r="E536" s="80">
        <v>796</v>
      </c>
      <c r="F536" s="80">
        <v>0.24</v>
      </c>
      <c r="G536" s="80">
        <v>3</v>
      </c>
      <c r="H536" s="80">
        <v>3</v>
      </c>
      <c r="I536" s="80">
        <v>840</v>
      </c>
    </row>
    <row r="537" spans="1:9" x14ac:dyDescent="0.25">
      <c r="A537" s="80">
        <v>536</v>
      </c>
      <c r="B537" s="80">
        <v>83</v>
      </c>
      <c r="C537" s="80">
        <v>3</v>
      </c>
      <c r="D537" s="80" t="s">
        <v>3301</v>
      </c>
      <c r="E537" s="80">
        <v>796</v>
      </c>
      <c r="F537" s="80">
        <v>0.24</v>
      </c>
      <c r="G537" s="80">
        <v>3</v>
      </c>
      <c r="H537" s="80">
        <v>3</v>
      </c>
      <c r="I537" s="80">
        <v>840</v>
      </c>
    </row>
    <row r="538" spans="1:9" x14ac:dyDescent="0.25">
      <c r="A538" s="80">
        <v>537</v>
      </c>
      <c r="B538" s="80">
        <v>83</v>
      </c>
      <c r="C538" s="80">
        <v>4</v>
      </c>
      <c r="D538" s="80" t="s">
        <v>3516</v>
      </c>
      <c r="E538" s="80">
        <v>796</v>
      </c>
      <c r="F538" s="80">
        <v>0.24</v>
      </c>
      <c r="G538" s="80">
        <v>1</v>
      </c>
      <c r="H538" s="80">
        <v>1</v>
      </c>
      <c r="I538" s="80">
        <v>840</v>
      </c>
    </row>
    <row r="539" spans="1:9" x14ac:dyDescent="0.25">
      <c r="A539" s="80">
        <v>538</v>
      </c>
      <c r="B539" s="80">
        <v>83</v>
      </c>
      <c r="C539" s="80">
        <v>5</v>
      </c>
      <c r="D539" s="80" t="s">
        <v>3517</v>
      </c>
      <c r="E539" s="80">
        <v>796</v>
      </c>
      <c r="F539" s="80">
        <v>0.24</v>
      </c>
      <c r="G539" s="80">
        <v>3</v>
      </c>
      <c r="H539" s="80">
        <v>6</v>
      </c>
      <c r="I539" s="80">
        <v>840</v>
      </c>
    </row>
    <row r="540" spans="1:9" x14ac:dyDescent="0.25">
      <c r="A540" s="80">
        <v>539</v>
      </c>
      <c r="B540" s="80">
        <v>84</v>
      </c>
      <c r="C540" s="80">
        <v>1</v>
      </c>
      <c r="D540" s="80" t="s">
        <v>3518</v>
      </c>
      <c r="E540" s="80">
        <v>796</v>
      </c>
      <c r="F540" s="80">
        <v>0.64</v>
      </c>
      <c r="G540" s="80">
        <v>1</v>
      </c>
      <c r="H540" s="80">
        <v>1</v>
      </c>
      <c r="I540" s="80">
        <v>840</v>
      </c>
    </row>
    <row r="541" spans="1:9" x14ac:dyDescent="0.25">
      <c r="A541" s="80">
        <v>540</v>
      </c>
      <c r="B541" s="80">
        <v>84</v>
      </c>
      <c r="C541" s="80">
        <v>2</v>
      </c>
      <c r="D541" s="80" t="s">
        <v>3294</v>
      </c>
      <c r="E541" s="80">
        <v>796</v>
      </c>
      <c r="F541" s="80">
        <v>0.64</v>
      </c>
      <c r="G541" s="80">
        <v>3</v>
      </c>
      <c r="H541" s="80">
        <v>6</v>
      </c>
      <c r="I541" s="80">
        <v>840</v>
      </c>
    </row>
    <row r="542" spans="1:9" x14ac:dyDescent="0.25">
      <c r="A542" s="80">
        <v>541</v>
      </c>
      <c r="B542" s="80">
        <v>84</v>
      </c>
      <c r="C542" s="80">
        <v>3</v>
      </c>
      <c r="D542" s="80" t="s">
        <v>3519</v>
      </c>
      <c r="E542" s="80">
        <v>796</v>
      </c>
      <c r="F542" s="80">
        <v>0.64</v>
      </c>
      <c r="G542" s="80">
        <v>2</v>
      </c>
      <c r="H542" s="80">
        <v>4</v>
      </c>
      <c r="I542" s="80">
        <v>840</v>
      </c>
    </row>
    <row r="543" spans="1:9" x14ac:dyDescent="0.25">
      <c r="A543" s="80">
        <v>542</v>
      </c>
      <c r="B543" s="80">
        <v>84</v>
      </c>
      <c r="C543" s="80">
        <v>4</v>
      </c>
      <c r="D543" s="80" t="s">
        <v>3274</v>
      </c>
      <c r="E543" s="80">
        <v>796</v>
      </c>
      <c r="F543" s="80">
        <v>0.64</v>
      </c>
      <c r="G543" s="80">
        <v>1</v>
      </c>
      <c r="H543" s="80">
        <v>2</v>
      </c>
      <c r="I543" s="80">
        <v>840</v>
      </c>
    </row>
    <row r="544" spans="1:9" x14ac:dyDescent="0.25">
      <c r="A544" s="80">
        <v>543</v>
      </c>
      <c r="B544" s="80">
        <v>84</v>
      </c>
      <c r="C544" s="80">
        <v>5</v>
      </c>
      <c r="D544" s="80" t="s">
        <v>3310</v>
      </c>
      <c r="E544" s="80">
        <v>796</v>
      </c>
      <c r="F544" s="80">
        <v>0.64</v>
      </c>
      <c r="G544" s="80">
        <v>1</v>
      </c>
      <c r="H544" s="80">
        <v>1</v>
      </c>
      <c r="I544" s="80">
        <v>840</v>
      </c>
    </row>
    <row r="545" spans="1:9" x14ac:dyDescent="0.25">
      <c r="A545" s="80">
        <v>544</v>
      </c>
      <c r="B545" s="80">
        <v>84</v>
      </c>
      <c r="C545" s="80">
        <v>6</v>
      </c>
      <c r="D545" s="80" t="s">
        <v>3520</v>
      </c>
      <c r="E545" s="80">
        <v>796</v>
      </c>
      <c r="F545" s="80">
        <v>0.64</v>
      </c>
      <c r="G545" s="80">
        <v>1</v>
      </c>
      <c r="H545" s="80">
        <v>2</v>
      </c>
      <c r="I545" s="80">
        <v>840</v>
      </c>
    </row>
    <row r="546" spans="1:9" x14ac:dyDescent="0.25">
      <c r="A546" s="80">
        <v>545</v>
      </c>
      <c r="B546" s="80">
        <v>84</v>
      </c>
      <c r="C546" s="80">
        <v>7</v>
      </c>
      <c r="D546" s="80" t="s">
        <v>3301</v>
      </c>
      <c r="E546" s="80">
        <v>796</v>
      </c>
      <c r="F546" s="80">
        <v>0.64</v>
      </c>
      <c r="G546" s="80">
        <v>2</v>
      </c>
      <c r="H546" s="80">
        <v>4</v>
      </c>
      <c r="I546" s="80">
        <v>840</v>
      </c>
    </row>
    <row r="547" spans="1:9" x14ac:dyDescent="0.25">
      <c r="A547" s="80">
        <v>546</v>
      </c>
      <c r="B547" s="80">
        <v>84</v>
      </c>
      <c r="C547" s="80">
        <v>8</v>
      </c>
      <c r="D547" s="80" t="s">
        <v>3425</v>
      </c>
      <c r="E547" s="80">
        <v>796</v>
      </c>
      <c r="F547" s="80">
        <v>0.64</v>
      </c>
      <c r="G547" s="80">
        <v>3</v>
      </c>
      <c r="H547" s="80">
        <v>6</v>
      </c>
      <c r="I547" s="80">
        <v>840</v>
      </c>
    </row>
    <row r="548" spans="1:9" x14ac:dyDescent="0.25">
      <c r="A548" s="80">
        <v>547</v>
      </c>
      <c r="B548" s="80">
        <v>84</v>
      </c>
      <c r="C548" s="80">
        <v>9</v>
      </c>
      <c r="D548" s="80" t="s">
        <v>3521</v>
      </c>
      <c r="E548" s="80">
        <v>796</v>
      </c>
      <c r="F548" s="80">
        <v>0.64</v>
      </c>
      <c r="G548" s="80">
        <v>1</v>
      </c>
      <c r="H548" s="80">
        <v>1</v>
      </c>
      <c r="I548" s="80">
        <v>840</v>
      </c>
    </row>
    <row r="549" spans="1:9" x14ac:dyDescent="0.25">
      <c r="A549" s="80">
        <v>548</v>
      </c>
      <c r="B549" s="80">
        <v>84</v>
      </c>
      <c r="C549" s="80">
        <v>10</v>
      </c>
      <c r="D549" s="80" t="s">
        <v>3260</v>
      </c>
      <c r="E549" s="80">
        <v>796</v>
      </c>
      <c r="F549" s="80">
        <v>0.64</v>
      </c>
      <c r="G549" s="80">
        <v>1</v>
      </c>
      <c r="H549" s="80">
        <v>1</v>
      </c>
      <c r="I549" s="80">
        <v>840</v>
      </c>
    </row>
    <row r="550" spans="1:9" x14ac:dyDescent="0.25">
      <c r="A550" s="80">
        <v>549</v>
      </c>
      <c r="B550" s="80">
        <v>84</v>
      </c>
      <c r="C550" s="80">
        <v>11</v>
      </c>
      <c r="D550" s="80" t="s">
        <v>3522</v>
      </c>
      <c r="E550" s="80">
        <v>796</v>
      </c>
      <c r="F550" s="80">
        <v>0.64</v>
      </c>
      <c r="G550" s="80">
        <v>3</v>
      </c>
      <c r="H550" s="80">
        <v>3</v>
      </c>
      <c r="I550" s="80">
        <v>840</v>
      </c>
    </row>
    <row r="551" spans="1:9" x14ac:dyDescent="0.25">
      <c r="A551" s="80">
        <v>550</v>
      </c>
      <c r="B551" s="80">
        <v>84</v>
      </c>
      <c r="C551" s="80">
        <v>12</v>
      </c>
      <c r="D551" s="80" t="s">
        <v>3337</v>
      </c>
      <c r="E551" s="80">
        <v>796</v>
      </c>
      <c r="F551" s="80">
        <v>0.64</v>
      </c>
      <c r="G551" s="80">
        <v>2</v>
      </c>
      <c r="H551" s="80">
        <v>4</v>
      </c>
      <c r="I551" s="80">
        <v>840</v>
      </c>
    </row>
    <row r="552" spans="1:9" x14ac:dyDescent="0.25">
      <c r="A552" s="80">
        <v>551</v>
      </c>
      <c r="B552" s="80">
        <v>84</v>
      </c>
      <c r="C552" s="80">
        <v>13</v>
      </c>
      <c r="D552" s="80" t="s">
        <v>3468</v>
      </c>
      <c r="E552" s="80">
        <v>796</v>
      </c>
      <c r="F552" s="80">
        <v>0.64</v>
      </c>
      <c r="G552" s="80">
        <v>1</v>
      </c>
      <c r="H552" s="80">
        <v>1</v>
      </c>
      <c r="I552" s="80">
        <v>840</v>
      </c>
    </row>
    <row r="553" spans="1:9" x14ac:dyDescent="0.25">
      <c r="A553" s="80">
        <v>552</v>
      </c>
      <c r="B553" s="80">
        <v>84</v>
      </c>
      <c r="C553" s="80">
        <v>14</v>
      </c>
      <c r="D553" s="80" t="s">
        <v>3352</v>
      </c>
      <c r="E553" s="80">
        <v>796</v>
      </c>
      <c r="F553" s="80">
        <v>0.64</v>
      </c>
      <c r="G553" s="80">
        <v>3</v>
      </c>
      <c r="H553" s="80">
        <v>6</v>
      </c>
      <c r="I553" s="80">
        <v>840</v>
      </c>
    </row>
    <row r="554" spans="1:9" x14ac:dyDescent="0.25">
      <c r="A554" s="80">
        <v>553</v>
      </c>
      <c r="B554" s="80">
        <v>84</v>
      </c>
      <c r="C554" s="80">
        <v>15</v>
      </c>
      <c r="D554" s="80" t="s">
        <v>3345</v>
      </c>
      <c r="E554" s="80">
        <v>796</v>
      </c>
      <c r="F554" s="80">
        <v>0.64</v>
      </c>
      <c r="G554" s="80">
        <v>2</v>
      </c>
      <c r="H554" s="80">
        <v>2</v>
      </c>
      <c r="I554" s="80">
        <v>840</v>
      </c>
    </row>
    <row r="555" spans="1:9" x14ac:dyDescent="0.25">
      <c r="A555" s="80">
        <v>554</v>
      </c>
      <c r="B555" s="80">
        <v>84</v>
      </c>
      <c r="C555" s="80">
        <v>16</v>
      </c>
      <c r="D555" s="80" t="s">
        <v>3523</v>
      </c>
      <c r="E555" s="80">
        <v>796</v>
      </c>
      <c r="F555" s="80">
        <v>0.64</v>
      </c>
      <c r="G555" s="80">
        <v>2</v>
      </c>
      <c r="H555" s="80">
        <v>2</v>
      </c>
      <c r="I555" s="80">
        <v>840</v>
      </c>
    </row>
    <row r="556" spans="1:9" x14ac:dyDescent="0.25">
      <c r="A556" s="80">
        <v>555</v>
      </c>
      <c r="B556" s="80">
        <v>84</v>
      </c>
      <c r="C556" s="80">
        <v>17</v>
      </c>
      <c r="D556" s="80" t="s">
        <v>3524</v>
      </c>
      <c r="E556" s="80">
        <v>796</v>
      </c>
      <c r="F556" s="80">
        <v>0.64</v>
      </c>
      <c r="G556" s="80">
        <v>1</v>
      </c>
      <c r="H556" s="80">
        <v>2</v>
      </c>
      <c r="I556" s="80">
        <v>840</v>
      </c>
    </row>
    <row r="557" spans="1:9" x14ac:dyDescent="0.25">
      <c r="A557" s="80">
        <v>556</v>
      </c>
      <c r="B557" s="80">
        <v>85</v>
      </c>
      <c r="C557" s="80">
        <v>1</v>
      </c>
      <c r="D557" s="80" t="s">
        <v>3497</v>
      </c>
      <c r="E557" s="80">
        <v>796</v>
      </c>
      <c r="F557" s="80">
        <v>1.45</v>
      </c>
      <c r="G557" s="80">
        <v>3</v>
      </c>
      <c r="H557" s="80">
        <v>3</v>
      </c>
      <c r="I557" s="80">
        <v>840</v>
      </c>
    </row>
    <row r="558" spans="1:9" x14ac:dyDescent="0.25">
      <c r="A558" s="80">
        <v>557</v>
      </c>
      <c r="B558" s="80">
        <v>85</v>
      </c>
      <c r="C558" s="80">
        <v>2</v>
      </c>
      <c r="D558" s="80" t="s">
        <v>3525</v>
      </c>
      <c r="E558" s="80">
        <v>796</v>
      </c>
      <c r="F558" s="80">
        <v>1.45</v>
      </c>
      <c r="G558" s="80">
        <v>2</v>
      </c>
      <c r="H558" s="80">
        <v>2</v>
      </c>
      <c r="I558" s="80">
        <v>840</v>
      </c>
    </row>
    <row r="559" spans="1:9" x14ac:dyDescent="0.25">
      <c r="A559" s="80">
        <v>558</v>
      </c>
      <c r="B559" s="80">
        <v>86</v>
      </c>
      <c r="C559" s="80">
        <v>1</v>
      </c>
      <c r="D559" s="80" t="s">
        <v>3526</v>
      </c>
      <c r="E559" s="80">
        <v>796</v>
      </c>
      <c r="F559" s="80">
        <v>0.66</v>
      </c>
      <c r="G559" s="80">
        <v>1</v>
      </c>
      <c r="H559" s="80">
        <v>1</v>
      </c>
      <c r="I559" s="80">
        <v>840</v>
      </c>
    </row>
    <row r="560" spans="1:9" x14ac:dyDescent="0.25">
      <c r="A560" s="80">
        <v>559</v>
      </c>
      <c r="B560" s="80">
        <v>86</v>
      </c>
      <c r="C560" s="80">
        <v>2</v>
      </c>
      <c r="D560" s="80" t="s">
        <v>3527</v>
      </c>
      <c r="E560" s="80">
        <v>796</v>
      </c>
      <c r="F560" s="80">
        <v>0.66</v>
      </c>
      <c r="G560" s="80">
        <v>3</v>
      </c>
      <c r="H560" s="80">
        <v>3</v>
      </c>
      <c r="I560" s="80">
        <v>840</v>
      </c>
    </row>
    <row r="561" spans="1:9" x14ac:dyDescent="0.25">
      <c r="A561" s="80">
        <v>560</v>
      </c>
      <c r="B561" s="80">
        <v>86</v>
      </c>
      <c r="C561" s="80">
        <v>3</v>
      </c>
      <c r="D561" s="80" t="s">
        <v>3483</v>
      </c>
      <c r="E561" s="80">
        <v>796</v>
      </c>
      <c r="F561" s="80">
        <v>0.66</v>
      </c>
      <c r="G561" s="80">
        <v>3</v>
      </c>
      <c r="H561" s="80">
        <v>3</v>
      </c>
      <c r="I561" s="80">
        <v>840</v>
      </c>
    </row>
    <row r="562" spans="1:9" x14ac:dyDescent="0.25">
      <c r="A562" s="80">
        <v>561</v>
      </c>
      <c r="B562" s="80">
        <v>86</v>
      </c>
      <c r="C562" s="80">
        <v>4</v>
      </c>
      <c r="D562" s="80" t="s">
        <v>3332</v>
      </c>
      <c r="E562" s="80">
        <v>796</v>
      </c>
      <c r="F562" s="80">
        <v>0.66</v>
      </c>
      <c r="G562" s="80">
        <v>3</v>
      </c>
      <c r="H562" s="80">
        <v>3</v>
      </c>
      <c r="I562" s="80">
        <v>840</v>
      </c>
    </row>
    <row r="563" spans="1:9" x14ac:dyDescent="0.25">
      <c r="A563" s="80">
        <v>562</v>
      </c>
      <c r="B563" s="80">
        <v>86</v>
      </c>
      <c r="C563" s="80">
        <v>5</v>
      </c>
      <c r="D563" s="80" t="s">
        <v>3528</v>
      </c>
      <c r="E563" s="80">
        <v>796</v>
      </c>
      <c r="F563" s="80">
        <v>0.66</v>
      </c>
      <c r="G563" s="80">
        <v>3</v>
      </c>
      <c r="H563" s="80">
        <v>3</v>
      </c>
      <c r="I563" s="80">
        <v>840</v>
      </c>
    </row>
    <row r="564" spans="1:9" x14ac:dyDescent="0.25">
      <c r="A564" s="80">
        <v>563</v>
      </c>
      <c r="B564" s="80">
        <v>87</v>
      </c>
      <c r="C564" s="80">
        <v>1</v>
      </c>
      <c r="D564" s="80" t="s">
        <v>3529</v>
      </c>
      <c r="E564" s="80">
        <v>796</v>
      </c>
      <c r="F564" s="80">
        <v>0.61</v>
      </c>
      <c r="G564" s="80">
        <v>2</v>
      </c>
      <c r="H564" s="80">
        <v>2</v>
      </c>
      <c r="I564" s="80">
        <v>840</v>
      </c>
    </row>
    <row r="565" spans="1:9" x14ac:dyDescent="0.25">
      <c r="A565" s="80">
        <v>564</v>
      </c>
      <c r="B565" s="80">
        <v>87</v>
      </c>
      <c r="C565" s="80">
        <v>2</v>
      </c>
      <c r="D565" s="80" t="s">
        <v>3530</v>
      </c>
      <c r="E565" s="80">
        <v>796</v>
      </c>
      <c r="F565" s="80">
        <v>0.61</v>
      </c>
      <c r="G565" s="80">
        <v>3</v>
      </c>
      <c r="H565" s="80">
        <v>3</v>
      </c>
      <c r="I565" s="80">
        <v>840</v>
      </c>
    </row>
    <row r="566" spans="1:9" x14ac:dyDescent="0.25">
      <c r="A566" s="80">
        <v>565</v>
      </c>
      <c r="B566" s="80">
        <v>87</v>
      </c>
      <c r="C566" s="80">
        <v>3</v>
      </c>
      <c r="D566" s="80" t="s">
        <v>3531</v>
      </c>
      <c r="E566" s="80">
        <v>796</v>
      </c>
      <c r="F566" s="80">
        <v>0.61</v>
      </c>
      <c r="G566" s="80">
        <v>3</v>
      </c>
      <c r="H566" s="80">
        <v>6</v>
      </c>
      <c r="I566" s="80">
        <v>840</v>
      </c>
    </row>
    <row r="567" spans="1:9" x14ac:dyDescent="0.25">
      <c r="A567" s="80">
        <v>566</v>
      </c>
      <c r="B567" s="80">
        <v>87</v>
      </c>
      <c r="C567" s="80">
        <v>4</v>
      </c>
      <c r="D567" s="80" t="s">
        <v>3532</v>
      </c>
      <c r="E567" s="80">
        <v>796</v>
      </c>
      <c r="F567" s="80">
        <v>0.61</v>
      </c>
      <c r="G567" s="80">
        <v>1</v>
      </c>
      <c r="H567" s="80">
        <v>2</v>
      </c>
      <c r="I567" s="80">
        <v>840</v>
      </c>
    </row>
    <row r="568" spans="1:9" x14ac:dyDescent="0.25">
      <c r="A568" s="80">
        <v>567</v>
      </c>
      <c r="B568" s="80">
        <v>87</v>
      </c>
      <c r="C568" s="80">
        <v>5</v>
      </c>
      <c r="D568" s="80" t="s">
        <v>3533</v>
      </c>
      <c r="E568" s="80">
        <v>796</v>
      </c>
      <c r="F568" s="80">
        <v>0.61</v>
      </c>
      <c r="G568" s="80">
        <v>2</v>
      </c>
      <c r="H568" s="80">
        <v>4</v>
      </c>
      <c r="I568" s="80">
        <v>840</v>
      </c>
    </row>
    <row r="569" spans="1:9" x14ac:dyDescent="0.25">
      <c r="A569" s="80">
        <v>568</v>
      </c>
      <c r="B569" s="80">
        <v>87</v>
      </c>
      <c r="C569" s="80">
        <v>6</v>
      </c>
      <c r="D569" s="80" t="s">
        <v>3507</v>
      </c>
      <c r="E569" s="80">
        <v>796</v>
      </c>
      <c r="F569" s="80">
        <v>0.61</v>
      </c>
      <c r="G569" s="80">
        <v>2</v>
      </c>
      <c r="H569" s="80">
        <v>4</v>
      </c>
      <c r="I569" s="80">
        <v>840</v>
      </c>
    </row>
    <row r="570" spans="1:9" x14ac:dyDescent="0.25">
      <c r="A570" s="80">
        <v>569</v>
      </c>
      <c r="B570" s="80">
        <v>87</v>
      </c>
      <c r="C570" s="80">
        <v>7</v>
      </c>
      <c r="D570" s="80" t="s">
        <v>3534</v>
      </c>
      <c r="E570" s="80">
        <v>796</v>
      </c>
      <c r="F570" s="80">
        <v>0.61</v>
      </c>
      <c r="G570" s="80">
        <v>1</v>
      </c>
      <c r="H570" s="80">
        <v>2</v>
      </c>
      <c r="I570" s="80">
        <v>840</v>
      </c>
    </row>
    <row r="571" spans="1:9" x14ac:dyDescent="0.25">
      <c r="A571" s="80">
        <v>570</v>
      </c>
      <c r="B571" s="80">
        <v>87</v>
      </c>
      <c r="C571" s="80">
        <v>8</v>
      </c>
      <c r="D571" s="80" t="s">
        <v>3324</v>
      </c>
      <c r="E571" s="80">
        <v>796</v>
      </c>
      <c r="F571" s="80">
        <v>0.61</v>
      </c>
      <c r="G571" s="80">
        <v>3</v>
      </c>
      <c r="H571" s="80">
        <v>6</v>
      </c>
      <c r="I571" s="80">
        <v>840</v>
      </c>
    </row>
    <row r="572" spans="1:9" x14ac:dyDescent="0.25">
      <c r="A572" s="80">
        <v>571</v>
      </c>
      <c r="B572" s="80">
        <v>87</v>
      </c>
      <c r="C572" s="80">
        <v>9</v>
      </c>
      <c r="D572" s="80" t="s">
        <v>3505</v>
      </c>
      <c r="E572" s="80">
        <v>796</v>
      </c>
      <c r="F572" s="80">
        <v>0.61</v>
      </c>
      <c r="G572" s="80">
        <v>2</v>
      </c>
      <c r="H572" s="80">
        <v>4</v>
      </c>
      <c r="I572" s="80">
        <v>840</v>
      </c>
    </row>
    <row r="573" spans="1:9" x14ac:dyDescent="0.25">
      <c r="A573" s="80">
        <v>572</v>
      </c>
      <c r="B573" s="80">
        <v>87</v>
      </c>
      <c r="C573" s="80">
        <v>10</v>
      </c>
      <c r="D573" s="80" t="s">
        <v>3535</v>
      </c>
      <c r="E573" s="80">
        <v>796</v>
      </c>
      <c r="F573" s="80">
        <v>0.61</v>
      </c>
      <c r="G573" s="80">
        <v>3</v>
      </c>
      <c r="H573" s="80">
        <v>3</v>
      </c>
      <c r="I573" s="80">
        <v>840</v>
      </c>
    </row>
    <row r="574" spans="1:9" x14ac:dyDescent="0.25">
      <c r="A574" s="80">
        <v>573</v>
      </c>
      <c r="B574" s="80">
        <v>87</v>
      </c>
      <c r="C574" s="80">
        <v>11</v>
      </c>
      <c r="D574" s="80" t="s">
        <v>3536</v>
      </c>
      <c r="E574" s="80">
        <v>796</v>
      </c>
      <c r="F574" s="80">
        <v>0.61</v>
      </c>
      <c r="G574" s="80">
        <v>2</v>
      </c>
      <c r="H574" s="80">
        <v>2</v>
      </c>
      <c r="I574" s="80">
        <v>840</v>
      </c>
    </row>
    <row r="575" spans="1:9" x14ac:dyDescent="0.25">
      <c r="A575" s="80">
        <v>574</v>
      </c>
      <c r="B575" s="80">
        <v>87</v>
      </c>
      <c r="C575" s="80">
        <v>12</v>
      </c>
      <c r="D575" s="80" t="s">
        <v>3345</v>
      </c>
      <c r="E575" s="80">
        <v>796</v>
      </c>
      <c r="F575" s="80">
        <v>0.61</v>
      </c>
      <c r="G575" s="80">
        <v>3</v>
      </c>
      <c r="H575" s="80">
        <v>6</v>
      </c>
      <c r="I575" s="80">
        <v>840</v>
      </c>
    </row>
    <row r="576" spans="1:9" x14ac:dyDescent="0.25">
      <c r="A576" s="80">
        <v>575</v>
      </c>
      <c r="B576" s="80">
        <v>87</v>
      </c>
      <c r="C576" s="80">
        <v>13</v>
      </c>
      <c r="D576" s="80" t="s">
        <v>3537</v>
      </c>
      <c r="E576" s="80">
        <v>796</v>
      </c>
      <c r="F576" s="80">
        <v>0.61</v>
      </c>
      <c r="G576" s="80">
        <v>2</v>
      </c>
      <c r="H576" s="80">
        <v>2</v>
      </c>
      <c r="I576" s="80">
        <v>840</v>
      </c>
    </row>
    <row r="577" spans="1:9" x14ac:dyDescent="0.25">
      <c r="A577" s="80">
        <v>576</v>
      </c>
      <c r="B577" s="80">
        <v>87</v>
      </c>
      <c r="C577" s="80">
        <v>14</v>
      </c>
      <c r="D577" s="80" t="s">
        <v>3538</v>
      </c>
      <c r="E577" s="80">
        <v>796</v>
      </c>
      <c r="F577" s="80">
        <v>0.61</v>
      </c>
      <c r="G577" s="80">
        <v>2</v>
      </c>
      <c r="H577" s="80">
        <v>2</v>
      </c>
      <c r="I577" s="80">
        <v>840</v>
      </c>
    </row>
    <row r="578" spans="1:9" x14ac:dyDescent="0.25">
      <c r="A578" s="80">
        <v>577</v>
      </c>
      <c r="B578" s="80">
        <v>87</v>
      </c>
      <c r="C578" s="80">
        <v>15</v>
      </c>
      <c r="D578" s="80" t="s">
        <v>3491</v>
      </c>
      <c r="E578" s="80">
        <v>796</v>
      </c>
      <c r="F578" s="80">
        <v>0.61</v>
      </c>
      <c r="G578" s="80">
        <v>3</v>
      </c>
      <c r="H578" s="80">
        <v>3</v>
      </c>
      <c r="I578" s="80">
        <v>840</v>
      </c>
    </row>
    <row r="579" spans="1:9" x14ac:dyDescent="0.25">
      <c r="A579" s="80">
        <v>578</v>
      </c>
      <c r="B579" s="80">
        <v>87</v>
      </c>
      <c r="C579" s="80">
        <v>16</v>
      </c>
      <c r="D579" s="80" t="s">
        <v>3539</v>
      </c>
      <c r="E579" s="80">
        <v>796</v>
      </c>
      <c r="F579" s="80">
        <v>0.61</v>
      </c>
      <c r="G579" s="80">
        <v>1</v>
      </c>
      <c r="H579" s="80">
        <v>2</v>
      </c>
      <c r="I579" s="80">
        <v>840</v>
      </c>
    </row>
    <row r="580" spans="1:9" x14ac:dyDescent="0.25">
      <c r="A580" s="80">
        <v>579</v>
      </c>
      <c r="B580" s="80">
        <v>87</v>
      </c>
      <c r="C580" s="80">
        <v>17</v>
      </c>
      <c r="D580" s="80" t="s">
        <v>3540</v>
      </c>
      <c r="E580" s="80">
        <v>796</v>
      </c>
      <c r="F580" s="80">
        <v>0.61</v>
      </c>
      <c r="G580" s="80">
        <v>2</v>
      </c>
      <c r="H580" s="80">
        <v>4</v>
      </c>
      <c r="I580" s="80">
        <v>840</v>
      </c>
    </row>
    <row r="581" spans="1:9" x14ac:dyDescent="0.25">
      <c r="A581" s="80">
        <v>580</v>
      </c>
      <c r="B581" s="80">
        <v>88</v>
      </c>
      <c r="C581" s="80">
        <v>1</v>
      </c>
      <c r="D581" s="80" t="s">
        <v>3259</v>
      </c>
      <c r="E581" s="80">
        <v>796</v>
      </c>
      <c r="F581" s="80">
        <v>1.7</v>
      </c>
      <c r="G581" s="80">
        <v>3</v>
      </c>
      <c r="H581" s="80">
        <v>6</v>
      </c>
      <c r="I581" s="80">
        <v>840</v>
      </c>
    </row>
    <row r="582" spans="1:9" x14ac:dyDescent="0.25">
      <c r="A582" s="80">
        <v>581</v>
      </c>
      <c r="B582" s="80">
        <v>89</v>
      </c>
      <c r="C582" s="80">
        <v>1</v>
      </c>
      <c r="D582" s="80" t="s">
        <v>3543</v>
      </c>
      <c r="E582" s="80">
        <v>796</v>
      </c>
      <c r="F582" s="80">
        <v>0.77</v>
      </c>
      <c r="G582" s="80">
        <v>1</v>
      </c>
      <c r="H582" s="80">
        <v>1</v>
      </c>
      <c r="I582" s="80">
        <v>840</v>
      </c>
    </row>
    <row r="583" spans="1:9" x14ac:dyDescent="0.25">
      <c r="A583" s="80">
        <v>582</v>
      </c>
      <c r="B583" s="80">
        <v>89</v>
      </c>
      <c r="C583" s="80">
        <v>2</v>
      </c>
      <c r="D583" s="80" t="s">
        <v>3544</v>
      </c>
      <c r="E583" s="80">
        <v>796</v>
      </c>
      <c r="F583" s="80">
        <v>0.77</v>
      </c>
      <c r="G583" s="80">
        <v>3</v>
      </c>
      <c r="H583" s="80">
        <v>6</v>
      </c>
      <c r="I583" s="80">
        <v>840</v>
      </c>
    </row>
    <row r="584" spans="1:9" x14ac:dyDescent="0.25">
      <c r="A584" s="80">
        <v>583</v>
      </c>
      <c r="B584" s="80">
        <v>89</v>
      </c>
      <c r="C584" s="80">
        <v>3</v>
      </c>
      <c r="D584" s="80" t="s">
        <v>3545</v>
      </c>
      <c r="E584" s="80">
        <v>796</v>
      </c>
      <c r="F584" s="80">
        <v>0.77</v>
      </c>
      <c r="G584" s="80">
        <v>1</v>
      </c>
      <c r="H584" s="80">
        <v>2</v>
      </c>
      <c r="I584" s="80">
        <v>840</v>
      </c>
    </row>
    <row r="585" spans="1:9" x14ac:dyDescent="0.25">
      <c r="A585" s="80">
        <v>584</v>
      </c>
      <c r="B585" s="80">
        <v>89</v>
      </c>
      <c r="C585" s="80">
        <v>4</v>
      </c>
      <c r="D585" s="80" t="s">
        <v>3546</v>
      </c>
      <c r="E585" s="80">
        <v>796</v>
      </c>
      <c r="F585" s="80">
        <v>0.77</v>
      </c>
      <c r="G585" s="80">
        <v>3</v>
      </c>
      <c r="H585" s="80">
        <v>3</v>
      </c>
      <c r="I585" s="80">
        <v>840</v>
      </c>
    </row>
    <row r="586" spans="1:9" x14ac:dyDescent="0.25">
      <c r="A586" s="80">
        <v>585</v>
      </c>
      <c r="B586" s="80">
        <v>89</v>
      </c>
      <c r="C586" s="80">
        <v>5</v>
      </c>
      <c r="D586" s="80" t="s">
        <v>3547</v>
      </c>
      <c r="E586" s="80">
        <v>796</v>
      </c>
      <c r="F586" s="80">
        <v>0.77</v>
      </c>
      <c r="G586" s="80">
        <v>2</v>
      </c>
      <c r="H586" s="80">
        <v>2</v>
      </c>
      <c r="I586" s="80">
        <v>840</v>
      </c>
    </row>
    <row r="587" spans="1:9" x14ac:dyDescent="0.25">
      <c r="A587" s="80">
        <v>586</v>
      </c>
      <c r="B587" s="80">
        <v>89</v>
      </c>
      <c r="C587" s="80">
        <v>6</v>
      </c>
      <c r="D587" s="80" t="s">
        <v>3548</v>
      </c>
      <c r="E587" s="80">
        <v>796</v>
      </c>
      <c r="F587" s="80">
        <v>0.77</v>
      </c>
      <c r="G587" s="80">
        <v>2</v>
      </c>
      <c r="H587" s="80">
        <v>2</v>
      </c>
      <c r="I587" s="80">
        <v>840</v>
      </c>
    </row>
    <row r="588" spans="1:9" x14ac:dyDescent="0.25">
      <c r="A588" s="80">
        <v>587</v>
      </c>
      <c r="B588" s="80">
        <v>90</v>
      </c>
      <c r="C588" s="80">
        <v>1</v>
      </c>
      <c r="D588" s="80" t="s">
        <v>3552</v>
      </c>
      <c r="E588" s="80">
        <v>796</v>
      </c>
      <c r="F588" s="80">
        <v>0.84</v>
      </c>
      <c r="G588" s="80">
        <v>2</v>
      </c>
      <c r="H588" s="80">
        <v>4</v>
      </c>
      <c r="I588" s="80">
        <v>840</v>
      </c>
    </row>
    <row r="589" spans="1:9" x14ac:dyDescent="0.25">
      <c r="A589" s="80">
        <v>588</v>
      </c>
      <c r="B589" s="80">
        <v>90</v>
      </c>
      <c r="C589" s="80">
        <v>2</v>
      </c>
      <c r="D589" s="80" t="s">
        <v>3553</v>
      </c>
      <c r="E589" s="80">
        <v>796</v>
      </c>
      <c r="F589" s="80">
        <v>0.84</v>
      </c>
      <c r="G589" s="80">
        <v>1</v>
      </c>
      <c r="H589" s="80">
        <v>1</v>
      </c>
      <c r="I589" s="80">
        <v>840</v>
      </c>
    </row>
    <row r="590" spans="1:9" x14ac:dyDescent="0.25">
      <c r="A590" s="80">
        <v>589</v>
      </c>
      <c r="B590" s="80">
        <v>90</v>
      </c>
      <c r="C590" s="80">
        <v>3</v>
      </c>
      <c r="D590" s="80" t="s">
        <v>3554</v>
      </c>
      <c r="E590" s="80">
        <v>796</v>
      </c>
      <c r="F590" s="80">
        <v>0.84</v>
      </c>
      <c r="G590" s="80">
        <v>3</v>
      </c>
      <c r="H590" s="80">
        <v>3</v>
      </c>
      <c r="I590" s="80">
        <v>840</v>
      </c>
    </row>
    <row r="591" spans="1:9" x14ac:dyDescent="0.25">
      <c r="A591" s="80">
        <v>590</v>
      </c>
      <c r="B591" s="80">
        <v>90</v>
      </c>
      <c r="C591" s="80">
        <v>4</v>
      </c>
      <c r="D591" s="80" t="s">
        <v>3555</v>
      </c>
      <c r="E591" s="80">
        <v>796</v>
      </c>
      <c r="F591" s="80">
        <v>0.84</v>
      </c>
      <c r="G591" s="80">
        <v>1</v>
      </c>
      <c r="H591" s="80">
        <v>1</v>
      </c>
      <c r="I591" s="80">
        <v>840</v>
      </c>
    </row>
    <row r="592" spans="1:9" x14ac:dyDescent="0.25">
      <c r="A592" s="80">
        <v>591</v>
      </c>
      <c r="B592" s="80">
        <v>90</v>
      </c>
      <c r="C592" s="80">
        <v>5</v>
      </c>
      <c r="D592" s="80" t="s">
        <v>3556</v>
      </c>
      <c r="E592" s="80">
        <v>796</v>
      </c>
      <c r="F592" s="80">
        <v>0.84</v>
      </c>
      <c r="G592" s="80">
        <v>1</v>
      </c>
      <c r="H592" s="80">
        <v>1</v>
      </c>
      <c r="I592" s="80">
        <v>840</v>
      </c>
    </row>
    <row r="593" spans="1:9" x14ac:dyDescent="0.25">
      <c r="A593" s="80">
        <v>592</v>
      </c>
      <c r="B593" s="80">
        <v>91</v>
      </c>
      <c r="C593" s="80">
        <v>1</v>
      </c>
      <c r="D593" s="80" t="s">
        <v>3552</v>
      </c>
      <c r="E593" s="80">
        <v>796</v>
      </c>
      <c r="F593" s="80">
        <v>0.82</v>
      </c>
      <c r="G593" s="80">
        <v>2</v>
      </c>
      <c r="H593" s="80">
        <v>4</v>
      </c>
      <c r="I593" s="80">
        <v>840</v>
      </c>
    </row>
    <row r="594" spans="1:9" x14ac:dyDescent="0.25">
      <c r="A594" s="80">
        <v>593</v>
      </c>
      <c r="B594" s="80">
        <v>91</v>
      </c>
      <c r="C594" s="80">
        <v>2</v>
      </c>
      <c r="D594" s="80" t="s">
        <v>3558</v>
      </c>
      <c r="E594" s="80">
        <v>796</v>
      </c>
      <c r="F594" s="80">
        <v>0.82</v>
      </c>
      <c r="G594" s="80">
        <v>2</v>
      </c>
      <c r="H594" s="80">
        <v>2</v>
      </c>
      <c r="I594" s="80">
        <v>840</v>
      </c>
    </row>
    <row r="595" spans="1:9" x14ac:dyDescent="0.25">
      <c r="A595" s="80">
        <v>594</v>
      </c>
      <c r="B595" s="80">
        <v>91</v>
      </c>
      <c r="C595" s="80">
        <v>3</v>
      </c>
      <c r="D595" s="80" t="s">
        <v>3559</v>
      </c>
      <c r="E595" s="80">
        <v>796</v>
      </c>
      <c r="F595" s="80">
        <v>0.82</v>
      </c>
      <c r="G595" s="80">
        <v>3</v>
      </c>
      <c r="H595" s="80">
        <v>3</v>
      </c>
      <c r="I595" s="80">
        <v>840</v>
      </c>
    </row>
    <row r="596" spans="1:9" x14ac:dyDescent="0.25">
      <c r="A596" s="80">
        <v>595</v>
      </c>
      <c r="B596" s="80">
        <v>91</v>
      </c>
      <c r="C596" s="80">
        <v>4</v>
      </c>
      <c r="D596" s="80" t="s">
        <v>3560</v>
      </c>
      <c r="E596" s="80">
        <v>796</v>
      </c>
      <c r="F596" s="80">
        <v>0.82</v>
      </c>
      <c r="G596" s="80">
        <v>3</v>
      </c>
      <c r="H596" s="80">
        <v>3</v>
      </c>
      <c r="I596" s="80">
        <v>840</v>
      </c>
    </row>
    <row r="597" spans="1:9" x14ac:dyDescent="0.25">
      <c r="A597" s="80">
        <v>596</v>
      </c>
      <c r="B597" s="80">
        <v>91</v>
      </c>
      <c r="C597" s="80">
        <v>5</v>
      </c>
      <c r="D597" s="80" t="s">
        <v>3554</v>
      </c>
      <c r="E597" s="80">
        <v>796</v>
      </c>
      <c r="F597" s="80">
        <v>0.82</v>
      </c>
      <c r="G597" s="80">
        <v>1</v>
      </c>
      <c r="H597" s="80">
        <v>2</v>
      </c>
      <c r="I597" s="80">
        <v>840</v>
      </c>
    </row>
    <row r="598" spans="1:9" x14ac:dyDescent="0.25">
      <c r="A598" s="80">
        <v>597</v>
      </c>
      <c r="B598" s="80">
        <v>91</v>
      </c>
      <c r="C598" s="80">
        <v>6</v>
      </c>
      <c r="D598" s="80" t="s">
        <v>3561</v>
      </c>
      <c r="E598" s="80">
        <v>796</v>
      </c>
      <c r="F598" s="80">
        <v>0.82</v>
      </c>
      <c r="G598" s="80">
        <v>1</v>
      </c>
      <c r="H598" s="80">
        <v>2</v>
      </c>
      <c r="I598" s="80">
        <v>840</v>
      </c>
    </row>
    <row r="599" spans="1:9" x14ac:dyDescent="0.25">
      <c r="A599" s="80">
        <v>598</v>
      </c>
      <c r="B599" s="80">
        <v>92</v>
      </c>
      <c r="C599" s="80">
        <v>1</v>
      </c>
      <c r="D599" s="80" t="s">
        <v>3374</v>
      </c>
      <c r="E599" s="80">
        <v>796</v>
      </c>
      <c r="F599" s="80">
        <v>0.8</v>
      </c>
      <c r="G599" s="80">
        <v>3</v>
      </c>
      <c r="H599" s="80">
        <v>3</v>
      </c>
      <c r="I599" s="80">
        <v>840</v>
      </c>
    </row>
    <row r="600" spans="1:9" x14ac:dyDescent="0.25">
      <c r="A600" s="80">
        <v>599</v>
      </c>
      <c r="B600" s="80">
        <v>92</v>
      </c>
      <c r="C600" s="80">
        <v>2</v>
      </c>
      <c r="D600" s="80" t="s">
        <v>3274</v>
      </c>
      <c r="E600" s="80">
        <v>796</v>
      </c>
      <c r="F600" s="80">
        <v>0.8</v>
      </c>
      <c r="G600" s="80">
        <v>2</v>
      </c>
      <c r="H600" s="80">
        <v>2</v>
      </c>
      <c r="I600" s="80">
        <v>840</v>
      </c>
    </row>
    <row r="601" spans="1:9" x14ac:dyDescent="0.25">
      <c r="A601" s="80">
        <v>600</v>
      </c>
      <c r="B601" s="80">
        <v>92</v>
      </c>
      <c r="C601" s="80">
        <v>3</v>
      </c>
      <c r="D601" s="80" t="s">
        <v>3562</v>
      </c>
      <c r="E601" s="80">
        <v>796</v>
      </c>
      <c r="F601" s="80">
        <v>0.8</v>
      </c>
      <c r="G601" s="80">
        <v>3</v>
      </c>
      <c r="H601" s="80">
        <v>3</v>
      </c>
      <c r="I601" s="80">
        <v>840</v>
      </c>
    </row>
    <row r="602" spans="1:9" x14ac:dyDescent="0.25">
      <c r="A602" s="80">
        <v>601</v>
      </c>
      <c r="B602" s="80">
        <v>92</v>
      </c>
      <c r="C602" s="80">
        <v>4</v>
      </c>
      <c r="D602" s="80" t="s">
        <v>3509</v>
      </c>
      <c r="E602" s="80">
        <v>796</v>
      </c>
      <c r="F602" s="80">
        <v>0.8</v>
      </c>
      <c r="G602" s="80">
        <v>3</v>
      </c>
      <c r="H602" s="80">
        <v>6</v>
      </c>
      <c r="I602" s="80">
        <v>840</v>
      </c>
    </row>
    <row r="603" spans="1:9" x14ac:dyDescent="0.25">
      <c r="A603" s="80">
        <v>602</v>
      </c>
      <c r="B603" s="80">
        <v>92</v>
      </c>
      <c r="C603" s="80">
        <v>5</v>
      </c>
      <c r="D603" s="80" t="s">
        <v>3523</v>
      </c>
      <c r="E603" s="80">
        <v>796</v>
      </c>
      <c r="F603" s="80">
        <v>0.8</v>
      </c>
      <c r="G603" s="80">
        <v>2</v>
      </c>
      <c r="H603" s="80">
        <v>2</v>
      </c>
      <c r="I603" s="80">
        <v>840</v>
      </c>
    </row>
    <row r="604" spans="1:9" x14ac:dyDescent="0.25">
      <c r="A604" s="80">
        <v>603</v>
      </c>
      <c r="B604" s="80">
        <v>92</v>
      </c>
      <c r="C604" s="80">
        <v>6</v>
      </c>
      <c r="D604" s="80" t="s">
        <v>3266</v>
      </c>
      <c r="E604" s="80">
        <v>796</v>
      </c>
      <c r="F604" s="80">
        <v>0.8</v>
      </c>
      <c r="G604" s="80">
        <v>1</v>
      </c>
      <c r="H604" s="80">
        <v>1</v>
      </c>
      <c r="I604" s="80">
        <v>840</v>
      </c>
    </row>
    <row r="605" spans="1:9" x14ac:dyDescent="0.25">
      <c r="A605" s="80">
        <v>604</v>
      </c>
      <c r="B605" s="80">
        <v>92</v>
      </c>
      <c r="C605" s="80">
        <v>7</v>
      </c>
      <c r="D605" s="80" t="s">
        <v>3563</v>
      </c>
      <c r="E605" s="80">
        <v>796</v>
      </c>
      <c r="F605" s="80">
        <v>0.8</v>
      </c>
      <c r="G605" s="80">
        <v>3</v>
      </c>
      <c r="H605" s="80">
        <v>3</v>
      </c>
      <c r="I605" s="80">
        <v>840</v>
      </c>
    </row>
    <row r="606" spans="1:9" x14ac:dyDescent="0.25">
      <c r="A606" s="80">
        <v>605</v>
      </c>
      <c r="B606" s="80">
        <v>92</v>
      </c>
      <c r="C606" s="80">
        <v>8</v>
      </c>
      <c r="D606" s="80" t="s">
        <v>3564</v>
      </c>
      <c r="E606" s="80">
        <v>796</v>
      </c>
      <c r="F606" s="80">
        <v>0.8</v>
      </c>
      <c r="G606" s="80">
        <v>1</v>
      </c>
      <c r="H606" s="80">
        <v>2</v>
      </c>
      <c r="I606" s="80">
        <v>840</v>
      </c>
    </row>
    <row r="607" spans="1:9" x14ac:dyDescent="0.25">
      <c r="A607" s="80">
        <v>606</v>
      </c>
      <c r="B607" s="80">
        <v>92</v>
      </c>
      <c r="C607" s="80">
        <v>9</v>
      </c>
      <c r="D607" s="80" t="s">
        <v>3469</v>
      </c>
      <c r="E607" s="80">
        <v>796</v>
      </c>
      <c r="F607" s="80">
        <v>0.8</v>
      </c>
      <c r="G607" s="80">
        <v>1</v>
      </c>
      <c r="H607" s="80">
        <v>1</v>
      </c>
      <c r="I607" s="80">
        <v>840</v>
      </c>
    </row>
    <row r="608" spans="1:9" x14ac:dyDescent="0.25">
      <c r="A608" s="80">
        <v>607</v>
      </c>
      <c r="B608" s="80">
        <v>92</v>
      </c>
      <c r="C608" s="80">
        <v>10</v>
      </c>
      <c r="D608" s="80" t="s">
        <v>3565</v>
      </c>
      <c r="E608" s="80">
        <v>796</v>
      </c>
      <c r="F608" s="80">
        <v>0.8</v>
      </c>
      <c r="G608" s="80">
        <v>1</v>
      </c>
      <c r="H608" s="80">
        <v>1</v>
      </c>
      <c r="I608" s="80">
        <v>840</v>
      </c>
    </row>
    <row r="609" spans="1:9" x14ac:dyDescent="0.25">
      <c r="A609" s="80">
        <v>608</v>
      </c>
      <c r="B609" s="80">
        <v>92</v>
      </c>
      <c r="C609" s="80">
        <v>11</v>
      </c>
      <c r="D609" s="80" t="s">
        <v>3497</v>
      </c>
      <c r="E609" s="80">
        <v>796</v>
      </c>
      <c r="F609" s="80">
        <v>0.8</v>
      </c>
      <c r="G609" s="80">
        <v>2</v>
      </c>
      <c r="H609" s="80">
        <v>4</v>
      </c>
      <c r="I609" s="80">
        <v>840</v>
      </c>
    </row>
    <row r="610" spans="1:9" x14ac:dyDescent="0.25">
      <c r="A610" s="80">
        <v>609</v>
      </c>
      <c r="B610" s="80">
        <v>92</v>
      </c>
      <c r="C610" s="80">
        <v>12</v>
      </c>
      <c r="D610" s="80" t="s">
        <v>3566</v>
      </c>
      <c r="E610" s="80">
        <v>796</v>
      </c>
      <c r="F610" s="80">
        <v>0.8</v>
      </c>
      <c r="G610" s="80">
        <v>1</v>
      </c>
      <c r="H610" s="80">
        <v>2</v>
      </c>
      <c r="I610" s="80">
        <v>840</v>
      </c>
    </row>
    <row r="611" spans="1:9" x14ac:dyDescent="0.25">
      <c r="A611" s="80">
        <v>610</v>
      </c>
      <c r="B611" s="80">
        <v>92</v>
      </c>
      <c r="C611" s="80">
        <v>13</v>
      </c>
      <c r="D611" s="80" t="s">
        <v>3506</v>
      </c>
      <c r="E611" s="80">
        <v>796</v>
      </c>
      <c r="F611" s="80">
        <v>0.8</v>
      </c>
      <c r="G611" s="80">
        <v>1</v>
      </c>
      <c r="H611" s="80">
        <v>2</v>
      </c>
      <c r="I611" s="80">
        <v>840</v>
      </c>
    </row>
    <row r="612" spans="1:9" x14ac:dyDescent="0.25">
      <c r="A612" s="80">
        <v>611</v>
      </c>
      <c r="B612" s="80">
        <v>92</v>
      </c>
      <c r="C612" s="80">
        <v>14</v>
      </c>
      <c r="D612" s="80" t="s">
        <v>3567</v>
      </c>
      <c r="E612" s="80">
        <v>796</v>
      </c>
      <c r="F612" s="80">
        <v>0.8</v>
      </c>
      <c r="G612" s="80">
        <v>3</v>
      </c>
      <c r="H612" s="80">
        <v>6</v>
      </c>
      <c r="I612" s="80">
        <v>840</v>
      </c>
    </row>
    <row r="613" spans="1:9" x14ac:dyDescent="0.25">
      <c r="A613" s="80">
        <v>612</v>
      </c>
      <c r="B613" s="80">
        <v>92</v>
      </c>
      <c r="C613" s="80">
        <v>15</v>
      </c>
      <c r="D613" s="80" t="s">
        <v>3568</v>
      </c>
      <c r="E613" s="80">
        <v>796</v>
      </c>
      <c r="F613" s="80">
        <v>0.8</v>
      </c>
      <c r="G613" s="80">
        <v>2</v>
      </c>
      <c r="H613" s="80">
        <v>4</v>
      </c>
      <c r="I613" s="80">
        <v>840</v>
      </c>
    </row>
    <row r="614" spans="1:9" x14ac:dyDescent="0.25">
      <c r="A614" s="80">
        <v>613</v>
      </c>
      <c r="B614" s="80">
        <v>92</v>
      </c>
      <c r="C614" s="80">
        <v>16</v>
      </c>
      <c r="D614" s="80" t="s">
        <v>3280</v>
      </c>
      <c r="E614" s="80">
        <v>796</v>
      </c>
      <c r="F614" s="80">
        <v>0.8</v>
      </c>
      <c r="G614" s="80">
        <v>1</v>
      </c>
      <c r="H614" s="80">
        <v>2</v>
      </c>
      <c r="I614" s="80">
        <v>840</v>
      </c>
    </row>
    <row r="615" spans="1:9" x14ac:dyDescent="0.25">
      <c r="A615" s="80">
        <v>614</v>
      </c>
      <c r="B615" s="80">
        <v>92</v>
      </c>
      <c r="C615" s="80">
        <v>17</v>
      </c>
      <c r="D615" s="80" t="s">
        <v>3258</v>
      </c>
      <c r="E615" s="80">
        <v>796</v>
      </c>
      <c r="F615" s="80">
        <v>0.8</v>
      </c>
      <c r="G615" s="80">
        <v>1</v>
      </c>
      <c r="H615" s="80">
        <v>1</v>
      </c>
      <c r="I615" s="80">
        <v>840</v>
      </c>
    </row>
    <row r="616" spans="1:9" x14ac:dyDescent="0.25">
      <c r="A616" s="80">
        <v>615</v>
      </c>
      <c r="B616" s="80">
        <v>93</v>
      </c>
      <c r="C616" s="80">
        <v>1</v>
      </c>
      <c r="D616" s="80" t="s">
        <v>3570</v>
      </c>
      <c r="E616" s="80">
        <v>796</v>
      </c>
      <c r="F616" s="80">
        <v>0.67</v>
      </c>
      <c r="G616" s="80">
        <v>1</v>
      </c>
      <c r="H616" s="80">
        <v>2</v>
      </c>
      <c r="I616" s="80">
        <v>840</v>
      </c>
    </row>
    <row r="617" spans="1:9" x14ac:dyDescent="0.25">
      <c r="A617" s="80">
        <v>616</v>
      </c>
      <c r="B617" s="80">
        <v>93</v>
      </c>
      <c r="C617" s="80">
        <v>2</v>
      </c>
      <c r="D617" s="80" t="s">
        <v>3560</v>
      </c>
      <c r="E617" s="80">
        <v>796</v>
      </c>
      <c r="F617" s="80">
        <v>0.67</v>
      </c>
      <c r="G617" s="80">
        <v>1</v>
      </c>
      <c r="H617" s="80">
        <v>2</v>
      </c>
      <c r="I617" s="80">
        <v>840</v>
      </c>
    </row>
    <row r="618" spans="1:9" x14ac:dyDescent="0.25">
      <c r="A618" s="80">
        <v>617</v>
      </c>
      <c r="B618" s="80">
        <v>93</v>
      </c>
      <c r="C618" s="80">
        <v>3</v>
      </c>
      <c r="D618" s="80" t="s">
        <v>3425</v>
      </c>
      <c r="E618" s="80">
        <v>796</v>
      </c>
      <c r="F618" s="80">
        <v>0.67</v>
      </c>
      <c r="G618" s="80">
        <v>1</v>
      </c>
      <c r="H618" s="80">
        <v>1</v>
      </c>
      <c r="I618" s="80">
        <v>840</v>
      </c>
    </row>
    <row r="619" spans="1:9" x14ac:dyDescent="0.25">
      <c r="A619" s="80">
        <v>618</v>
      </c>
      <c r="B619" s="80">
        <v>93</v>
      </c>
      <c r="C619" s="80">
        <v>4</v>
      </c>
      <c r="D619" s="80" t="s">
        <v>3571</v>
      </c>
      <c r="E619" s="80">
        <v>796</v>
      </c>
      <c r="F619" s="80">
        <v>0.67</v>
      </c>
      <c r="G619" s="80">
        <v>3</v>
      </c>
      <c r="H619" s="80">
        <v>3</v>
      </c>
      <c r="I619" s="80">
        <v>840</v>
      </c>
    </row>
    <row r="620" spans="1:9" x14ac:dyDescent="0.25">
      <c r="A620" s="80">
        <v>619</v>
      </c>
      <c r="B620" s="80">
        <v>93</v>
      </c>
      <c r="C620" s="80">
        <v>5</v>
      </c>
      <c r="D620" s="80" t="s">
        <v>3572</v>
      </c>
      <c r="E620" s="80">
        <v>796</v>
      </c>
      <c r="F620" s="80">
        <v>0.67</v>
      </c>
      <c r="G620" s="80">
        <v>3</v>
      </c>
      <c r="H620" s="80">
        <v>3</v>
      </c>
      <c r="I620" s="80">
        <v>840</v>
      </c>
    </row>
    <row r="621" spans="1:9" x14ac:dyDescent="0.25">
      <c r="A621" s="80">
        <v>620</v>
      </c>
      <c r="B621" s="80">
        <v>93</v>
      </c>
      <c r="C621" s="80">
        <v>6</v>
      </c>
      <c r="D621" s="80" t="s">
        <v>3573</v>
      </c>
      <c r="E621" s="80">
        <v>796</v>
      </c>
      <c r="F621" s="80">
        <v>0.67</v>
      </c>
      <c r="G621" s="80">
        <v>3</v>
      </c>
      <c r="H621" s="80">
        <v>6</v>
      </c>
      <c r="I621" s="80">
        <v>840</v>
      </c>
    </row>
    <row r="622" spans="1:9" x14ac:dyDescent="0.25">
      <c r="A622" s="80">
        <v>621</v>
      </c>
      <c r="B622" s="80">
        <v>93</v>
      </c>
      <c r="C622" s="80">
        <v>7</v>
      </c>
      <c r="D622" s="80" t="s">
        <v>3266</v>
      </c>
      <c r="E622" s="80">
        <v>796</v>
      </c>
      <c r="F622" s="80">
        <v>0.67</v>
      </c>
      <c r="G622" s="80">
        <v>1</v>
      </c>
      <c r="H622" s="80">
        <v>1</v>
      </c>
      <c r="I622" s="80">
        <v>840</v>
      </c>
    </row>
    <row r="623" spans="1:9" x14ac:dyDescent="0.25">
      <c r="A623" s="80">
        <v>622</v>
      </c>
      <c r="B623" s="80">
        <v>93</v>
      </c>
      <c r="C623" s="80">
        <v>8</v>
      </c>
      <c r="D623" s="80" t="s">
        <v>3568</v>
      </c>
      <c r="E623" s="80">
        <v>796</v>
      </c>
      <c r="F623" s="80">
        <v>0.67</v>
      </c>
      <c r="G623" s="80">
        <v>2</v>
      </c>
      <c r="H623" s="80">
        <v>4</v>
      </c>
      <c r="I623" s="80">
        <v>840</v>
      </c>
    </row>
    <row r="624" spans="1:9" x14ac:dyDescent="0.25">
      <c r="A624" s="80">
        <v>623</v>
      </c>
      <c r="B624" s="80">
        <v>93</v>
      </c>
      <c r="C624" s="80">
        <v>9</v>
      </c>
      <c r="D624" s="80" t="s">
        <v>3574</v>
      </c>
      <c r="E624" s="80">
        <v>796</v>
      </c>
      <c r="F624" s="80">
        <v>0.67</v>
      </c>
      <c r="G624" s="80">
        <v>3</v>
      </c>
      <c r="H624" s="80">
        <v>6</v>
      </c>
      <c r="I624" s="80">
        <v>840</v>
      </c>
    </row>
    <row r="625" spans="1:9" x14ac:dyDescent="0.25">
      <c r="A625" s="80">
        <v>624</v>
      </c>
      <c r="B625" s="80">
        <v>93</v>
      </c>
      <c r="C625" s="80">
        <v>10</v>
      </c>
      <c r="D625" s="80" t="s">
        <v>3575</v>
      </c>
      <c r="E625" s="80">
        <v>796</v>
      </c>
      <c r="F625" s="80">
        <v>0.67</v>
      </c>
      <c r="G625" s="80">
        <v>2</v>
      </c>
      <c r="H625" s="80">
        <v>2</v>
      </c>
      <c r="I625" s="80">
        <v>840</v>
      </c>
    </row>
    <row r="626" spans="1:9" x14ac:dyDescent="0.25">
      <c r="A626" s="80">
        <v>625</v>
      </c>
      <c r="B626" s="80">
        <v>93</v>
      </c>
      <c r="C626" s="80">
        <v>11</v>
      </c>
      <c r="D626" s="80" t="s">
        <v>3576</v>
      </c>
      <c r="E626" s="80">
        <v>796</v>
      </c>
      <c r="F626" s="80">
        <v>0.67</v>
      </c>
      <c r="G626" s="80">
        <v>3</v>
      </c>
      <c r="H626" s="80">
        <v>3</v>
      </c>
      <c r="I626" s="80">
        <v>840</v>
      </c>
    </row>
    <row r="627" spans="1:9" x14ac:dyDescent="0.25">
      <c r="A627" s="80">
        <v>626</v>
      </c>
      <c r="B627" s="80">
        <v>93</v>
      </c>
      <c r="C627" s="80">
        <v>12</v>
      </c>
      <c r="D627" s="80" t="s">
        <v>3577</v>
      </c>
      <c r="E627" s="80">
        <v>796</v>
      </c>
      <c r="F627" s="80">
        <v>0.67</v>
      </c>
      <c r="G627" s="80">
        <v>3</v>
      </c>
      <c r="H627" s="80">
        <v>6</v>
      </c>
      <c r="I627" s="80">
        <v>840</v>
      </c>
    </row>
    <row r="628" spans="1:9" x14ac:dyDescent="0.25">
      <c r="A628" s="80">
        <v>627</v>
      </c>
      <c r="B628" s="80">
        <v>93</v>
      </c>
      <c r="C628" s="80">
        <v>13</v>
      </c>
      <c r="D628" s="80" t="s">
        <v>3578</v>
      </c>
      <c r="E628" s="80">
        <v>796</v>
      </c>
      <c r="F628" s="80">
        <v>0.67</v>
      </c>
      <c r="G628" s="80">
        <v>1</v>
      </c>
      <c r="H628" s="80">
        <v>2</v>
      </c>
      <c r="I628" s="80">
        <v>840</v>
      </c>
    </row>
    <row r="629" spans="1:9" x14ac:dyDescent="0.25">
      <c r="A629" s="80">
        <v>628</v>
      </c>
      <c r="B629" s="80">
        <v>93</v>
      </c>
      <c r="C629" s="80">
        <v>14</v>
      </c>
      <c r="D629" s="80" t="s">
        <v>3579</v>
      </c>
      <c r="E629" s="80">
        <v>796</v>
      </c>
      <c r="F629" s="80">
        <v>0.67</v>
      </c>
      <c r="G629" s="80">
        <v>3</v>
      </c>
      <c r="H629" s="80">
        <v>6</v>
      </c>
      <c r="I629" s="80">
        <v>840</v>
      </c>
    </row>
    <row r="630" spans="1:9" x14ac:dyDescent="0.25">
      <c r="A630" s="80">
        <v>629</v>
      </c>
      <c r="B630" s="80">
        <v>93</v>
      </c>
      <c r="C630" s="80">
        <v>15</v>
      </c>
      <c r="D630" s="80" t="s">
        <v>3580</v>
      </c>
      <c r="E630" s="80">
        <v>796</v>
      </c>
      <c r="F630" s="80">
        <v>0.67</v>
      </c>
      <c r="G630" s="80">
        <v>1</v>
      </c>
      <c r="H630" s="80">
        <v>1</v>
      </c>
      <c r="I630" s="80">
        <v>840</v>
      </c>
    </row>
    <row r="631" spans="1:9" x14ac:dyDescent="0.25">
      <c r="A631" s="80">
        <v>630</v>
      </c>
      <c r="B631" s="80">
        <v>94</v>
      </c>
      <c r="C631" s="80">
        <v>1</v>
      </c>
      <c r="D631" s="80" t="s">
        <v>3552</v>
      </c>
      <c r="E631" s="80">
        <v>796</v>
      </c>
      <c r="F631" s="80">
        <v>1.08</v>
      </c>
      <c r="G631" s="80">
        <v>1</v>
      </c>
      <c r="H631" s="80">
        <v>2</v>
      </c>
      <c r="I631" s="80">
        <v>840</v>
      </c>
    </row>
    <row r="632" spans="1:9" x14ac:dyDescent="0.25">
      <c r="A632" s="80">
        <v>631</v>
      </c>
      <c r="B632" s="80">
        <v>94</v>
      </c>
      <c r="C632" s="80">
        <v>2</v>
      </c>
      <c r="D632" s="80" t="s">
        <v>3581</v>
      </c>
      <c r="E632" s="80">
        <v>796</v>
      </c>
      <c r="F632" s="80">
        <v>1.08</v>
      </c>
      <c r="G632" s="80">
        <v>3</v>
      </c>
      <c r="H632" s="80">
        <v>3</v>
      </c>
      <c r="I632" s="80">
        <v>840</v>
      </c>
    </row>
    <row r="633" spans="1:9" x14ac:dyDescent="0.25">
      <c r="A633" s="80">
        <v>632</v>
      </c>
      <c r="B633" s="80">
        <v>94</v>
      </c>
      <c r="C633" s="80">
        <v>3</v>
      </c>
      <c r="D633" s="80" t="s">
        <v>3582</v>
      </c>
      <c r="E633" s="80">
        <v>796</v>
      </c>
      <c r="F633" s="80">
        <v>1.08</v>
      </c>
      <c r="G633" s="80">
        <v>1</v>
      </c>
      <c r="H633" s="80">
        <v>2</v>
      </c>
      <c r="I633" s="80">
        <v>840</v>
      </c>
    </row>
    <row r="634" spans="1:9" x14ac:dyDescent="0.25">
      <c r="A634" s="80">
        <v>633</v>
      </c>
      <c r="B634" s="80">
        <v>94</v>
      </c>
      <c r="C634" s="80">
        <v>4</v>
      </c>
      <c r="D634" s="80" t="s">
        <v>3560</v>
      </c>
      <c r="E634" s="80">
        <v>796</v>
      </c>
      <c r="F634" s="80">
        <v>1.08</v>
      </c>
      <c r="G634" s="80">
        <v>2</v>
      </c>
      <c r="H634" s="80">
        <v>4</v>
      </c>
      <c r="I634" s="80">
        <v>840</v>
      </c>
    </row>
    <row r="635" spans="1:9" x14ac:dyDescent="0.25">
      <c r="A635" s="80">
        <v>634</v>
      </c>
      <c r="B635" s="80">
        <v>94</v>
      </c>
      <c r="C635" s="80">
        <v>5</v>
      </c>
      <c r="D635" s="80" t="s">
        <v>3561</v>
      </c>
      <c r="E635" s="80">
        <v>796</v>
      </c>
      <c r="F635" s="80">
        <v>1.08</v>
      </c>
      <c r="G635" s="80">
        <v>1</v>
      </c>
      <c r="H635" s="80">
        <v>1</v>
      </c>
      <c r="I635" s="80">
        <v>840</v>
      </c>
    </row>
    <row r="636" spans="1:9" x14ac:dyDescent="0.25">
      <c r="A636" s="80">
        <v>635</v>
      </c>
      <c r="B636" s="80">
        <v>95</v>
      </c>
      <c r="C636" s="80">
        <v>1</v>
      </c>
      <c r="D636" s="80" t="s">
        <v>3583</v>
      </c>
      <c r="E636" s="80">
        <v>796</v>
      </c>
      <c r="F636" s="80">
        <v>0.88</v>
      </c>
      <c r="G636" s="80">
        <v>2</v>
      </c>
      <c r="H636" s="80">
        <v>2</v>
      </c>
      <c r="I636" s="80">
        <v>840</v>
      </c>
    </row>
    <row r="637" spans="1:9" x14ac:dyDescent="0.25">
      <c r="A637" s="80">
        <v>636</v>
      </c>
      <c r="B637" s="80">
        <v>95</v>
      </c>
      <c r="C637" s="80">
        <v>2</v>
      </c>
      <c r="D637" s="80" t="s">
        <v>3584</v>
      </c>
      <c r="E637" s="80">
        <v>796</v>
      </c>
      <c r="F637" s="80">
        <v>0.88</v>
      </c>
      <c r="G637" s="80">
        <v>2</v>
      </c>
      <c r="H637" s="80">
        <v>4</v>
      </c>
      <c r="I637" s="80">
        <v>840</v>
      </c>
    </row>
    <row r="638" spans="1:9" x14ac:dyDescent="0.25">
      <c r="A638" s="80">
        <v>637</v>
      </c>
      <c r="B638" s="80">
        <v>95</v>
      </c>
      <c r="C638" s="80">
        <v>3</v>
      </c>
      <c r="D638" s="80" t="s">
        <v>3585</v>
      </c>
      <c r="E638" s="80">
        <v>796</v>
      </c>
      <c r="F638" s="80">
        <v>0.88</v>
      </c>
      <c r="G638" s="80">
        <v>2</v>
      </c>
      <c r="H638" s="80">
        <v>2</v>
      </c>
      <c r="I638" s="80">
        <v>840</v>
      </c>
    </row>
    <row r="639" spans="1:9" x14ac:dyDescent="0.25">
      <c r="A639" s="80">
        <v>638</v>
      </c>
      <c r="B639" s="80">
        <v>95</v>
      </c>
      <c r="C639" s="80">
        <v>4</v>
      </c>
      <c r="D639" s="80" t="s">
        <v>3586</v>
      </c>
      <c r="E639" s="80">
        <v>796</v>
      </c>
      <c r="F639" s="80">
        <v>0.88</v>
      </c>
      <c r="G639" s="80">
        <v>3</v>
      </c>
      <c r="H639" s="80">
        <v>6</v>
      </c>
      <c r="I639" s="80">
        <v>840</v>
      </c>
    </row>
    <row r="640" spans="1:9" x14ac:dyDescent="0.25">
      <c r="A640" s="80">
        <v>639</v>
      </c>
      <c r="B640" s="80">
        <v>95</v>
      </c>
      <c r="C640" s="80">
        <v>5</v>
      </c>
      <c r="D640" s="80" t="s">
        <v>3587</v>
      </c>
      <c r="E640" s="80">
        <v>796</v>
      </c>
      <c r="F640" s="80">
        <v>0.88</v>
      </c>
      <c r="G640" s="80">
        <v>3</v>
      </c>
      <c r="H640" s="80">
        <v>6</v>
      </c>
      <c r="I640" s="80">
        <v>840</v>
      </c>
    </row>
    <row r="641" spans="1:9" x14ac:dyDescent="0.25">
      <c r="A641" s="80">
        <v>640</v>
      </c>
      <c r="B641" s="80">
        <v>95</v>
      </c>
      <c r="C641" s="80">
        <v>6</v>
      </c>
      <c r="D641" s="80" t="s">
        <v>3474</v>
      </c>
      <c r="E641" s="80">
        <v>796</v>
      </c>
      <c r="F641" s="80">
        <v>0.88</v>
      </c>
      <c r="G641" s="80">
        <v>1</v>
      </c>
      <c r="H641" s="80">
        <v>1</v>
      </c>
      <c r="I641" s="80">
        <v>840</v>
      </c>
    </row>
    <row r="642" spans="1:9" x14ac:dyDescent="0.25">
      <c r="A642" s="80">
        <v>641</v>
      </c>
      <c r="B642" s="80">
        <v>95</v>
      </c>
      <c r="C642" s="80">
        <v>7</v>
      </c>
      <c r="D642" s="80" t="s">
        <v>3588</v>
      </c>
      <c r="E642" s="80">
        <v>796</v>
      </c>
      <c r="F642" s="80">
        <v>0.88</v>
      </c>
      <c r="G642" s="80">
        <v>3</v>
      </c>
      <c r="H642" s="80">
        <v>3</v>
      </c>
      <c r="I642" s="80">
        <v>840</v>
      </c>
    </row>
    <row r="643" spans="1:9" x14ac:dyDescent="0.25">
      <c r="A643" s="80">
        <v>642</v>
      </c>
      <c r="B643" s="80">
        <v>95</v>
      </c>
      <c r="C643" s="80">
        <v>8</v>
      </c>
      <c r="D643" s="80" t="s">
        <v>3589</v>
      </c>
      <c r="E643" s="80">
        <v>796</v>
      </c>
      <c r="F643" s="80">
        <v>0.88</v>
      </c>
      <c r="G643" s="80">
        <v>3</v>
      </c>
      <c r="H643" s="80">
        <v>6</v>
      </c>
      <c r="I643" s="80">
        <v>840</v>
      </c>
    </row>
    <row r="644" spans="1:9" x14ac:dyDescent="0.25">
      <c r="A644" s="80">
        <v>643</v>
      </c>
      <c r="B644" s="80">
        <v>95</v>
      </c>
      <c r="C644" s="80">
        <v>9</v>
      </c>
      <c r="D644" s="80" t="s">
        <v>3590</v>
      </c>
      <c r="E644" s="80">
        <v>796</v>
      </c>
      <c r="F644" s="80">
        <v>0.88</v>
      </c>
      <c r="G644" s="80">
        <v>3</v>
      </c>
      <c r="H644" s="80">
        <v>6</v>
      </c>
      <c r="I644" s="80">
        <v>840</v>
      </c>
    </row>
    <row r="645" spans="1:9" x14ac:dyDescent="0.25">
      <c r="A645" s="80">
        <v>644</v>
      </c>
      <c r="B645" s="80">
        <v>95</v>
      </c>
      <c r="C645" s="80">
        <v>10</v>
      </c>
      <c r="D645" s="80" t="s">
        <v>3376</v>
      </c>
      <c r="E645" s="80">
        <v>796</v>
      </c>
      <c r="F645" s="80">
        <v>0.88</v>
      </c>
      <c r="G645" s="80">
        <v>1</v>
      </c>
      <c r="H645" s="80">
        <v>2</v>
      </c>
      <c r="I645" s="80">
        <v>840</v>
      </c>
    </row>
    <row r="646" spans="1:9" x14ac:dyDescent="0.25">
      <c r="A646" s="80">
        <v>645</v>
      </c>
      <c r="B646" s="80">
        <v>95</v>
      </c>
      <c r="C646" s="80">
        <v>11</v>
      </c>
      <c r="D646" s="80" t="s">
        <v>3591</v>
      </c>
      <c r="E646" s="80">
        <v>796</v>
      </c>
      <c r="F646" s="80">
        <v>0.88</v>
      </c>
      <c r="G646" s="80">
        <v>1</v>
      </c>
      <c r="H646" s="80">
        <v>2</v>
      </c>
      <c r="I646" s="80">
        <v>840</v>
      </c>
    </row>
    <row r="647" spans="1:9" x14ac:dyDescent="0.25">
      <c r="A647" s="80">
        <v>646</v>
      </c>
      <c r="B647" s="80">
        <v>95</v>
      </c>
      <c r="C647" s="80">
        <v>12</v>
      </c>
      <c r="D647" s="80" t="s">
        <v>3374</v>
      </c>
      <c r="E647" s="80">
        <v>796</v>
      </c>
      <c r="F647" s="80">
        <v>0.88</v>
      </c>
      <c r="G647" s="80">
        <v>3</v>
      </c>
      <c r="H647" s="80">
        <v>6</v>
      </c>
      <c r="I647" s="80">
        <v>840</v>
      </c>
    </row>
    <row r="648" spans="1:9" x14ac:dyDescent="0.25">
      <c r="A648" s="80">
        <v>647</v>
      </c>
      <c r="B648" s="80">
        <v>95</v>
      </c>
      <c r="C648" s="80">
        <v>13</v>
      </c>
      <c r="D648" s="80" t="s">
        <v>3592</v>
      </c>
      <c r="E648" s="80">
        <v>796</v>
      </c>
      <c r="F648" s="80">
        <v>0.88</v>
      </c>
      <c r="G648" s="80">
        <v>2</v>
      </c>
      <c r="H648" s="80">
        <v>4</v>
      </c>
      <c r="I648" s="80">
        <v>840</v>
      </c>
    </row>
    <row r="649" spans="1:9" x14ac:dyDescent="0.25">
      <c r="A649" s="80">
        <v>648</v>
      </c>
      <c r="B649" s="80">
        <v>95</v>
      </c>
      <c r="C649" s="80">
        <v>14</v>
      </c>
      <c r="D649" s="80" t="s">
        <v>3295</v>
      </c>
      <c r="E649" s="80">
        <v>796</v>
      </c>
      <c r="F649" s="80">
        <v>0.88</v>
      </c>
      <c r="G649" s="80">
        <v>1</v>
      </c>
      <c r="H649" s="80">
        <v>1</v>
      </c>
      <c r="I649" s="80">
        <v>840</v>
      </c>
    </row>
    <row r="650" spans="1:9" x14ac:dyDescent="0.25">
      <c r="A650" s="80">
        <v>649</v>
      </c>
      <c r="B650" s="80">
        <v>95</v>
      </c>
      <c r="C650" s="80">
        <v>15</v>
      </c>
      <c r="D650" s="80" t="s">
        <v>3593</v>
      </c>
      <c r="E650" s="80">
        <v>796</v>
      </c>
      <c r="F650" s="80">
        <v>0.88</v>
      </c>
      <c r="G650" s="80">
        <v>2</v>
      </c>
      <c r="H650" s="80">
        <v>4</v>
      </c>
      <c r="I650" s="80">
        <v>840</v>
      </c>
    </row>
    <row r="651" spans="1:9" x14ac:dyDescent="0.25">
      <c r="A651" s="80">
        <v>650</v>
      </c>
      <c r="B651" s="80">
        <v>95</v>
      </c>
      <c r="C651" s="80">
        <v>16</v>
      </c>
      <c r="D651" s="80" t="s">
        <v>3594</v>
      </c>
      <c r="E651" s="80">
        <v>796</v>
      </c>
      <c r="F651" s="80">
        <v>0.88</v>
      </c>
      <c r="G651" s="80">
        <v>1</v>
      </c>
      <c r="H651" s="80">
        <v>1</v>
      </c>
      <c r="I651" s="80">
        <v>840</v>
      </c>
    </row>
    <row r="652" spans="1:9" x14ac:dyDescent="0.25">
      <c r="A652" s="80">
        <v>651</v>
      </c>
      <c r="B652" s="80">
        <v>95</v>
      </c>
      <c r="C652" s="80">
        <v>17</v>
      </c>
      <c r="D652" s="80" t="s">
        <v>3426</v>
      </c>
      <c r="E652" s="80">
        <v>796</v>
      </c>
      <c r="F652" s="80">
        <v>0.88</v>
      </c>
      <c r="G652" s="80">
        <v>3</v>
      </c>
      <c r="H652" s="80">
        <v>3</v>
      </c>
      <c r="I652" s="80">
        <v>840</v>
      </c>
    </row>
    <row r="653" spans="1:9" x14ac:dyDescent="0.25">
      <c r="A653" s="80">
        <v>652</v>
      </c>
      <c r="B653" s="80">
        <v>96</v>
      </c>
      <c r="C653" s="80">
        <v>1</v>
      </c>
      <c r="D653" s="80" t="s">
        <v>3512</v>
      </c>
      <c r="E653" s="80">
        <v>796</v>
      </c>
      <c r="F653" s="80">
        <v>24.6</v>
      </c>
      <c r="G653" s="80">
        <v>1</v>
      </c>
      <c r="H653" s="80">
        <v>30</v>
      </c>
      <c r="I653" s="80">
        <v>840</v>
      </c>
    </row>
    <row r="654" spans="1:9" x14ac:dyDescent="0.25">
      <c r="A654" s="80">
        <v>653</v>
      </c>
      <c r="B654" s="80">
        <v>97</v>
      </c>
      <c r="C654" s="80">
        <v>1</v>
      </c>
      <c r="D654" s="80" t="s">
        <v>3512</v>
      </c>
      <c r="E654" s="80">
        <v>796</v>
      </c>
      <c r="F654" s="80">
        <v>23.3</v>
      </c>
      <c r="G654" s="80">
        <v>1</v>
      </c>
      <c r="H654" s="80">
        <v>40</v>
      </c>
      <c r="I654" s="80">
        <v>840</v>
      </c>
    </row>
    <row r="655" spans="1:9" x14ac:dyDescent="0.25">
      <c r="A655" s="80">
        <v>654</v>
      </c>
      <c r="B655" s="80">
        <v>98</v>
      </c>
      <c r="C655" s="80">
        <v>1</v>
      </c>
      <c r="D655" s="80" t="s">
        <v>3512</v>
      </c>
      <c r="E655" s="80">
        <v>796</v>
      </c>
      <c r="F655" s="80">
        <v>25.6</v>
      </c>
      <c r="G655" s="80">
        <v>3</v>
      </c>
      <c r="H655" s="80">
        <v>40</v>
      </c>
      <c r="I655" s="80">
        <v>840</v>
      </c>
    </row>
    <row r="656" spans="1:9" x14ac:dyDescent="0.25">
      <c r="A656" s="80">
        <v>655</v>
      </c>
      <c r="B656" s="80">
        <v>99</v>
      </c>
      <c r="C656" s="80">
        <v>1</v>
      </c>
      <c r="D656" s="80" t="s">
        <v>3512</v>
      </c>
      <c r="E656" s="80">
        <v>796</v>
      </c>
      <c r="F656" s="80">
        <v>20.9</v>
      </c>
      <c r="G656" s="80">
        <v>1</v>
      </c>
      <c r="H656" s="80">
        <v>40</v>
      </c>
      <c r="I656" s="80">
        <v>840</v>
      </c>
    </row>
    <row r="657" spans="1:9" x14ac:dyDescent="0.25">
      <c r="A657" s="80">
        <v>656</v>
      </c>
      <c r="B657" s="80">
        <v>100</v>
      </c>
      <c r="C657" s="80">
        <v>1</v>
      </c>
      <c r="D657" s="80" t="s">
        <v>3512</v>
      </c>
      <c r="E657" s="80">
        <v>796</v>
      </c>
      <c r="F657" s="80">
        <v>23.1</v>
      </c>
      <c r="G657" s="80">
        <v>1</v>
      </c>
      <c r="H657" s="80">
        <v>50</v>
      </c>
      <c r="I657" s="80">
        <v>840</v>
      </c>
    </row>
    <row r="658" spans="1:9" x14ac:dyDescent="0.25">
      <c r="A658" s="80">
        <v>657</v>
      </c>
      <c r="B658" s="80">
        <v>101</v>
      </c>
      <c r="C658" s="80">
        <v>1</v>
      </c>
      <c r="D658" s="80" t="s">
        <v>3512</v>
      </c>
      <c r="E658" s="80">
        <v>796</v>
      </c>
      <c r="F658" s="80">
        <v>24.9</v>
      </c>
      <c r="G658" s="80">
        <v>2</v>
      </c>
      <c r="H658" s="80">
        <v>50</v>
      </c>
      <c r="I658" s="80">
        <v>840</v>
      </c>
    </row>
    <row r="659" spans="1:9" x14ac:dyDescent="0.25">
      <c r="A659" s="80">
        <v>658</v>
      </c>
      <c r="B659" s="80">
        <v>102</v>
      </c>
      <c r="C659" s="80">
        <v>1</v>
      </c>
      <c r="D659" s="80" t="s">
        <v>3512</v>
      </c>
      <c r="E659" s="80">
        <v>796</v>
      </c>
      <c r="F659" s="80">
        <v>24.5</v>
      </c>
      <c r="G659" s="80">
        <v>2</v>
      </c>
      <c r="H659" s="80">
        <v>50</v>
      </c>
      <c r="I659" s="80">
        <v>840</v>
      </c>
    </row>
    <row r="660" spans="1:9" x14ac:dyDescent="0.25">
      <c r="A660" s="80">
        <v>659</v>
      </c>
      <c r="B660" s="80">
        <v>103</v>
      </c>
      <c r="C660" s="80">
        <v>1</v>
      </c>
      <c r="D660" s="80" t="s">
        <v>3289</v>
      </c>
      <c r="E660" s="80">
        <v>796</v>
      </c>
      <c r="F660" s="80">
        <v>1.2</v>
      </c>
      <c r="G660" s="80">
        <v>2</v>
      </c>
      <c r="H660" s="80">
        <v>4</v>
      </c>
      <c r="I660" s="80">
        <v>840</v>
      </c>
    </row>
    <row r="661" spans="1:9" x14ac:dyDescent="0.25">
      <c r="A661" s="80">
        <v>660</v>
      </c>
      <c r="B661" s="80">
        <v>104</v>
      </c>
      <c r="C661" s="80">
        <v>1</v>
      </c>
      <c r="D661" s="80" t="s">
        <v>3287</v>
      </c>
      <c r="E661" s="80">
        <v>796</v>
      </c>
      <c r="F661" s="80">
        <v>0.5</v>
      </c>
      <c r="G661" s="80">
        <v>3</v>
      </c>
      <c r="H661" s="80">
        <v>3</v>
      </c>
      <c r="I661" s="80">
        <v>840</v>
      </c>
    </row>
    <row r="662" spans="1:9" x14ac:dyDescent="0.25">
      <c r="A662" s="80">
        <v>661</v>
      </c>
      <c r="B662" s="80">
        <v>104</v>
      </c>
      <c r="C662" s="80">
        <v>2</v>
      </c>
      <c r="D662" s="80" t="s">
        <v>3332</v>
      </c>
      <c r="E662" s="80">
        <v>796</v>
      </c>
      <c r="F662" s="80">
        <v>0.5</v>
      </c>
      <c r="G662" s="80">
        <v>2</v>
      </c>
      <c r="H662" s="80">
        <v>2</v>
      </c>
      <c r="I662" s="80">
        <v>840</v>
      </c>
    </row>
    <row r="663" spans="1:9" x14ac:dyDescent="0.25">
      <c r="A663" s="80">
        <v>662</v>
      </c>
      <c r="B663" s="80">
        <v>105</v>
      </c>
      <c r="C663" s="80">
        <v>1</v>
      </c>
      <c r="D663" s="80" t="s">
        <v>3342</v>
      </c>
      <c r="E663" s="80">
        <v>796</v>
      </c>
      <c r="F663" s="80">
        <v>1</v>
      </c>
      <c r="G663" s="80">
        <v>2</v>
      </c>
      <c r="H663" s="80">
        <v>2</v>
      </c>
      <c r="I663" s="80">
        <v>840</v>
      </c>
    </row>
    <row r="664" spans="1:9" x14ac:dyDescent="0.25">
      <c r="A664" s="80">
        <v>663</v>
      </c>
      <c r="B664" s="80">
        <v>106</v>
      </c>
      <c r="C664" s="80">
        <v>1</v>
      </c>
      <c r="D664" s="80" t="s">
        <v>3480</v>
      </c>
      <c r="E664" s="80">
        <v>796</v>
      </c>
      <c r="F664" s="80">
        <v>1</v>
      </c>
      <c r="G664" s="80">
        <v>2</v>
      </c>
      <c r="H664" s="80">
        <v>2</v>
      </c>
      <c r="I664" s="80">
        <v>840</v>
      </c>
    </row>
    <row r="665" spans="1:9" x14ac:dyDescent="0.25">
      <c r="A665" s="80">
        <v>664</v>
      </c>
      <c r="B665" s="80">
        <v>107</v>
      </c>
      <c r="C665" s="80">
        <v>1</v>
      </c>
      <c r="D665" s="80" t="s">
        <v>3398</v>
      </c>
      <c r="E665" s="80">
        <v>796</v>
      </c>
      <c r="F665" s="80">
        <v>0.22</v>
      </c>
      <c r="G665" s="80">
        <v>3</v>
      </c>
      <c r="H665" s="80">
        <v>6</v>
      </c>
      <c r="I665" s="80">
        <v>840</v>
      </c>
    </row>
    <row r="666" spans="1:9" x14ac:dyDescent="0.25">
      <c r="A666" s="80">
        <v>665</v>
      </c>
      <c r="B666" s="80">
        <v>107</v>
      </c>
      <c r="C666" s="80">
        <v>2</v>
      </c>
      <c r="D666" s="80" t="s">
        <v>3313</v>
      </c>
      <c r="E666" s="80">
        <v>796</v>
      </c>
      <c r="F666" s="80">
        <v>0.22</v>
      </c>
      <c r="G666" s="80">
        <v>3</v>
      </c>
      <c r="H666" s="80">
        <v>3</v>
      </c>
      <c r="I666" s="80">
        <v>840</v>
      </c>
    </row>
    <row r="667" spans="1:9" x14ac:dyDescent="0.25">
      <c r="A667" s="80">
        <v>666</v>
      </c>
      <c r="B667" s="80">
        <v>107</v>
      </c>
      <c r="C667" s="80">
        <v>3</v>
      </c>
      <c r="D667" s="80" t="s">
        <v>3602</v>
      </c>
      <c r="E667" s="80">
        <v>796</v>
      </c>
      <c r="F667" s="80">
        <v>0.22</v>
      </c>
      <c r="G667" s="80">
        <v>3</v>
      </c>
      <c r="H667" s="80">
        <v>6</v>
      </c>
      <c r="I667" s="80">
        <v>840</v>
      </c>
    </row>
    <row r="668" spans="1:9" x14ac:dyDescent="0.25">
      <c r="A668" s="80">
        <v>667</v>
      </c>
      <c r="B668" s="80">
        <v>107</v>
      </c>
      <c r="C668" s="80">
        <v>4</v>
      </c>
      <c r="D668" s="80" t="s">
        <v>3374</v>
      </c>
      <c r="E668" s="80">
        <v>796</v>
      </c>
      <c r="F668" s="80">
        <v>0.22</v>
      </c>
      <c r="G668" s="80">
        <v>1</v>
      </c>
      <c r="H668" s="80">
        <v>2</v>
      </c>
      <c r="I668" s="80">
        <v>840</v>
      </c>
    </row>
    <row r="669" spans="1:9" x14ac:dyDescent="0.25">
      <c r="A669" s="80">
        <v>668</v>
      </c>
      <c r="B669" s="80">
        <v>107</v>
      </c>
      <c r="C669" s="80">
        <v>5</v>
      </c>
      <c r="D669" s="80" t="s">
        <v>3341</v>
      </c>
      <c r="E669" s="80">
        <v>796</v>
      </c>
      <c r="F669" s="80">
        <v>0.22</v>
      </c>
      <c r="G669" s="80">
        <v>2</v>
      </c>
      <c r="H669" s="80">
        <v>2</v>
      </c>
      <c r="I669" s="80">
        <v>840</v>
      </c>
    </row>
    <row r="670" spans="1:9" x14ac:dyDescent="0.25">
      <c r="A670" s="80">
        <v>669</v>
      </c>
      <c r="B670" s="80">
        <v>107</v>
      </c>
      <c r="C670" s="80">
        <v>6</v>
      </c>
      <c r="D670" s="80" t="s">
        <v>3287</v>
      </c>
      <c r="E670" s="80">
        <v>796</v>
      </c>
      <c r="F670" s="80">
        <v>0.22</v>
      </c>
      <c r="G670" s="80">
        <v>3</v>
      </c>
      <c r="H670" s="80">
        <v>3</v>
      </c>
      <c r="I670" s="80">
        <v>840</v>
      </c>
    </row>
    <row r="671" spans="1:9" x14ac:dyDescent="0.25">
      <c r="A671" s="80">
        <v>670</v>
      </c>
      <c r="B671" s="80">
        <v>108</v>
      </c>
      <c r="C671" s="80">
        <v>1</v>
      </c>
      <c r="D671" s="80" t="s">
        <v>3506</v>
      </c>
      <c r="E671" s="80">
        <v>796</v>
      </c>
      <c r="F671" s="80">
        <v>1</v>
      </c>
      <c r="G671" s="80">
        <v>3</v>
      </c>
      <c r="H671" s="80">
        <v>3</v>
      </c>
      <c r="I671" s="80">
        <v>840</v>
      </c>
    </row>
    <row r="672" spans="1:9" x14ac:dyDescent="0.25">
      <c r="A672" s="80">
        <v>671</v>
      </c>
      <c r="B672" s="80">
        <v>109</v>
      </c>
      <c r="C672" s="80">
        <v>1</v>
      </c>
      <c r="D672" s="80" t="s">
        <v>3467</v>
      </c>
      <c r="E672" s="80">
        <v>796</v>
      </c>
      <c r="F672" s="80">
        <v>1</v>
      </c>
      <c r="G672" s="80">
        <v>3</v>
      </c>
      <c r="H672" s="80">
        <v>6</v>
      </c>
      <c r="I672" s="80">
        <v>840</v>
      </c>
    </row>
    <row r="673" spans="1:9" x14ac:dyDescent="0.25">
      <c r="A673" s="80">
        <v>672</v>
      </c>
      <c r="B673" s="80">
        <v>110</v>
      </c>
      <c r="C673" s="80">
        <v>1</v>
      </c>
      <c r="D673" s="80" t="s">
        <v>3392</v>
      </c>
      <c r="E673" s="80">
        <v>796</v>
      </c>
      <c r="F673" s="80">
        <v>1</v>
      </c>
      <c r="G673" s="80">
        <v>1</v>
      </c>
      <c r="H673" s="80">
        <v>1</v>
      </c>
      <c r="I673" s="80">
        <v>840</v>
      </c>
    </row>
    <row r="674" spans="1:9" x14ac:dyDescent="0.25">
      <c r="A674" s="80">
        <v>673</v>
      </c>
      <c r="B674" s="80">
        <v>111</v>
      </c>
      <c r="C674" s="80">
        <v>1</v>
      </c>
      <c r="D674" s="80" t="s">
        <v>3396</v>
      </c>
      <c r="E674" s="80">
        <v>796</v>
      </c>
      <c r="F674" s="80">
        <v>0.28000000000000003</v>
      </c>
      <c r="G674" s="80">
        <v>2</v>
      </c>
      <c r="H674" s="80">
        <v>4</v>
      </c>
      <c r="I674" s="80">
        <v>840</v>
      </c>
    </row>
    <row r="675" spans="1:9" x14ac:dyDescent="0.25">
      <c r="A675" s="80">
        <v>674</v>
      </c>
      <c r="B675" s="80">
        <v>111</v>
      </c>
      <c r="C675" s="80">
        <v>2</v>
      </c>
      <c r="D675" s="80" t="s">
        <v>3310</v>
      </c>
      <c r="E675" s="80">
        <v>796</v>
      </c>
      <c r="F675" s="80">
        <v>0.28000000000000003</v>
      </c>
      <c r="G675" s="80">
        <v>1</v>
      </c>
      <c r="H675" s="80">
        <v>2</v>
      </c>
      <c r="I675" s="80">
        <v>840</v>
      </c>
    </row>
    <row r="676" spans="1:9" x14ac:dyDescent="0.25">
      <c r="A676" s="80">
        <v>675</v>
      </c>
      <c r="B676" s="80">
        <v>111</v>
      </c>
      <c r="C676" s="80">
        <v>3</v>
      </c>
      <c r="D676" s="80" t="s">
        <v>3302</v>
      </c>
      <c r="E676" s="80">
        <v>796</v>
      </c>
      <c r="F676" s="80">
        <v>0.28000000000000003</v>
      </c>
      <c r="G676" s="80">
        <v>1</v>
      </c>
      <c r="H676" s="80">
        <v>2</v>
      </c>
      <c r="I676" s="80">
        <v>840</v>
      </c>
    </row>
    <row r="677" spans="1:9" x14ac:dyDescent="0.25">
      <c r="A677" s="80">
        <v>676</v>
      </c>
      <c r="B677" s="80">
        <v>111</v>
      </c>
      <c r="C677" s="80">
        <v>4</v>
      </c>
      <c r="D677" s="80" t="s">
        <v>3420</v>
      </c>
      <c r="E677" s="80">
        <v>796</v>
      </c>
      <c r="F677" s="80">
        <v>0.28000000000000003</v>
      </c>
      <c r="G677" s="80">
        <v>1</v>
      </c>
      <c r="H677" s="80">
        <v>2</v>
      </c>
      <c r="I677" s="80">
        <v>840</v>
      </c>
    </row>
    <row r="678" spans="1:9" x14ac:dyDescent="0.25">
      <c r="A678" s="80">
        <v>677</v>
      </c>
      <c r="B678" s="80">
        <v>112</v>
      </c>
      <c r="C678" s="80">
        <v>1</v>
      </c>
      <c r="D678" s="80" t="s">
        <v>3342</v>
      </c>
      <c r="E678" s="80">
        <v>796</v>
      </c>
      <c r="F678" s="80">
        <v>1</v>
      </c>
      <c r="G678" s="80">
        <v>1</v>
      </c>
      <c r="H678" s="80">
        <v>1</v>
      </c>
      <c r="I678" s="80">
        <v>840</v>
      </c>
    </row>
    <row r="679" spans="1:9" x14ac:dyDescent="0.25">
      <c r="A679" s="80">
        <v>678</v>
      </c>
      <c r="B679" s="80">
        <v>113</v>
      </c>
      <c r="C679" s="80">
        <v>1</v>
      </c>
      <c r="D679" s="80" t="s">
        <v>3289</v>
      </c>
      <c r="E679" s="80">
        <v>796</v>
      </c>
      <c r="F679" s="80">
        <v>0.5</v>
      </c>
      <c r="G679" s="80">
        <v>2</v>
      </c>
      <c r="H679" s="80">
        <v>2</v>
      </c>
      <c r="I679" s="80">
        <v>840</v>
      </c>
    </row>
    <row r="680" spans="1:9" x14ac:dyDescent="0.25">
      <c r="A680" s="80">
        <v>679</v>
      </c>
      <c r="B680" s="80">
        <v>113</v>
      </c>
      <c r="C680" s="80">
        <v>2</v>
      </c>
      <c r="D680" s="80" t="s">
        <v>3605</v>
      </c>
      <c r="E680" s="80">
        <v>796</v>
      </c>
      <c r="F680" s="80">
        <v>0.5</v>
      </c>
      <c r="G680" s="80">
        <v>1</v>
      </c>
      <c r="H680" s="80">
        <v>1</v>
      </c>
      <c r="I680" s="80">
        <v>840</v>
      </c>
    </row>
    <row r="681" spans="1:9" x14ac:dyDescent="0.25">
      <c r="A681" s="80">
        <v>680</v>
      </c>
      <c r="B681" s="80">
        <v>114</v>
      </c>
      <c r="C681" s="80">
        <v>1</v>
      </c>
      <c r="D681" s="80" t="s">
        <v>3310</v>
      </c>
      <c r="E681" s="80">
        <v>796</v>
      </c>
      <c r="F681" s="80">
        <v>0.5</v>
      </c>
      <c r="G681" s="80">
        <v>1</v>
      </c>
      <c r="H681" s="80">
        <v>2</v>
      </c>
      <c r="I681" s="80">
        <v>840</v>
      </c>
    </row>
    <row r="682" spans="1:9" x14ac:dyDescent="0.25">
      <c r="A682" s="80">
        <v>681</v>
      </c>
      <c r="B682" s="80">
        <v>114</v>
      </c>
      <c r="C682" s="80">
        <v>2</v>
      </c>
      <c r="D682" s="80" t="s">
        <v>3324</v>
      </c>
      <c r="E682" s="80">
        <v>796</v>
      </c>
      <c r="F682" s="80">
        <v>0.5</v>
      </c>
      <c r="G682" s="80">
        <v>3</v>
      </c>
      <c r="H682" s="80">
        <v>6</v>
      </c>
      <c r="I682" s="80">
        <v>840</v>
      </c>
    </row>
    <row r="683" spans="1:9" x14ac:dyDescent="0.25">
      <c r="A683" s="80">
        <v>682</v>
      </c>
      <c r="B683" s="80">
        <v>115</v>
      </c>
      <c r="C683" s="80">
        <v>1</v>
      </c>
      <c r="D683" s="80" t="s">
        <v>3321</v>
      </c>
      <c r="E683" s="80">
        <v>796</v>
      </c>
      <c r="F683" s="80">
        <v>1</v>
      </c>
      <c r="G683" s="80">
        <v>1</v>
      </c>
      <c r="H683" s="80">
        <v>2</v>
      </c>
      <c r="I683" s="80">
        <v>840</v>
      </c>
    </row>
    <row r="684" spans="1:9" x14ac:dyDescent="0.25">
      <c r="A684" s="80">
        <v>683</v>
      </c>
      <c r="B684" s="80">
        <v>116</v>
      </c>
      <c r="C684" s="80">
        <v>1</v>
      </c>
      <c r="D684" s="80" t="s">
        <v>3301</v>
      </c>
      <c r="E684" s="80">
        <v>796</v>
      </c>
      <c r="F684" s="80">
        <v>0.33</v>
      </c>
      <c r="G684" s="80">
        <v>3</v>
      </c>
      <c r="H684" s="80">
        <v>3</v>
      </c>
      <c r="I684" s="80">
        <v>840</v>
      </c>
    </row>
    <row r="685" spans="1:9" x14ac:dyDescent="0.25">
      <c r="A685" s="80">
        <v>684</v>
      </c>
      <c r="B685" s="80">
        <v>116</v>
      </c>
      <c r="C685" s="80">
        <v>2</v>
      </c>
      <c r="D685" s="80" t="s">
        <v>3287</v>
      </c>
      <c r="E685" s="80">
        <v>796</v>
      </c>
      <c r="F685" s="80">
        <v>0.33</v>
      </c>
      <c r="G685" s="80">
        <v>2</v>
      </c>
      <c r="H685" s="80">
        <v>2</v>
      </c>
      <c r="I685" s="80">
        <v>840</v>
      </c>
    </row>
    <row r="686" spans="1:9" x14ac:dyDescent="0.25">
      <c r="A686" s="80">
        <v>685</v>
      </c>
      <c r="B686" s="80">
        <v>116</v>
      </c>
      <c r="C686" s="80">
        <v>3</v>
      </c>
      <c r="D686" s="80" t="s">
        <v>3265</v>
      </c>
      <c r="E686" s="80">
        <v>796</v>
      </c>
      <c r="F686" s="80">
        <v>0.33</v>
      </c>
      <c r="G686" s="80">
        <v>3</v>
      </c>
      <c r="H686" s="80">
        <v>3</v>
      </c>
      <c r="I686" s="80">
        <v>840</v>
      </c>
    </row>
    <row r="687" spans="1:9" x14ac:dyDescent="0.25">
      <c r="A687" s="80">
        <v>686</v>
      </c>
      <c r="B687" s="80">
        <v>117</v>
      </c>
      <c r="C687" s="80">
        <v>1</v>
      </c>
      <c r="D687" s="80" t="s">
        <v>84</v>
      </c>
      <c r="E687" s="80">
        <v>796</v>
      </c>
      <c r="F687" s="80">
        <v>1.1599999999999999</v>
      </c>
      <c r="G687" s="80">
        <v>2</v>
      </c>
      <c r="H687" s="80">
        <v>4</v>
      </c>
      <c r="I687" s="80">
        <v>840</v>
      </c>
    </row>
    <row r="688" spans="1:9" x14ac:dyDescent="0.25">
      <c r="A688" s="80">
        <v>687</v>
      </c>
      <c r="B688" s="80">
        <v>117</v>
      </c>
      <c r="C688" s="80">
        <v>2</v>
      </c>
      <c r="D688" s="80" t="s">
        <v>3608</v>
      </c>
      <c r="E688" s="80">
        <v>796</v>
      </c>
      <c r="F688" s="80">
        <v>1.1599999999999999</v>
      </c>
      <c r="G688" s="80">
        <v>2</v>
      </c>
      <c r="H688" s="80">
        <v>4</v>
      </c>
      <c r="I688" s="80">
        <v>840</v>
      </c>
    </row>
    <row r="689" spans="1:9" x14ac:dyDescent="0.25">
      <c r="A689" s="80">
        <v>688</v>
      </c>
      <c r="B689" s="80">
        <v>117</v>
      </c>
      <c r="C689" s="80">
        <v>3</v>
      </c>
      <c r="D689" s="80" t="s">
        <v>3609</v>
      </c>
      <c r="E689" s="80">
        <v>796</v>
      </c>
      <c r="F689" s="80">
        <v>1.1599999999999999</v>
      </c>
      <c r="G689" s="80">
        <v>2</v>
      </c>
      <c r="H689" s="80">
        <v>4</v>
      </c>
      <c r="I689" s="80">
        <v>840</v>
      </c>
    </row>
    <row r="690" spans="1:9" x14ac:dyDescent="0.25">
      <c r="A690" s="80">
        <v>689</v>
      </c>
      <c r="B690" s="80">
        <v>117</v>
      </c>
      <c r="C690" s="80">
        <v>4</v>
      </c>
      <c r="D690" s="80" t="s">
        <v>3610</v>
      </c>
      <c r="E690" s="80">
        <v>796</v>
      </c>
      <c r="F690" s="80">
        <v>1.1599999999999999</v>
      </c>
      <c r="G690" s="80">
        <v>1</v>
      </c>
      <c r="H690" s="80">
        <v>2</v>
      </c>
      <c r="I690" s="80">
        <v>840</v>
      </c>
    </row>
    <row r="691" spans="1:9" x14ac:dyDescent="0.25">
      <c r="A691" s="80">
        <v>690</v>
      </c>
      <c r="B691" s="80">
        <v>117</v>
      </c>
      <c r="C691" s="80">
        <v>5</v>
      </c>
      <c r="D691" s="80" t="s">
        <v>215</v>
      </c>
      <c r="E691" s="80">
        <v>796</v>
      </c>
      <c r="F691" s="80">
        <v>1.1599999999999999</v>
      </c>
      <c r="G691" s="80">
        <v>3</v>
      </c>
      <c r="H691" s="80">
        <v>6</v>
      </c>
      <c r="I691" s="80">
        <v>840</v>
      </c>
    </row>
    <row r="692" spans="1:9" x14ac:dyDescent="0.25">
      <c r="A692" s="80">
        <v>691</v>
      </c>
      <c r="B692" s="80">
        <v>118</v>
      </c>
      <c r="C692" s="80">
        <v>1</v>
      </c>
      <c r="D692" s="80" t="s">
        <v>84</v>
      </c>
      <c r="E692" s="80">
        <v>796</v>
      </c>
      <c r="F692" s="80">
        <v>2.5</v>
      </c>
      <c r="G692" s="80">
        <v>3</v>
      </c>
      <c r="H692" s="80">
        <v>6</v>
      </c>
      <c r="I692" s="80">
        <v>840</v>
      </c>
    </row>
    <row r="693" spans="1:9" x14ac:dyDescent="0.25">
      <c r="A693" s="80">
        <v>692</v>
      </c>
      <c r="B693" s="80">
        <v>118</v>
      </c>
      <c r="C693" s="80">
        <v>2</v>
      </c>
      <c r="D693" s="80" t="s">
        <v>3608</v>
      </c>
      <c r="E693" s="80">
        <v>796</v>
      </c>
      <c r="F693" s="80">
        <v>2.5</v>
      </c>
      <c r="G693" s="80">
        <v>1</v>
      </c>
      <c r="H693" s="80">
        <v>1</v>
      </c>
      <c r="I693" s="80">
        <v>840</v>
      </c>
    </row>
    <row r="694" spans="1:9" x14ac:dyDescent="0.25">
      <c r="A694" s="80">
        <v>693</v>
      </c>
      <c r="B694" s="80">
        <v>118</v>
      </c>
      <c r="C694" s="80">
        <v>3</v>
      </c>
      <c r="D694" s="80" t="s">
        <v>3609</v>
      </c>
      <c r="E694" s="80">
        <v>796</v>
      </c>
      <c r="F694" s="80">
        <v>2.5</v>
      </c>
      <c r="G694" s="80">
        <v>2</v>
      </c>
      <c r="H694" s="80">
        <v>2</v>
      </c>
      <c r="I694" s="80">
        <v>840</v>
      </c>
    </row>
    <row r="695" spans="1:9" x14ac:dyDescent="0.25">
      <c r="A695" s="80">
        <v>694</v>
      </c>
      <c r="B695" s="80">
        <v>118</v>
      </c>
      <c r="C695" s="80">
        <v>4</v>
      </c>
      <c r="D695" s="80" t="s">
        <v>3610</v>
      </c>
      <c r="E695" s="80">
        <v>796</v>
      </c>
      <c r="F695" s="80">
        <v>2.5</v>
      </c>
      <c r="G695" s="80">
        <v>1</v>
      </c>
      <c r="H695" s="80">
        <v>2</v>
      </c>
      <c r="I695" s="80">
        <v>840</v>
      </c>
    </row>
    <row r="696" spans="1:9" x14ac:dyDescent="0.25">
      <c r="A696" s="80">
        <v>695</v>
      </c>
      <c r="B696" s="80">
        <v>118</v>
      </c>
      <c r="C696" s="80">
        <v>5</v>
      </c>
      <c r="D696" s="80" t="s">
        <v>215</v>
      </c>
      <c r="E696" s="80">
        <v>796</v>
      </c>
      <c r="F696" s="80">
        <v>2.5</v>
      </c>
      <c r="G696" s="80">
        <v>1</v>
      </c>
      <c r="H696" s="80">
        <v>2</v>
      </c>
      <c r="I696" s="80">
        <v>840</v>
      </c>
    </row>
    <row r="697" spans="1:9" x14ac:dyDescent="0.25">
      <c r="A697" s="80">
        <v>696</v>
      </c>
      <c r="B697" s="80">
        <v>119</v>
      </c>
      <c r="C697" s="80">
        <v>1</v>
      </c>
      <c r="D697" s="80" t="s">
        <v>84</v>
      </c>
      <c r="E697" s="80">
        <v>796</v>
      </c>
      <c r="F697" s="80">
        <v>1.45</v>
      </c>
      <c r="G697" s="80">
        <v>1</v>
      </c>
      <c r="H697" s="80">
        <v>2</v>
      </c>
      <c r="I697" s="80">
        <v>840</v>
      </c>
    </row>
    <row r="698" spans="1:9" x14ac:dyDescent="0.25">
      <c r="A698" s="80">
        <v>697</v>
      </c>
      <c r="B698" s="80">
        <v>119</v>
      </c>
      <c r="C698" s="80">
        <v>2</v>
      </c>
      <c r="D698" s="80" t="s">
        <v>232</v>
      </c>
      <c r="E698" s="80">
        <v>796</v>
      </c>
      <c r="F698" s="80">
        <v>1.45</v>
      </c>
      <c r="G698" s="80">
        <v>2</v>
      </c>
      <c r="H698" s="80">
        <v>4</v>
      </c>
      <c r="I698" s="80">
        <v>840</v>
      </c>
    </row>
    <row r="699" spans="1:9" x14ac:dyDescent="0.25">
      <c r="A699" s="80">
        <v>698</v>
      </c>
      <c r="B699" s="80">
        <v>119</v>
      </c>
      <c r="C699" s="80">
        <v>3</v>
      </c>
      <c r="D699" s="80" t="s">
        <v>78</v>
      </c>
      <c r="E699" s="80">
        <v>796</v>
      </c>
      <c r="F699" s="80">
        <v>1.45</v>
      </c>
      <c r="G699" s="80">
        <v>3</v>
      </c>
      <c r="H699" s="80">
        <v>3</v>
      </c>
      <c r="I699" s="80">
        <v>840</v>
      </c>
    </row>
    <row r="700" spans="1:9" x14ac:dyDescent="0.25">
      <c r="A700" s="80">
        <v>699</v>
      </c>
      <c r="B700" s="80">
        <v>119</v>
      </c>
      <c r="C700" s="80">
        <v>4</v>
      </c>
      <c r="D700" s="80" t="s">
        <v>232</v>
      </c>
      <c r="E700" s="80">
        <v>796</v>
      </c>
      <c r="F700" s="80">
        <v>1.45</v>
      </c>
      <c r="G700" s="80">
        <v>2</v>
      </c>
      <c r="H700" s="80">
        <v>2</v>
      </c>
      <c r="I700" s="80">
        <v>840</v>
      </c>
    </row>
    <row r="701" spans="1:9" x14ac:dyDescent="0.25">
      <c r="A701" s="80">
        <v>700</v>
      </c>
      <c r="B701" s="80">
        <v>119</v>
      </c>
      <c r="C701" s="80">
        <v>5</v>
      </c>
      <c r="D701" s="80" t="s">
        <v>92</v>
      </c>
      <c r="E701" s="80">
        <v>796</v>
      </c>
      <c r="F701" s="80">
        <v>1.45</v>
      </c>
      <c r="G701" s="80">
        <v>2</v>
      </c>
      <c r="H701" s="80">
        <v>2</v>
      </c>
      <c r="I701" s="80">
        <v>840</v>
      </c>
    </row>
    <row r="702" spans="1:9" x14ac:dyDescent="0.25">
      <c r="A702" s="80">
        <v>701</v>
      </c>
      <c r="B702" s="80">
        <v>119</v>
      </c>
      <c r="C702" s="80">
        <v>6</v>
      </c>
      <c r="D702" s="80" t="s">
        <v>209</v>
      </c>
      <c r="E702" s="80">
        <v>796</v>
      </c>
      <c r="F702" s="80">
        <v>1.45</v>
      </c>
      <c r="G702" s="80">
        <v>3</v>
      </c>
      <c r="H702" s="80">
        <v>3</v>
      </c>
      <c r="I702" s="80">
        <v>840</v>
      </c>
    </row>
    <row r="703" spans="1:9" x14ac:dyDescent="0.25">
      <c r="A703" s="80">
        <v>702</v>
      </c>
      <c r="B703" s="80">
        <v>120</v>
      </c>
      <c r="C703" s="80">
        <v>1</v>
      </c>
      <c r="D703" s="80" t="s">
        <v>84</v>
      </c>
      <c r="E703" s="80">
        <v>796</v>
      </c>
      <c r="F703" s="80">
        <v>0.85</v>
      </c>
      <c r="G703" s="80">
        <v>3</v>
      </c>
      <c r="H703" s="80">
        <v>6</v>
      </c>
      <c r="I703" s="80">
        <v>840</v>
      </c>
    </row>
    <row r="704" spans="1:9" x14ac:dyDescent="0.25">
      <c r="A704" s="80">
        <v>703</v>
      </c>
      <c r="B704" s="80">
        <v>120</v>
      </c>
      <c r="C704" s="80">
        <v>2</v>
      </c>
      <c r="D704" s="80" t="s">
        <v>232</v>
      </c>
      <c r="E704" s="80">
        <v>796</v>
      </c>
      <c r="F704" s="80">
        <v>0.85</v>
      </c>
      <c r="G704" s="80">
        <v>3</v>
      </c>
      <c r="H704" s="80">
        <v>3</v>
      </c>
      <c r="I704" s="80">
        <v>840</v>
      </c>
    </row>
    <row r="705" spans="1:9" x14ac:dyDescent="0.25">
      <c r="A705" s="80">
        <v>704</v>
      </c>
      <c r="B705" s="80">
        <v>120</v>
      </c>
      <c r="C705" s="80">
        <v>3</v>
      </c>
      <c r="D705" s="80" t="s">
        <v>78</v>
      </c>
      <c r="E705" s="80">
        <v>796</v>
      </c>
      <c r="F705" s="80">
        <v>0.85</v>
      </c>
      <c r="G705" s="80">
        <v>1</v>
      </c>
      <c r="H705" s="80">
        <v>2</v>
      </c>
      <c r="I705" s="80">
        <v>840</v>
      </c>
    </row>
    <row r="706" spans="1:9" x14ac:dyDescent="0.25">
      <c r="A706" s="80">
        <v>705</v>
      </c>
      <c r="B706" s="80">
        <v>120</v>
      </c>
      <c r="C706" s="80">
        <v>4</v>
      </c>
      <c r="D706" s="80" t="s">
        <v>232</v>
      </c>
      <c r="E706" s="80">
        <v>796</v>
      </c>
      <c r="F706" s="80">
        <v>0.85</v>
      </c>
      <c r="G706" s="80">
        <v>1</v>
      </c>
      <c r="H706" s="80">
        <v>1</v>
      </c>
      <c r="I706" s="80">
        <v>840</v>
      </c>
    </row>
    <row r="707" spans="1:9" x14ac:dyDescent="0.25">
      <c r="A707" s="80">
        <v>706</v>
      </c>
      <c r="B707" s="80">
        <v>120</v>
      </c>
      <c r="C707" s="80">
        <v>5</v>
      </c>
      <c r="D707" s="80" t="s">
        <v>92</v>
      </c>
      <c r="E707" s="80">
        <v>796</v>
      </c>
      <c r="F707" s="80">
        <v>0.85</v>
      </c>
      <c r="G707" s="80">
        <v>3</v>
      </c>
      <c r="H707" s="80">
        <v>3</v>
      </c>
      <c r="I707" s="80">
        <v>840</v>
      </c>
    </row>
    <row r="708" spans="1:9" x14ac:dyDescent="0.25">
      <c r="A708" s="80">
        <v>707</v>
      </c>
      <c r="B708" s="80">
        <v>120</v>
      </c>
      <c r="C708" s="80">
        <v>6</v>
      </c>
      <c r="D708" s="80" t="s">
        <v>209</v>
      </c>
      <c r="E708" s="80">
        <v>796</v>
      </c>
      <c r="F708" s="80">
        <v>0.85</v>
      </c>
      <c r="G708" s="80">
        <v>2</v>
      </c>
      <c r="H708" s="80">
        <v>4</v>
      </c>
      <c r="I708" s="80">
        <v>840</v>
      </c>
    </row>
    <row r="709" spans="1:9" x14ac:dyDescent="0.25">
      <c r="A709" s="80">
        <v>708</v>
      </c>
      <c r="B709" s="80">
        <v>121</v>
      </c>
      <c r="C709" s="80">
        <v>1</v>
      </c>
      <c r="D709" s="80" t="s">
        <v>232</v>
      </c>
      <c r="E709" s="80">
        <v>796</v>
      </c>
      <c r="F709" s="80">
        <v>1.04</v>
      </c>
      <c r="G709" s="80">
        <v>3</v>
      </c>
      <c r="H709" s="80">
        <v>3</v>
      </c>
      <c r="I709" s="80">
        <v>840</v>
      </c>
    </row>
    <row r="710" spans="1:9" x14ac:dyDescent="0.25">
      <c r="A710" s="80">
        <v>709</v>
      </c>
      <c r="B710" s="80">
        <v>121</v>
      </c>
      <c r="C710" s="80">
        <v>2</v>
      </c>
      <c r="D710" s="80" t="s">
        <v>96</v>
      </c>
      <c r="E710" s="80">
        <v>796</v>
      </c>
      <c r="F710" s="80">
        <v>1.04</v>
      </c>
      <c r="G710" s="80">
        <v>1</v>
      </c>
      <c r="H710" s="80">
        <v>2</v>
      </c>
      <c r="I710" s="80">
        <v>840</v>
      </c>
    </row>
    <row r="711" spans="1:9" x14ac:dyDescent="0.25">
      <c r="A711" s="80">
        <v>710</v>
      </c>
      <c r="B711" s="80">
        <v>121</v>
      </c>
      <c r="C711" s="80">
        <v>3</v>
      </c>
      <c r="D711" s="80" t="s">
        <v>102</v>
      </c>
      <c r="E711" s="80">
        <v>796</v>
      </c>
      <c r="F711" s="80">
        <v>1.04</v>
      </c>
      <c r="G711" s="80">
        <v>2</v>
      </c>
      <c r="H711" s="80">
        <v>2</v>
      </c>
      <c r="I711" s="80">
        <v>840</v>
      </c>
    </row>
    <row r="712" spans="1:9" x14ac:dyDescent="0.25">
      <c r="A712" s="80">
        <v>711</v>
      </c>
      <c r="B712" s="80">
        <v>121</v>
      </c>
      <c r="C712" s="80">
        <v>4</v>
      </c>
      <c r="D712" s="80" t="s">
        <v>94</v>
      </c>
      <c r="E712" s="80">
        <v>796</v>
      </c>
      <c r="F712" s="80">
        <v>1.04</v>
      </c>
      <c r="G712" s="80">
        <v>2</v>
      </c>
      <c r="H712" s="80">
        <v>2</v>
      </c>
      <c r="I712" s="80">
        <v>840</v>
      </c>
    </row>
    <row r="713" spans="1:9" x14ac:dyDescent="0.25">
      <c r="A713" s="80">
        <v>712</v>
      </c>
      <c r="B713" s="80">
        <v>121</v>
      </c>
      <c r="C713" s="80">
        <v>5</v>
      </c>
      <c r="D713" s="80" t="s">
        <v>99</v>
      </c>
      <c r="E713" s="80">
        <v>796</v>
      </c>
      <c r="F713" s="80">
        <v>1.04</v>
      </c>
      <c r="G713" s="80">
        <v>3</v>
      </c>
      <c r="H713" s="80">
        <v>3</v>
      </c>
      <c r="I713" s="80">
        <v>840</v>
      </c>
    </row>
    <row r="714" spans="1:9" x14ac:dyDescent="0.25">
      <c r="A714" s="80">
        <v>713</v>
      </c>
      <c r="B714" s="80">
        <v>122</v>
      </c>
      <c r="C714" s="80">
        <v>1</v>
      </c>
      <c r="D714" s="80" t="s">
        <v>84</v>
      </c>
      <c r="E714" s="80">
        <v>796</v>
      </c>
      <c r="F714" s="80">
        <v>1.93</v>
      </c>
      <c r="G714" s="80">
        <v>1</v>
      </c>
      <c r="H714" s="80">
        <v>2</v>
      </c>
      <c r="I714" s="80">
        <v>840</v>
      </c>
    </row>
    <row r="715" spans="1:9" x14ac:dyDescent="0.25">
      <c r="A715" s="80">
        <v>714</v>
      </c>
      <c r="B715" s="80">
        <v>122</v>
      </c>
      <c r="C715" s="80">
        <v>2</v>
      </c>
      <c r="D715" s="80" t="s">
        <v>81</v>
      </c>
      <c r="E715" s="80">
        <v>796</v>
      </c>
      <c r="F715" s="80">
        <v>1.93</v>
      </c>
      <c r="G715" s="80">
        <v>3</v>
      </c>
      <c r="H715" s="80">
        <v>6</v>
      </c>
      <c r="I715" s="80">
        <v>840</v>
      </c>
    </row>
    <row r="716" spans="1:9" x14ac:dyDescent="0.25">
      <c r="A716" s="80">
        <v>715</v>
      </c>
      <c r="B716" s="80">
        <v>122</v>
      </c>
      <c r="C716" s="80">
        <v>3</v>
      </c>
      <c r="D716" s="80" t="s">
        <v>89</v>
      </c>
      <c r="E716" s="80">
        <v>796</v>
      </c>
      <c r="F716" s="80">
        <v>1.93</v>
      </c>
      <c r="G716" s="80">
        <v>3</v>
      </c>
      <c r="H716" s="80">
        <v>6</v>
      </c>
      <c r="I716" s="80">
        <v>840</v>
      </c>
    </row>
    <row r="717" spans="1:9" x14ac:dyDescent="0.25">
      <c r="A717" s="80">
        <v>716</v>
      </c>
      <c r="B717" s="80">
        <v>123</v>
      </c>
      <c r="C717" s="80">
        <v>1</v>
      </c>
      <c r="D717" s="80" t="s">
        <v>84</v>
      </c>
      <c r="E717" s="80">
        <v>796</v>
      </c>
      <c r="F717" s="80">
        <v>4.93</v>
      </c>
      <c r="G717" s="80">
        <v>3</v>
      </c>
      <c r="H717" s="80">
        <v>3</v>
      </c>
      <c r="I717" s="80">
        <v>840</v>
      </c>
    </row>
    <row r="718" spans="1:9" x14ac:dyDescent="0.25">
      <c r="A718" s="80">
        <v>717</v>
      </c>
      <c r="B718" s="80">
        <v>123</v>
      </c>
      <c r="C718" s="80">
        <v>2</v>
      </c>
      <c r="D718" s="80" t="s">
        <v>81</v>
      </c>
      <c r="E718" s="80">
        <v>796</v>
      </c>
      <c r="F718" s="80">
        <v>4.93</v>
      </c>
      <c r="G718" s="80">
        <v>2</v>
      </c>
      <c r="H718" s="80">
        <v>4</v>
      </c>
      <c r="I718" s="80">
        <v>840</v>
      </c>
    </row>
    <row r="719" spans="1:9" x14ac:dyDescent="0.25">
      <c r="A719" s="80">
        <v>718</v>
      </c>
      <c r="B719" s="80">
        <v>123</v>
      </c>
      <c r="C719" s="80">
        <v>3</v>
      </c>
      <c r="D719" s="80" t="s">
        <v>89</v>
      </c>
      <c r="E719" s="80">
        <v>796</v>
      </c>
      <c r="F719" s="80">
        <v>4.93</v>
      </c>
      <c r="G719" s="80">
        <v>3</v>
      </c>
      <c r="H719" s="80">
        <v>6</v>
      </c>
      <c r="I719" s="80">
        <v>840</v>
      </c>
    </row>
    <row r="720" spans="1:9" x14ac:dyDescent="0.25">
      <c r="A720" s="80">
        <v>719</v>
      </c>
      <c r="B720" s="80">
        <v>124</v>
      </c>
      <c r="C720" s="80">
        <v>1</v>
      </c>
      <c r="D720" s="80" t="s">
        <v>87</v>
      </c>
      <c r="E720" s="80">
        <v>796</v>
      </c>
      <c r="F720" s="80">
        <v>3.1</v>
      </c>
      <c r="G720" s="80">
        <v>1</v>
      </c>
      <c r="H720" s="80">
        <v>2</v>
      </c>
      <c r="I720" s="80">
        <v>840</v>
      </c>
    </row>
    <row r="721" spans="1:9" x14ac:dyDescent="0.25">
      <c r="A721" s="80">
        <v>720</v>
      </c>
      <c r="B721" s="80">
        <v>124</v>
      </c>
      <c r="C721" s="80">
        <v>2</v>
      </c>
      <c r="D721" s="80" t="s">
        <v>95</v>
      </c>
      <c r="E721" s="80">
        <v>796</v>
      </c>
      <c r="F721" s="80">
        <v>3.1</v>
      </c>
      <c r="G721" s="80">
        <v>2</v>
      </c>
      <c r="H721" s="80">
        <v>4</v>
      </c>
      <c r="I721" s="80">
        <v>840</v>
      </c>
    </row>
    <row r="722" spans="1:9" x14ac:dyDescent="0.25">
      <c r="A722" s="80">
        <v>721</v>
      </c>
      <c r="B722" s="80">
        <v>124</v>
      </c>
      <c r="C722" s="80">
        <v>3</v>
      </c>
      <c r="D722" s="80" t="s">
        <v>85</v>
      </c>
      <c r="E722" s="80">
        <v>796</v>
      </c>
      <c r="F722" s="80">
        <v>3.1</v>
      </c>
      <c r="G722" s="80">
        <v>2</v>
      </c>
      <c r="H722" s="80">
        <v>2</v>
      </c>
      <c r="I722" s="80">
        <v>840</v>
      </c>
    </row>
    <row r="723" spans="1:9" x14ac:dyDescent="0.25">
      <c r="A723" s="80">
        <v>722</v>
      </c>
      <c r="B723" s="80">
        <v>124</v>
      </c>
      <c r="C723" s="80">
        <v>4</v>
      </c>
      <c r="D723" s="80" t="s">
        <v>95</v>
      </c>
      <c r="E723" s="80">
        <v>796</v>
      </c>
      <c r="F723" s="80">
        <v>3.1</v>
      </c>
      <c r="G723" s="80">
        <v>1</v>
      </c>
      <c r="H723" s="80">
        <v>1</v>
      </c>
      <c r="I723" s="80">
        <v>840</v>
      </c>
    </row>
    <row r="724" spans="1:9" x14ac:dyDescent="0.25">
      <c r="A724" s="80">
        <v>723</v>
      </c>
      <c r="B724" s="80">
        <v>125</v>
      </c>
      <c r="C724" s="80">
        <v>1</v>
      </c>
      <c r="D724" s="80" t="s">
        <v>3612</v>
      </c>
      <c r="E724" s="80">
        <v>796</v>
      </c>
      <c r="F724" s="80">
        <v>8.6</v>
      </c>
      <c r="G724" s="80">
        <v>2</v>
      </c>
      <c r="H724" s="80">
        <v>4</v>
      </c>
      <c r="I724" s="80">
        <v>840</v>
      </c>
    </row>
    <row r="725" spans="1:9" x14ac:dyDescent="0.25">
      <c r="A725" s="80">
        <v>724</v>
      </c>
      <c r="B725" s="80">
        <v>126</v>
      </c>
      <c r="C725" s="80">
        <v>1</v>
      </c>
      <c r="D725" s="80" t="s">
        <v>3023</v>
      </c>
      <c r="E725" s="80">
        <v>796</v>
      </c>
      <c r="F725" s="80">
        <v>3.25</v>
      </c>
      <c r="G725" s="80">
        <v>2</v>
      </c>
      <c r="H725" s="80">
        <v>4</v>
      </c>
      <c r="I725" s="80">
        <v>840</v>
      </c>
    </row>
    <row r="726" spans="1:9" x14ac:dyDescent="0.25">
      <c r="A726" s="80">
        <v>725</v>
      </c>
      <c r="B726" s="80">
        <v>126</v>
      </c>
      <c r="C726" s="80">
        <v>2</v>
      </c>
      <c r="D726" s="80" t="s">
        <v>86</v>
      </c>
      <c r="E726" s="80">
        <v>796</v>
      </c>
      <c r="F726" s="80">
        <v>3.25</v>
      </c>
      <c r="G726" s="80">
        <v>1</v>
      </c>
      <c r="H726" s="80">
        <v>1</v>
      </c>
      <c r="I726" s="80">
        <v>840</v>
      </c>
    </row>
    <row r="727" spans="1:9" x14ac:dyDescent="0.25">
      <c r="A727" s="80">
        <v>726</v>
      </c>
      <c r="B727" s="80">
        <v>127</v>
      </c>
      <c r="C727" s="80">
        <v>1</v>
      </c>
      <c r="D727" s="80" t="s">
        <v>90</v>
      </c>
      <c r="E727" s="80">
        <v>796</v>
      </c>
      <c r="F727" s="80">
        <v>0.55000000000000004</v>
      </c>
      <c r="G727" s="80">
        <v>2</v>
      </c>
      <c r="H727" s="80">
        <v>2</v>
      </c>
      <c r="I727" s="80">
        <v>840</v>
      </c>
    </row>
    <row r="728" spans="1:9" x14ac:dyDescent="0.25">
      <c r="A728" s="80">
        <v>727</v>
      </c>
      <c r="B728" s="80">
        <v>127</v>
      </c>
      <c r="C728" s="80">
        <v>2</v>
      </c>
      <c r="D728" s="80" t="s">
        <v>79</v>
      </c>
      <c r="E728" s="80">
        <v>796</v>
      </c>
      <c r="F728" s="80">
        <v>0.55000000000000004</v>
      </c>
      <c r="G728" s="80">
        <v>1</v>
      </c>
      <c r="H728" s="80">
        <v>2</v>
      </c>
      <c r="I728" s="80">
        <v>840</v>
      </c>
    </row>
    <row r="729" spans="1:9" x14ac:dyDescent="0.25">
      <c r="A729" s="80">
        <v>728</v>
      </c>
      <c r="B729" s="80">
        <v>127</v>
      </c>
      <c r="C729" s="80">
        <v>3</v>
      </c>
      <c r="D729" s="80" t="s">
        <v>97</v>
      </c>
      <c r="E729" s="80">
        <v>796</v>
      </c>
      <c r="F729" s="80">
        <v>0.55000000000000004</v>
      </c>
      <c r="G729" s="80">
        <v>2</v>
      </c>
      <c r="H729" s="80">
        <v>2</v>
      </c>
      <c r="I729" s="80">
        <v>840</v>
      </c>
    </row>
    <row r="730" spans="1:9" x14ac:dyDescent="0.25">
      <c r="A730" s="80">
        <v>729</v>
      </c>
      <c r="B730" s="80">
        <v>127</v>
      </c>
      <c r="C730" s="80">
        <v>4</v>
      </c>
      <c r="D730" s="80" t="s">
        <v>90</v>
      </c>
      <c r="E730" s="80">
        <v>796</v>
      </c>
      <c r="F730" s="80">
        <v>0.55000000000000004</v>
      </c>
      <c r="G730" s="80">
        <v>2</v>
      </c>
      <c r="H730" s="80">
        <v>2</v>
      </c>
      <c r="I730" s="80">
        <v>840</v>
      </c>
    </row>
    <row r="731" spans="1:9" x14ac:dyDescent="0.25">
      <c r="A731" s="80">
        <v>730</v>
      </c>
      <c r="B731" s="80">
        <v>127</v>
      </c>
      <c r="C731" s="80">
        <v>5</v>
      </c>
      <c r="D731" s="80" t="s">
        <v>86</v>
      </c>
      <c r="E731" s="80">
        <v>796</v>
      </c>
      <c r="F731" s="80">
        <v>0.55000000000000004</v>
      </c>
      <c r="G731" s="80">
        <v>3</v>
      </c>
      <c r="H731" s="80">
        <v>6</v>
      </c>
      <c r="I731" s="80">
        <v>840</v>
      </c>
    </row>
    <row r="732" spans="1:9" x14ac:dyDescent="0.25">
      <c r="A732" s="80">
        <v>731</v>
      </c>
      <c r="B732" s="80">
        <v>127</v>
      </c>
      <c r="C732" s="80">
        <v>6</v>
      </c>
      <c r="D732" s="80" t="s">
        <v>84</v>
      </c>
      <c r="E732" s="80">
        <v>796</v>
      </c>
      <c r="F732" s="80">
        <v>0.55000000000000004</v>
      </c>
      <c r="G732" s="80">
        <v>3</v>
      </c>
      <c r="H732" s="80">
        <v>3</v>
      </c>
      <c r="I732" s="80">
        <v>840</v>
      </c>
    </row>
    <row r="733" spans="1:9" x14ac:dyDescent="0.25">
      <c r="A733" s="80">
        <v>732</v>
      </c>
      <c r="B733" s="80">
        <v>127</v>
      </c>
      <c r="C733" s="80">
        <v>7</v>
      </c>
      <c r="D733" s="80" t="s">
        <v>92</v>
      </c>
      <c r="E733" s="80">
        <v>796</v>
      </c>
      <c r="F733" s="80">
        <v>0.55000000000000004</v>
      </c>
      <c r="G733" s="80">
        <v>1</v>
      </c>
      <c r="H733" s="80">
        <v>1</v>
      </c>
      <c r="I733" s="80">
        <v>840</v>
      </c>
    </row>
    <row r="734" spans="1:9" x14ac:dyDescent="0.25">
      <c r="A734" s="80">
        <v>733</v>
      </c>
      <c r="B734" s="80">
        <v>127</v>
      </c>
      <c r="C734" s="80">
        <v>8</v>
      </c>
      <c r="D734" s="80" t="s">
        <v>89</v>
      </c>
      <c r="E734" s="80">
        <v>796</v>
      </c>
      <c r="F734" s="80">
        <v>0.55000000000000004</v>
      </c>
      <c r="G734" s="80">
        <v>1</v>
      </c>
      <c r="H734" s="80">
        <v>1</v>
      </c>
      <c r="I734" s="80">
        <v>840</v>
      </c>
    </row>
    <row r="735" spans="1:9" x14ac:dyDescent="0.25">
      <c r="A735" s="80">
        <v>734</v>
      </c>
      <c r="B735" s="80">
        <v>127</v>
      </c>
      <c r="C735" s="80">
        <v>9</v>
      </c>
      <c r="D735" s="80" t="s">
        <v>359</v>
      </c>
      <c r="E735" s="80">
        <v>796</v>
      </c>
      <c r="F735" s="80">
        <v>0.55000000000000004</v>
      </c>
      <c r="G735" s="80">
        <v>2</v>
      </c>
      <c r="H735" s="80">
        <v>4</v>
      </c>
      <c r="I735" s="80">
        <v>840</v>
      </c>
    </row>
    <row r="736" spans="1:9" x14ac:dyDescent="0.25">
      <c r="A736" s="80">
        <v>735</v>
      </c>
      <c r="B736" s="80">
        <v>127</v>
      </c>
      <c r="C736" s="80">
        <v>10</v>
      </c>
      <c r="D736" s="80" t="s">
        <v>96</v>
      </c>
      <c r="E736" s="80">
        <v>796</v>
      </c>
      <c r="F736" s="80">
        <v>0.55000000000000004</v>
      </c>
      <c r="G736" s="80">
        <v>3</v>
      </c>
      <c r="H736" s="80">
        <v>6</v>
      </c>
      <c r="I736" s="80">
        <v>840</v>
      </c>
    </row>
    <row r="737" spans="1:9" x14ac:dyDescent="0.25">
      <c r="A737" s="80">
        <v>736</v>
      </c>
      <c r="B737" s="80">
        <v>128</v>
      </c>
      <c r="C737" s="80">
        <v>1</v>
      </c>
      <c r="D737" s="80" t="s">
        <v>209</v>
      </c>
      <c r="E737" s="80">
        <v>796</v>
      </c>
      <c r="F737" s="80">
        <v>0.42</v>
      </c>
      <c r="G737" s="80">
        <v>2</v>
      </c>
      <c r="H737" s="80">
        <v>2</v>
      </c>
      <c r="I737" s="80">
        <v>840</v>
      </c>
    </row>
    <row r="738" spans="1:9" x14ac:dyDescent="0.25">
      <c r="A738" s="80">
        <v>737</v>
      </c>
      <c r="B738" s="80">
        <v>128</v>
      </c>
      <c r="C738" s="80">
        <v>2</v>
      </c>
      <c r="D738" s="80" t="s">
        <v>90</v>
      </c>
      <c r="E738" s="80">
        <v>796</v>
      </c>
      <c r="F738" s="80">
        <v>0.42</v>
      </c>
      <c r="G738" s="80">
        <v>3</v>
      </c>
      <c r="H738" s="80">
        <v>6</v>
      </c>
      <c r="I738" s="80">
        <v>840</v>
      </c>
    </row>
    <row r="739" spans="1:9" x14ac:dyDescent="0.25">
      <c r="A739" s="80">
        <v>738</v>
      </c>
      <c r="B739" s="80">
        <v>128</v>
      </c>
      <c r="C739" s="80">
        <v>3</v>
      </c>
      <c r="D739" s="80" t="s">
        <v>104</v>
      </c>
      <c r="E739" s="80">
        <v>796</v>
      </c>
      <c r="F739" s="80">
        <v>0.42</v>
      </c>
      <c r="G739" s="80">
        <v>2</v>
      </c>
      <c r="H739" s="80">
        <v>4</v>
      </c>
      <c r="I739" s="80">
        <v>840</v>
      </c>
    </row>
    <row r="740" spans="1:9" x14ac:dyDescent="0.25">
      <c r="A740" s="80">
        <v>739</v>
      </c>
      <c r="B740" s="80">
        <v>128</v>
      </c>
      <c r="C740" s="80">
        <v>4</v>
      </c>
      <c r="D740" s="80" t="s">
        <v>2915</v>
      </c>
      <c r="E740" s="80">
        <v>796</v>
      </c>
      <c r="F740" s="80">
        <v>0.42</v>
      </c>
      <c r="G740" s="80">
        <v>1</v>
      </c>
      <c r="H740" s="80">
        <v>2</v>
      </c>
      <c r="I740" s="80">
        <v>840</v>
      </c>
    </row>
    <row r="741" spans="1:9" x14ac:dyDescent="0.25">
      <c r="A741" s="80">
        <v>740</v>
      </c>
      <c r="B741" s="80">
        <v>128</v>
      </c>
      <c r="C741" s="80">
        <v>5</v>
      </c>
      <c r="D741" s="80" t="s">
        <v>80</v>
      </c>
      <c r="E741" s="80">
        <v>796</v>
      </c>
      <c r="F741" s="80">
        <v>0.42</v>
      </c>
      <c r="G741" s="80">
        <v>3</v>
      </c>
      <c r="H741" s="80">
        <v>3</v>
      </c>
      <c r="I741" s="80">
        <v>840</v>
      </c>
    </row>
    <row r="742" spans="1:9" x14ac:dyDescent="0.25">
      <c r="A742" s="80">
        <v>741</v>
      </c>
      <c r="B742" s="80">
        <v>128</v>
      </c>
      <c r="C742" s="80">
        <v>6</v>
      </c>
      <c r="D742" s="80" t="s">
        <v>89</v>
      </c>
      <c r="E742" s="80">
        <v>796</v>
      </c>
      <c r="F742" s="80">
        <v>0.42</v>
      </c>
      <c r="G742" s="80">
        <v>3</v>
      </c>
      <c r="H742" s="80">
        <v>3</v>
      </c>
      <c r="I742" s="80">
        <v>840</v>
      </c>
    </row>
    <row r="743" spans="1:9" x14ac:dyDescent="0.25">
      <c r="A743" s="80">
        <v>742</v>
      </c>
      <c r="B743" s="80">
        <v>128</v>
      </c>
      <c r="C743" s="80">
        <v>7</v>
      </c>
      <c r="D743" s="80" t="s">
        <v>104</v>
      </c>
      <c r="E743" s="80">
        <v>796</v>
      </c>
      <c r="F743" s="80">
        <v>0.42</v>
      </c>
      <c r="G743" s="80">
        <v>3</v>
      </c>
      <c r="H743" s="80">
        <v>6</v>
      </c>
      <c r="I743" s="80">
        <v>840</v>
      </c>
    </row>
    <row r="744" spans="1:9" x14ac:dyDescent="0.25">
      <c r="A744" s="80">
        <v>743</v>
      </c>
      <c r="B744" s="80">
        <v>128</v>
      </c>
      <c r="C744" s="80">
        <v>8</v>
      </c>
      <c r="D744" s="80" t="s">
        <v>79</v>
      </c>
      <c r="E744" s="80">
        <v>796</v>
      </c>
      <c r="F744" s="80">
        <v>0.42</v>
      </c>
      <c r="G744" s="80">
        <v>2</v>
      </c>
      <c r="H744" s="80">
        <v>2</v>
      </c>
      <c r="I744" s="80">
        <v>840</v>
      </c>
    </row>
    <row r="745" spans="1:9" x14ac:dyDescent="0.25">
      <c r="A745" s="80">
        <v>744</v>
      </c>
      <c r="B745" s="80">
        <v>128</v>
      </c>
      <c r="C745" s="80">
        <v>9</v>
      </c>
      <c r="D745" s="80" t="s">
        <v>90</v>
      </c>
      <c r="E745" s="80">
        <v>796</v>
      </c>
      <c r="F745" s="80">
        <v>0.42</v>
      </c>
      <c r="G745" s="80">
        <v>3</v>
      </c>
      <c r="H745" s="80">
        <v>6</v>
      </c>
      <c r="I745" s="80">
        <v>840</v>
      </c>
    </row>
    <row r="746" spans="1:9" x14ac:dyDescent="0.25">
      <c r="A746" s="80">
        <v>745</v>
      </c>
      <c r="B746" s="80">
        <v>128</v>
      </c>
      <c r="C746" s="80">
        <v>10</v>
      </c>
      <c r="D746" s="80" t="s">
        <v>97</v>
      </c>
      <c r="E746" s="80">
        <v>796</v>
      </c>
      <c r="F746" s="80">
        <v>0.42</v>
      </c>
      <c r="G746" s="80">
        <v>2</v>
      </c>
      <c r="H746" s="80">
        <v>2</v>
      </c>
      <c r="I746" s="80">
        <v>840</v>
      </c>
    </row>
    <row r="747" spans="1:9" x14ac:dyDescent="0.25">
      <c r="A747" s="80">
        <v>746</v>
      </c>
      <c r="B747" s="80">
        <v>129</v>
      </c>
      <c r="C747" s="80">
        <v>1</v>
      </c>
      <c r="D747" s="80" t="s">
        <v>79</v>
      </c>
      <c r="E747" s="80">
        <v>796</v>
      </c>
      <c r="F747" s="80">
        <v>1.53</v>
      </c>
      <c r="G747" s="80">
        <v>2</v>
      </c>
      <c r="H747" s="80">
        <v>2</v>
      </c>
      <c r="I747" s="80">
        <v>840</v>
      </c>
    </row>
    <row r="748" spans="1:9" x14ac:dyDescent="0.25">
      <c r="A748" s="80">
        <v>747</v>
      </c>
      <c r="B748" s="80">
        <v>129</v>
      </c>
      <c r="C748" s="80">
        <v>2</v>
      </c>
      <c r="D748" s="80" t="s">
        <v>78</v>
      </c>
      <c r="E748" s="80">
        <v>796</v>
      </c>
      <c r="F748" s="80">
        <v>1.53</v>
      </c>
      <c r="G748" s="80">
        <v>1</v>
      </c>
      <c r="H748" s="80">
        <v>2</v>
      </c>
      <c r="I748" s="80">
        <v>840</v>
      </c>
    </row>
    <row r="749" spans="1:9" x14ac:dyDescent="0.25">
      <c r="A749" s="80">
        <v>748</v>
      </c>
      <c r="B749" s="80">
        <v>129</v>
      </c>
      <c r="C749" s="80">
        <v>3</v>
      </c>
      <c r="D749" s="80" t="s">
        <v>92</v>
      </c>
      <c r="E749" s="80">
        <v>796</v>
      </c>
      <c r="F749" s="80">
        <v>1.53</v>
      </c>
      <c r="G749" s="80">
        <v>1</v>
      </c>
      <c r="H749" s="80">
        <v>2</v>
      </c>
      <c r="I749" s="80">
        <v>840</v>
      </c>
    </row>
    <row r="750" spans="1:9" x14ac:dyDescent="0.25">
      <c r="A750" s="80">
        <v>749</v>
      </c>
      <c r="B750" s="80">
        <v>129</v>
      </c>
      <c r="C750" s="80">
        <v>4</v>
      </c>
      <c r="D750" s="80" t="s">
        <v>86</v>
      </c>
      <c r="E750" s="80">
        <v>796</v>
      </c>
      <c r="F750" s="80">
        <v>1.53</v>
      </c>
      <c r="G750" s="80">
        <v>3</v>
      </c>
      <c r="H750" s="80">
        <v>3</v>
      </c>
      <c r="I750" s="80">
        <v>840</v>
      </c>
    </row>
    <row r="751" spans="1:9" x14ac:dyDescent="0.25">
      <c r="A751" s="80">
        <v>750</v>
      </c>
      <c r="B751" s="80">
        <v>130</v>
      </c>
      <c r="C751" s="80">
        <v>1</v>
      </c>
      <c r="D751" s="80" t="s">
        <v>3613</v>
      </c>
      <c r="E751" s="80">
        <v>796</v>
      </c>
      <c r="F751" s="80">
        <v>1.48</v>
      </c>
      <c r="G751" s="80">
        <v>2</v>
      </c>
      <c r="H751" s="80">
        <v>2</v>
      </c>
      <c r="I751" s="80">
        <v>840</v>
      </c>
    </row>
    <row r="752" spans="1:9" x14ac:dyDescent="0.25">
      <c r="A752" s="80">
        <v>751</v>
      </c>
      <c r="B752" s="80">
        <v>130</v>
      </c>
      <c r="C752" s="80">
        <v>2</v>
      </c>
      <c r="D752" s="80" t="s">
        <v>3614</v>
      </c>
      <c r="E752" s="80">
        <v>796</v>
      </c>
      <c r="F752" s="80">
        <v>1.48</v>
      </c>
      <c r="G752" s="80">
        <v>2</v>
      </c>
      <c r="H752" s="80">
        <v>2</v>
      </c>
      <c r="I752" s="80">
        <v>840</v>
      </c>
    </row>
    <row r="753" spans="1:9" x14ac:dyDescent="0.25">
      <c r="A753" s="80">
        <v>752</v>
      </c>
      <c r="B753" s="80">
        <v>130</v>
      </c>
      <c r="C753" s="80">
        <v>3</v>
      </c>
      <c r="D753" s="80" t="s">
        <v>84</v>
      </c>
      <c r="E753" s="80">
        <v>796</v>
      </c>
      <c r="F753" s="80">
        <v>1.48</v>
      </c>
      <c r="G753" s="80">
        <v>2</v>
      </c>
      <c r="H753" s="80">
        <v>2</v>
      </c>
      <c r="I753" s="80">
        <v>840</v>
      </c>
    </row>
    <row r="754" spans="1:9" x14ac:dyDescent="0.25">
      <c r="A754" s="80">
        <v>753</v>
      </c>
      <c r="B754" s="80">
        <v>130</v>
      </c>
      <c r="C754" s="80">
        <v>4</v>
      </c>
      <c r="D754" s="80" t="s">
        <v>3610</v>
      </c>
      <c r="E754" s="80">
        <v>796</v>
      </c>
      <c r="F754" s="80">
        <v>1.48</v>
      </c>
      <c r="G754" s="80">
        <v>2</v>
      </c>
      <c r="H754" s="80">
        <v>4</v>
      </c>
      <c r="I754" s="80">
        <v>840</v>
      </c>
    </row>
    <row r="755" spans="1:9" x14ac:dyDescent="0.25">
      <c r="A755" s="80">
        <v>754</v>
      </c>
      <c r="B755" s="80">
        <v>131</v>
      </c>
      <c r="C755" s="80">
        <v>1</v>
      </c>
      <c r="D755" s="80" t="s">
        <v>96</v>
      </c>
      <c r="E755" s="80">
        <v>796</v>
      </c>
      <c r="F755" s="80">
        <v>1.41</v>
      </c>
      <c r="G755" s="80">
        <v>3</v>
      </c>
      <c r="H755" s="80">
        <v>3</v>
      </c>
      <c r="I755" s="80">
        <v>840</v>
      </c>
    </row>
    <row r="756" spans="1:9" x14ac:dyDescent="0.25">
      <c r="A756" s="80">
        <v>755</v>
      </c>
      <c r="B756" s="80">
        <v>131</v>
      </c>
      <c r="C756" s="80">
        <v>2</v>
      </c>
      <c r="D756" s="80" t="s">
        <v>102</v>
      </c>
      <c r="E756" s="80">
        <v>796</v>
      </c>
      <c r="F756" s="80">
        <v>1.41</v>
      </c>
      <c r="G756" s="80">
        <v>1</v>
      </c>
      <c r="H756" s="80">
        <v>1</v>
      </c>
      <c r="I756" s="80">
        <v>840</v>
      </c>
    </row>
    <row r="757" spans="1:9" x14ac:dyDescent="0.25">
      <c r="A757" s="80">
        <v>756</v>
      </c>
      <c r="B757" s="80">
        <v>131</v>
      </c>
      <c r="C757" s="80">
        <v>3</v>
      </c>
      <c r="D757" s="80" t="s">
        <v>95</v>
      </c>
      <c r="E757" s="80">
        <v>796</v>
      </c>
      <c r="F757" s="80">
        <v>1.41</v>
      </c>
      <c r="G757" s="80">
        <v>1</v>
      </c>
      <c r="H757" s="80">
        <v>2</v>
      </c>
      <c r="I757" s="80">
        <v>840</v>
      </c>
    </row>
    <row r="758" spans="1:9" x14ac:dyDescent="0.25">
      <c r="A758" s="80">
        <v>757</v>
      </c>
      <c r="B758" s="80">
        <v>131</v>
      </c>
      <c r="C758" s="80">
        <v>4</v>
      </c>
      <c r="D758" s="80" t="s">
        <v>96</v>
      </c>
      <c r="E758" s="80">
        <v>796</v>
      </c>
      <c r="F758" s="80">
        <v>1.41</v>
      </c>
      <c r="G758" s="80">
        <v>1</v>
      </c>
      <c r="H758" s="80">
        <v>2</v>
      </c>
      <c r="I758" s="80">
        <v>840</v>
      </c>
    </row>
    <row r="759" spans="1:9" x14ac:dyDescent="0.25">
      <c r="A759" s="80">
        <v>758</v>
      </c>
      <c r="B759" s="80">
        <v>131</v>
      </c>
      <c r="C759" s="80">
        <v>5</v>
      </c>
      <c r="D759" s="80" t="s">
        <v>96</v>
      </c>
      <c r="E759" s="80">
        <v>796</v>
      </c>
      <c r="F759" s="80">
        <v>1.41</v>
      </c>
      <c r="G759" s="80">
        <v>1</v>
      </c>
      <c r="H759" s="80">
        <v>1</v>
      </c>
      <c r="I759" s="80">
        <v>840</v>
      </c>
    </row>
    <row r="760" spans="1:9" x14ac:dyDescent="0.25">
      <c r="A760" s="80">
        <v>759</v>
      </c>
      <c r="B760" s="80">
        <v>131</v>
      </c>
      <c r="C760" s="80">
        <v>6</v>
      </c>
      <c r="D760" s="80" t="s">
        <v>84</v>
      </c>
      <c r="E760" s="80">
        <v>796</v>
      </c>
      <c r="F760" s="80">
        <v>1.41</v>
      </c>
      <c r="G760" s="80">
        <v>2</v>
      </c>
      <c r="H760" s="80">
        <v>2</v>
      </c>
      <c r="I760" s="80">
        <v>840</v>
      </c>
    </row>
    <row r="761" spans="1:9" x14ac:dyDescent="0.25">
      <c r="A761" s="80">
        <v>760</v>
      </c>
      <c r="B761" s="80">
        <v>131</v>
      </c>
      <c r="C761" s="80">
        <v>7</v>
      </c>
      <c r="D761" s="80" t="s">
        <v>102</v>
      </c>
      <c r="E761" s="80">
        <v>796</v>
      </c>
      <c r="F761" s="80">
        <v>1.41</v>
      </c>
      <c r="G761" s="80">
        <v>2</v>
      </c>
      <c r="H761" s="80">
        <v>4</v>
      </c>
      <c r="I761" s="80">
        <v>840</v>
      </c>
    </row>
    <row r="762" spans="1:9" x14ac:dyDescent="0.25">
      <c r="A762" s="80">
        <v>761</v>
      </c>
      <c r="B762" s="80">
        <v>132</v>
      </c>
      <c r="C762" s="80">
        <v>1</v>
      </c>
      <c r="D762" s="80" t="s">
        <v>96</v>
      </c>
      <c r="E762" s="80">
        <v>796</v>
      </c>
      <c r="F762" s="80">
        <v>1.41</v>
      </c>
      <c r="G762" s="80">
        <v>1</v>
      </c>
      <c r="H762" s="80">
        <v>2</v>
      </c>
      <c r="I762" s="80">
        <v>840</v>
      </c>
    </row>
    <row r="763" spans="1:9" x14ac:dyDescent="0.25">
      <c r="A763" s="80">
        <v>762</v>
      </c>
      <c r="B763" s="80">
        <v>132</v>
      </c>
      <c r="C763" s="80">
        <v>2</v>
      </c>
      <c r="D763" s="80" t="s">
        <v>102</v>
      </c>
      <c r="E763" s="80">
        <v>796</v>
      </c>
      <c r="F763" s="80">
        <v>1.41</v>
      </c>
      <c r="G763" s="80">
        <v>1</v>
      </c>
      <c r="H763" s="80">
        <v>1</v>
      </c>
      <c r="I763" s="80">
        <v>840</v>
      </c>
    </row>
    <row r="764" spans="1:9" x14ac:dyDescent="0.25">
      <c r="A764" s="80">
        <v>763</v>
      </c>
      <c r="B764" s="80">
        <v>132</v>
      </c>
      <c r="C764" s="80">
        <v>3</v>
      </c>
      <c r="D764" s="80" t="s">
        <v>95</v>
      </c>
      <c r="E764" s="80">
        <v>796</v>
      </c>
      <c r="F764" s="80">
        <v>1.41</v>
      </c>
      <c r="G764" s="80">
        <v>1</v>
      </c>
      <c r="H764" s="80">
        <v>1</v>
      </c>
      <c r="I764" s="80">
        <v>840</v>
      </c>
    </row>
    <row r="765" spans="1:9" x14ac:dyDescent="0.25">
      <c r="A765" s="80">
        <v>764</v>
      </c>
      <c r="B765" s="80">
        <v>132</v>
      </c>
      <c r="C765" s="80">
        <v>4</v>
      </c>
      <c r="D765" s="80" t="s">
        <v>96</v>
      </c>
      <c r="E765" s="80">
        <v>796</v>
      </c>
      <c r="F765" s="80">
        <v>1.41</v>
      </c>
      <c r="G765" s="80">
        <v>1</v>
      </c>
      <c r="H765" s="80">
        <v>1</v>
      </c>
      <c r="I765" s="80">
        <v>840</v>
      </c>
    </row>
    <row r="766" spans="1:9" x14ac:dyDescent="0.25">
      <c r="A766" s="80">
        <v>765</v>
      </c>
      <c r="B766" s="80">
        <v>132</v>
      </c>
      <c r="C766" s="80">
        <v>5</v>
      </c>
      <c r="D766" s="80" t="s">
        <v>96</v>
      </c>
      <c r="E766" s="80">
        <v>796</v>
      </c>
      <c r="F766" s="80">
        <v>1.41</v>
      </c>
      <c r="G766" s="80">
        <v>2</v>
      </c>
      <c r="H766" s="80">
        <v>4</v>
      </c>
      <c r="I766" s="80">
        <v>840</v>
      </c>
    </row>
    <row r="767" spans="1:9" x14ac:dyDescent="0.25">
      <c r="A767" s="80">
        <v>766</v>
      </c>
      <c r="B767" s="80">
        <v>132</v>
      </c>
      <c r="C767" s="80">
        <v>6</v>
      </c>
      <c r="D767" s="80" t="s">
        <v>84</v>
      </c>
      <c r="E767" s="80">
        <v>796</v>
      </c>
      <c r="F767" s="80">
        <v>1.41</v>
      </c>
      <c r="G767" s="80">
        <v>2</v>
      </c>
      <c r="H767" s="80">
        <v>2</v>
      </c>
      <c r="I767" s="80">
        <v>840</v>
      </c>
    </row>
    <row r="768" spans="1:9" x14ac:dyDescent="0.25">
      <c r="A768" s="80">
        <v>767</v>
      </c>
      <c r="B768" s="80">
        <v>132</v>
      </c>
      <c r="C768" s="80">
        <v>7</v>
      </c>
      <c r="D768" s="80" t="s">
        <v>102</v>
      </c>
      <c r="E768" s="80">
        <v>796</v>
      </c>
      <c r="F768" s="80">
        <v>1.41</v>
      </c>
      <c r="G768" s="80">
        <v>3</v>
      </c>
      <c r="H768" s="80">
        <v>6</v>
      </c>
      <c r="I768" s="80">
        <v>840</v>
      </c>
    </row>
    <row r="769" spans="1:9" x14ac:dyDescent="0.25">
      <c r="A769" s="80">
        <v>768</v>
      </c>
      <c r="B769" s="80">
        <v>133</v>
      </c>
      <c r="C769" s="80">
        <v>1</v>
      </c>
      <c r="D769" s="80" t="s">
        <v>86</v>
      </c>
      <c r="E769" s="80">
        <v>796</v>
      </c>
      <c r="F769" s="80">
        <v>2.2000000000000002</v>
      </c>
      <c r="G769" s="80">
        <v>3</v>
      </c>
      <c r="H769" s="80">
        <v>3</v>
      </c>
      <c r="I769" s="80">
        <v>840</v>
      </c>
    </row>
    <row r="770" spans="1:9" x14ac:dyDescent="0.25">
      <c r="A770" s="80">
        <v>769</v>
      </c>
      <c r="B770" s="80">
        <v>133</v>
      </c>
      <c r="C770" s="80">
        <v>2</v>
      </c>
      <c r="D770" s="80" t="s">
        <v>89</v>
      </c>
      <c r="E770" s="80">
        <v>796</v>
      </c>
      <c r="F770" s="80">
        <v>2.2000000000000002</v>
      </c>
      <c r="G770" s="80">
        <v>1</v>
      </c>
      <c r="H770" s="80">
        <v>2</v>
      </c>
      <c r="I770" s="80">
        <v>840</v>
      </c>
    </row>
    <row r="771" spans="1:9" x14ac:dyDescent="0.25">
      <c r="A771" s="80">
        <v>770</v>
      </c>
      <c r="B771" s="80">
        <v>133</v>
      </c>
      <c r="C771" s="80">
        <v>3</v>
      </c>
      <c r="D771" s="80" t="s">
        <v>80</v>
      </c>
      <c r="E771" s="80">
        <v>796</v>
      </c>
      <c r="F771" s="80">
        <v>2.2000000000000002</v>
      </c>
      <c r="G771" s="80">
        <v>3</v>
      </c>
      <c r="H771" s="80">
        <v>3</v>
      </c>
      <c r="I771" s="80">
        <v>840</v>
      </c>
    </row>
    <row r="772" spans="1:9" x14ac:dyDescent="0.25">
      <c r="A772" s="80">
        <v>771</v>
      </c>
      <c r="B772" s="80">
        <v>133</v>
      </c>
      <c r="C772" s="80">
        <v>4</v>
      </c>
      <c r="D772" s="80" t="s">
        <v>89</v>
      </c>
      <c r="E772" s="80">
        <v>796</v>
      </c>
      <c r="F772" s="80">
        <v>2.2000000000000002</v>
      </c>
      <c r="G772" s="80">
        <v>1</v>
      </c>
      <c r="H772" s="80">
        <v>2</v>
      </c>
      <c r="I772" s="80">
        <v>840</v>
      </c>
    </row>
    <row r="773" spans="1:9" x14ac:dyDescent="0.25">
      <c r="A773" s="80">
        <v>772</v>
      </c>
      <c r="B773" s="80">
        <v>133</v>
      </c>
      <c r="C773" s="80">
        <v>5</v>
      </c>
      <c r="D773" s="80" t="s">
        <v>81</v>
      </c>
      <c r="E773" s="80">
        <v>796</v>
      </c>
      <c r="F773" s="80">
        <v>2.2000000000000002</v>
      </c>
      <c r="G773" s="80">
        <v>2</v>
      </c>
      <c r="H773" s="80">
        <v>4</v>
      </c>
      <c r="I773" s="80">
        <v>840</v>
      </c>
    </row>
    <row r="774" spans="1:9" x14ac:dyDescent="0.25">
      <c r="A774" s="80">
        <v>773</v>
      </c>
      <c r="B774" s="80">
        <v>133</v>
      </c>
      <c r="C774" s="80">
        <v>6</v>
      </c>
      <c r="D774" s="80" t="s">
        <v>91</v>
      </c>
      <c r="E774" s="80">
        <v>796</v>
      </c>
      <c r="F774" s="80">
        <v>2.2000000000000002</v>
      </c>
      <c r="G774" s="80">
        <v>3</v>
      </c>
      <c r="H774" s="80">
        <v>3</v>
      </c>
      <c r="I774" s="80">
        <v>840</v>
      </c>
    </row>
    <row r="775" spans="1:9" x14ac:dyDescent="0.25">
      <c r="A775" s="80">
        <v>774</v>
      </c>
      <c r="B775" s="80">
        <v>134</v>
      </c>
      <c r="C775" s="80">
        <v>1</v>
      </c>
      <c r="D775" s="80" t="s">
        <v>106</v>
      </c>
      <c r="E775" s="80">
        <v>796</v>
      </c>
      <c r="F775" s="80">
        <v>0.86</v>
      </c>
      <c r="G775" s="80">
        <v>2</v>
      </c>
      <c r="H775" s="80">
        <v>2</v>
      </c>
      <c r="I775" s="80">
        <v>840</v>
      </c>
    </row>
    <row r="776" spans="1:9" x14ac:dyDescent="0.25">
      <c r="A776" s="80">
        <v>775</v>
      </c>
      <c r="B776" s="80">
        <v>134</v>
      </c>
      <c r="C776" s="80">
        <v>2</v>
      </c>
      <c r="D776" s="80" t="s">
        <v>96</v>
      </c>
      <c r="E776" s="80">
        <v>796</v>
      </c>
      <c r="F776" s="80">
        <v>0.86</v>
      </c>
      <c r="G776" s="80">
        <v>2</v>
      </c>
      <c r="H776" s="80">
        <v>2</v>
      </c>
      <c r="I776" s="80">
        <v>840</v>
      </c>
    </row>
    <row r="777" spans="1:9" x14ac:dyDescent="0.25">
      <c r="A777" s="80">
        <v>776</v>
      </c>
      <c r="B777" s="80">
        <v>134</v>
      </c>
      <c r="C777" s="80">
        <v>3</v>
      </c>
      <c r="D777" s="80" t="s">
        <v>95</v>
      </c>
      <c r="E777" s="80">
        <v>796</v>
      </c>
      <c r="F777" s="80">
        <v>0.86</v>
      </c>
      <c r="G777" s="80">
        <v>2</v>
      </c>
      <c r="H777" s="80">
        <v>2</v>
      </c>
      <c r="I777" s="80">
        <v>840</v>
      </c>
    </row>
    <row r="778" spans="1:9" x14ac:dyDescent="0.25">
      <c r="A778" s="80">
        <v>777</v>
      </c>
      <c r="B778" s="80">
        <v>134</v>
      </c>
      <c r="C778" s="80">
        <v>4</v>
      </c>
      <c r="D778" s="80" t="s">
        <v>359</v>
      </c>
      <c r="E778" s="80">
        <v>796</v>
      </c>
      <c r="F778" s="80">
        <v>0.86</v>
      </c>
      <c r="G778" s="80">
        <v>2</v>
      </c>
      <c r="H778" s="80">
        <v>4</v>
      </c>
      <c r="I778" s="80">
        <v>840</v>
      </c>
    </row>
    <row r="779" spans="1:9" x14ac:dyDescent="0.25">
      <c r="A779" s="80">
        <v>778</v>
      </c>
      <c r="B779" s="80">
        <v>134</v>
      </c>
      <c r="C779" s="80">
        <v>5</v>
      </c>
      <c r="D779" s="80" t="s">
        <v>3021</v>
      </c>
      <c r="E779" s="80">
        <v>796</v>
      </c>
      <c r="F779" s="80">
        <v>0.86</v>
      </c>
      <c r="G779" s="80">
        <v>3</v>
      </c>
      <c r="H779" s="80">
        <v>3</v>
      </c>
      <c r="I779" s="80">
        <v>840</v>
      </c>
    </row>
    <row r="780" spans="1:9" x14ac:dyDescent="0.25">
      <c r="A780" s="80">
        <v>779</v>
      </c>
      <c r="B780" s="80">
        <v>134</v>
      </c>
      <c r="C780" s="80">
        <v>6</v>
      </c>
      <c r="D780" s="80" t="s">
        <v>90</v>
      </c>
      <c r="E780" s="80">
        <v>796</v>
      </c>
      <c r="F780" s="80">
        <v>0.86</v>
      </c>
      <c r="G780" s="80">
        <v>1</v>
      </c>
      <c r="H780" s="80">
        <v>2</v>
      </c>
      <c r="I780" s="80">
        <v>840</v>
      </c>
    </row>
    <row r="781" spans="1:9" x14ac:dyDescent="0.25">
      <c r="A781" s="80">
        <v>780</v>
      </c>
      <c r="B781" s="80">
        <v>134</v>
      </c>
      <c r="C781" s="80">
        <v>7</v>
      </c>
      <c r="D781" s="80" t="s">
        <v>90</v>
      </c>
      <c r="E781" s="80">
        <v>796</v>
      </c>
      <c r="F781" s="80">
        <v>0.86</v>
      </c>
      <c r="G781" s="80">
        <v>1</v>
      </c>
      <c r="H781" s="80">
        <v>1</v>
      </c>
      <c r="I781" s="80">
        <v>840</v>
      </c>
    </row>
    <row r="782" spans="1:9" x14ac:dyDescent="0.25">
      <c r="A782" s="80">
        <v>781</v>
      </c>
      <c r="B782" s="80">
        <v>134</v>
      </c>
      <c r="C782" s="80">
        <v>8</v>
      </c>
      <c r="D782" s="80" t="s">
        <v>3021</v>
      </c>
      <c r="E782" s="80">
        <v>796</v>
      </c>
      <c r="F782" s="80">
        <v>0.86</v>
      </c>
      <c r="G782" s="80">
        <v>3</v>
      </c>
      <c r="H782" s="80">
        <v>3</v>
      </c>
      <c r="I782" s="80">
        <v>840</v>
      </c>
    </row>
    <row r="783" spans="1:9" x14ac:dyDescent="0.25">
      <c r="A783" s="80">
        <v>782</v>
      </c>
      <c r="B783" s="80">
        <v>135</v>
      </c>
      <c r="C783" s="80">
        <v>1</v>
      </c>
      <c r="D783" s="80" t="s">
        <v>86</v>
      </c>
      <c r="E783" s="80">
        <v>796</v>
      </c>
      <c r="F783" s="80">
        <v>1.7</v>
      </c>
      <c r="G783" s="80">
        <v>3</v>
      </c>
      <c r="H783" s="80">
        <v>3</v>
      </c>
      <c r="I783" s="80">
        <v>840</v>
      </c>
    </row>
    <row r="784" spans="1:9" x14ac:dyDescent="0.25">
      <c r="A784" s="80">
        <v>783</v>
      </c>
      <c r="B784" s="80">
        <v>135</v>
      </c>
      <c r="C784" s="80">
        <v>2</v>
      </c>
      <c r="D784" s="80" t="s">
        <v>3617</v>
      </c>
      <c r="E784" s="80">
        <v>796</v>
      </c>
      <c r="F784" s="80">
        <v>1.7</v>
      </c>
      <c r="G784" s="80">
        <v>1</v>
      </c>
      <c r="H784" s="80">
        <v>2</v>
      </c>
      <c r="I784" s="80">
        <v>840</v>
      </c>
    </row>
    <row r="785" spans="1:9" x14ac:dyDescent="0.25">
      <c r="A785" s="80">
        <v>784</v>
      </c>
      <c r="B785" s="80">
        <v>135</v>
      </c>
      <c r="C785" s="80">
        <v>3</v>
      </c>
      <c r="D785" s="80" t="s">
        <v>3618</v>
      </c>
      <c r="E785" s="80">
        <v>796</v>
      </c>
      <c r="F785" s="80">
        <v>1.7</v>
      </c>
      <c r="G785" s="80">
        <v>1</v>
      </c>
      <c r="H785" s="80">
        <v>1</v>
      </c>
      <c r="I785" s="80">
        <v>840</v>
      </c>
    </row>
    <row r="786" spans="1:9" x14ac:dyDescent="0.25">
      <c r="A786" s="80">
        <v>785</v>
      </c>
      <c r="B786" s="80">
        <v>135</v>
      </c>
      <c r="C786" s="80">
        <v>4</v>
      </c>
      <c r="D786" s="80" t="s">
        <v>3619</v>
      </c>
      <c r="E786" s="80">
        <v>796</v>
      </c>
      <c r="F786" s="80">
        <v>1.7</v>
      </c>
      <c r="G786" s="80">
        <v>1</v>
      </c>
      <c r="H786" s="80">
        <v>1</v>
      </c>
      <c r="I786" s="80">
        <v>840</v>
      </c>
    </row>
    <row r="787" spans="1:9" x14ac:dyDescent="0.25">
      <c r="A787" s="80">
        <v>786</v>
      </c>
      <c r="B787" s="80">
        <v>135</v>
      </c>
      <c r="C787" s="80">
        <v>5</v>
      </c>
      <c r="D787" s="80" t="s">
        <v>3027</v>
      </c>
      <c r="E787" s="80">
        <v>796</v>
      </c>
      <c r="F787" s="80">
        <v>1.7</v>
      </c>
      <c r="G787" s="80">
        <v>2</v>
      </c>
      <c r="H787" s="80">
        <v>4</v>
      </c>
      <c r="I787" s="80">
        <v>840</v>
      </c>
    </row>
    <row r="788" spans="1:9" x14ac:dyDescent="0.25">
      <c r="A788" s="80">
        <v>787</v>
      </c>
      <c r="B788" s="80">
        <v>136</v>
      </c>
      <c r="C788" s="80">
        <v>1</v>
      </c>
      <c r="D788" s="80" t="s">
        <v>104</v>
      </c>
      <c r="E788" s="80">
        <v>796</v>
      </c>
      <c r="F788" s="80">
        <v>2.0699999999999998</v>
      </c>
      <c r="G788" s="80">
        <v>1</v>
      </c>
      <c r="H788" s="80">
        <v>2</v>
      </c>
      <c r="I788" s="80">
        <v>840</v>
      </c>
    </row>
    <row r="789" spans="1:9" x14ac:dyDescent="0.25">
      <c r="A789" s="80">
        <v>788</v>
      </c>
      <c r="B789" s="80">
        <v>136</v>
      </c>
      <c r="C789" s="80">
        <v>2</v>
      </c>
      <c r="D789" s="80" t="s">
        <v>106</v>
      </c>
      <c r="E789" s="80">
        <v>796</v>
      </c>
      <c r="F789" s="80">
        <v>2.0699999999999998</v>
      </c>
      <c r="G789" s="80">
        <v>3</v>
      </c>
      <c r="H789" s="80">
        <v>6</v>
      </c>
      <c r="I789" s="80">
        <v>840</v>
      </c>
    </row>
    <row r="790" spans="1:9" x14ac:dyDescent="0.25">
      <c r="A790" s="80">
        <v>789</v>
      </c>
      <c r="B790" s="80">
        <v>136</v>
      </c>
      <c r="C790" s="80">
        <v>3</v>
      </c>
      <c r="D790" s="80" t="s">
        <v>80</v>
      </c>
      <c r="E790" s="80">
        <v>796</v>
      </c>
      <c r="F790" s="80">
        <v>2.0699999999999998</v>
      </c>
      <c r="G790" s="80">
        <v>3</v>
      </c>
      <c r="H790" s="80">
        <v>3</v>
      </c>
      <c r="I790" s="80">
        <v>840</v>
      </c>
    </row>
    <row r="791" spans="1:9" x14ac:dyDescent="0.25">
      <c r="A791" s="80">
        <v>790</v>
      </c>
      <c r="B791" s="80">
        <v>136</v>
      </c>
      <c r="C791" s="80">
        <v>4</v>
      </c>
      <c r="D791" s="80" t="s">
        <v>91</v>
      </c>
      <c r="E791" s="80">
        <v>796</v>
      </c>
      <c r="F791" s="80">
        <v>2.0699999999999998</v>
      </c>
      <c r="G791" s="80">
        <v>1</v>
      </c>
      <c r="H791" s="80">
        <v>2</v>
      </c>
      <c r="I791" s="80">
        <v>840</v>
      </c>
    </row>
    <row r="792" spans="1:9" x14ac:dyDescent="0.25">
      <c r="A792" s="80">
        <v>791</v>
      </c>
      <c r="B792" s="80">
        <v>136</v>
      </c>
      <c r="C792" s="80">
        <v>5</v>
      </c>
      <c r="D792" s="80" t="s">
        <v>101</v>
      </c>
      <c r="E792" s="80">
        <v>796</v>
      </c>
      <c r="F792" s="80">
        <v>2.0699999999999998</v>
      </c>
      <c r="G792" s="80">
        <v>1</v>
      </c>
      <c r="H792" s="80">
        <v>1</v>
      </c>
      <c r="I792" s="80">
        <v>840</v>
      </c>
    </row>
    <row r="793" spans="1:9" x14ac:dyDescent="0.25">
      <c r="A793" s="80">
        <v>792</v>
      </c>
      <c r="B793" s="80">
        <v>136</v>
      </c>
      <c r="C793" s="80">
        <v>6</v>
      </c>
      <c r="D793" s="80" t="s">
        <v>2915</v>
      </c>
      <c r="E793" s="80">
        <v>796</v>
      </c>
      <c r="F793" s="80">
        <v>2.0699999999999998</v>
      </c>
      <c r="G793" s="80">
        <v>2</v>
      </c>
      <c r="H793" s="80">
        <v>4</v>
      </c>
      <c r="I793" s="80">
        <v>840</v>
      </c>
    </row>
    <row r="794" spans="1:9" x14ac:dyDescent="0.25">
      <c r="A794" s="80">
        <v>793</v>
      </c>
      <c r="B794" s="80">
        <v>137</v>
      </c>
      <c r="C794" s="80">
        <v>1</v>
      </c>
      <c r="D794" s="80" t="s">
        <v>79</v>
      </c>
      <c r="E794" s="80">
        <v>796</v>
      </c>
      <c r="F794" s="80">
        <v>0.92</v>
      </c>
      <c r="G794" s="80">
        <v>3</v>
      </c>
      <c r="H794" s="80">
        <v>3</v>
      </c>
      <c r="I794" s="80">
        <v>840</v>
      </c>
    </row>
    <row r="795" spans="1:9" x14ac:dyDescent="0.25">
      <c r="A795" s="80">
        <v>794</v>
      </c>
      <c r="B795" s="80">
        <v>137</v>
      </c>
      <c r="C795" s="80">
        <v>2</v>
      </c>
      <c r="D795" s="80" t="s">
        <v>3620</v>
      </c>
      <c r="E795" s="80">
        <v>796</v>
      </c>
      <c r="F795" s="80">
        <v>0.92</v>
      </c>
      <c r="G795" s="80">
        <v>1</v>
      </c>
      <c r="H795" s="80">
        <v>1</v>
      </c>
      <c r="I795" s="80">
        <v>840</v>
      </c>
    </row>
    <row r="796" spans="1:9" x14ac:dyDescent="0.25">
      <c r="A796" s="80">
        <v>795</v>
      </c>
      <c r="B796" s="80">
        <v>137</v>
      </c>
      <c r="C796" s="80">
        <v>3</v>
      </c>
      <c r="D796" s="80" t="s">
        <v>3614</v>
      </c>
      <c r="E796" s="80">
        <v>796</v>
      </c>
      <c r="F796" s="80">
        <v>0.92</v>
      </c>
      <c r="G796" s="80">
        <v>3</v>
      </c>
      <c r="H796" s="80">
        <v>6</v>
      </c>
      <c r="I796" s="80">
        <v>840</v>
      </c>
    </row>
    <row r="797" spans="1:9" x14ac:dyDescent="0.25">
      <c r="A797" s="80">
        <v>796</v>
      </c>
      <c r="B797" s="80">
        <v>137</v>
      </c>
      <c r="C797" s="80">
        <v>4</v>
      </c>
      <c r="D797" s="80" t="s">
        <v>3621</v>
      </c>
      <c r="E797" s="80">
        <v>796</v>
      </c>
      <c r="F797" s="80">
        <v>0.92</v>
      </c>
      <c r="G797" s="80">
        <v>2</v>
      </c>
      <c r="H797" s="80">
        <v>2</v>
      </c>
      <c r="I797" s="80">
        <v>840</v>
      </c>
    </row>
    <row r="798" spans="1:9" x14ac:dyDescent="0.25">
      <c r="A798" s="80">
        <v>797</v>
      </c>
      <c r="B798" s="80">
        <v>137</v>
      </c>
      <c r="C798" s="80">
        <v>5</v>
      </c>
      <c r="D798" s="80" t="s">
        <v>3622</v>
      </c>
      <c r="E798" s="80">
        <v>796</v>
      </c>
      <c r="F798" s="80">
        <v>0.92</v>
      </c>
      <c r="G798" s="80">
        <v>1</v>
      </c>
      <c r="H798" s="80">
        <v>1</v>
      </c>
      <c r="I798" s="80">
        <v>840</v>
      </c>
    </row>
    <row r="799" spans="1:9" x14ac:dyDescent="0.25">
      <c r="A799" s="80">
        <v>798</v>
      </c>
      <c r="B799" s="80">
        <v>138</v>
      </c>
      <c r="C799" s="80">
        <v>1</v>
      </c>
      <c r="D799" s="80" t="s">
        <v>101</v>
      </c>
      <c r="E799" s="80">
        <v>796</v>
      </c>
      <c r="F799" s="80">
        <v>1.4</v>
      </c>
      <c r="G799" s="80">
        <v>3</v>
      </c>
      <c r="H799" s="80">
        <v>3</v>
      </c>
      <c r="I799" s="80">
        <v>840</v>
      </c>
    </row>
    <row r="800" spans="1:9" x14ac:dyDescent="0.25">
      <c r="A800" s="80">
        <v>799</v>
      </c>
      <c r="B800" s="80">
        <v>138</v>
      </c>
      <c r="C800" s="80">
        <v>2</v>
      </c>
      <c r="D800" s="80" t="s">
        <v>101</v>
      </c>
      <c r="E800" s="80">
        <v>796</v>
      </c>
      <c r="F800" s="80">
        <v>1.4</v>
      </c>
      <c r="G800" s="80">
        <v>1</v>
      </c>
      <c r="H800" s="80">
        <v>1</v>
      </c>
      <c r="I800" s="80">
        <v>840</v>
      </c>
    </row>
    <row r="801" spans="1:9" x14ac:dyDescent="0.25">
      <c r="A801" s="80">
        <v>800</v>
      </c>
      <c r="B801" s="80">
        <v>139</v>
      </c>
      <c r="C801" s="80">
        <v>1</v>
      </c>
      <c r="D801" s="80" t="s">
        <v>92</v>
      </c>
      <c r="E801" s="80">
        <v>796</v>
      </c>
      <c r="F801" s="80">
        <v>1.31</v>
      </c>
      <c r="G801" s="80">
        <v>3</v>
      </c>
      <c r="H801" s="80">
        <v>6</v>
      </c>
      <c r="I801" s="80">
        <v>840</v>
      </c>
    </row>
    <row r="802" spans="1:9" x14ac:dyDescent="0.25">
      <c r="A802" s="80">
        <v>801</v>
      </c>
      <c r="B802" s="80">
        <v>139</v>
      </c>
      <c r="C802" s="80">
        <v>2</v>
      </c>
      <c r="D802" s="80" t="s">
        <v>78</v>
      </c>
      <c r="E802" s="80">
        <v>796</v>
      </c>
      <c r="F802" s="80">
        <v>1.31</v>
      </c>
      <c r="G802" s="80">
        <v>2</v>
      </c>
      <c r="H802" s="80">
        <v>2</v>
      </c>
      <c r="I802" s="80">
        <v>840</v>
      </c>
    </row>
    <row r="803" spans="1:9" x14ac:dyDescent="0.25">
      <c r="A803" s="80">
        <v>802</v>
      </c>
      <c r="B803" s="80">
        <v>139</v>
      </c>
      <c r="C803" s="80">
        <v>3</v>
      </c>
      <c r="D803" s="80" t="s">
        <v>85</v>
      </c>
      <c r="E803" s="80">
        <v>796</v>
      </c>
      <c r="F803" s="80">
        <v>1.31</v>
      </c>
      <c r="G803" s="80">
        <v>2</v>
      </c>
      <c r="H803" s="80">
        <v>2</v>
      </c>
      <c r="I803" s="80">
        <v>840</v>
      </c>
    </row>
    <row r="804" spans="1:9" x14ac:dyDescent="0.25">
      <c r="A804" s="80">
        <v>803</v>
      </c>
      <c r="B804" s="80">
        <v>139</v>
      </c>
      <c r="C804" s="80">
        <v>4</v>
      </c>
      <c r="D804" s="80" t="s">
        <v>79</v>
      </c>
      <c r="E804" s="80">
        <v>796</v>
      </c>
      <c r="F804" s="80">
        <v>1.31</v>
      </c>
      <c r="G804" s="80">
        <v>1</v>
      </c>
      <c r="H804" s="80">
        <v>2</v>
      </c>
      <c r="I804" s="80">
        <v>840</v>
      </c>
    </row>
    <row r="805" spans="1:9" x14ac:dyDescent="0.25">
      <c r="A805" s="80">
        <v>804</v>
      </c>
      <c r="B805" s="80">
        <v>139</v>
      </c>
      <c r="C805" s="80">
        <v>5</v>
      </c>
      <c r="D805" s="80" t="s">
        <v>93</v>
      </c>
      <c r="E805" s="80">
        <v>796</v>
      </c>
      <c r="F805" s="80">
        <v>1.31</v>
      </c>
      <c r="G805" s="80">
        <v>1</v>
      </c>
      <c r="H805" s="80">
        <v>1</v>
      </c>
      <c r="I805" s="80">
        <v>840</v>
      </c>
    </row>
    <row r="806" spans="1:9" x14ac:dyDescent="0.25">
      <c r="A806" s="80">
        <v>805</v>
      </c>
      <c r="B806" s="80">
        <v>139</v>
      </c>
      <c r="C806" s="80">
        <v>6</v>
      </c>
      <c r="D806" s="80" t="s">
        <v>92</v>
      </c>
      <c r="E806" s="80">
        <v>796</v>
      </c>
      <c r="F806" s="80">
        <v>1.31</v>
      </c>
      <c r="G806" s="80">
        <v>1</v>
      </c>
      <c r="H806" s="80">
        <v>2</v>
      </c>
      <c r="I806" s="80">
        <v>840</v>
      </c>
    </row>
    <row r="807" spans="1:9" x14ac:dyDescent="0.25">
      <c r="A807" s="80">
        <v>806</v>
      </c>
      <c r="B807" s="80">
        <v>139</v>
      </c>
      <c r="C807" s="80">
        <v>7</v>
      </c>
      <c r="D807" s="80" t="s">
        <v>96</v>
      </c>
      <c r="E807" s="80">
        <v>796</v>
      </c>
      <c r="F807" s="80">
        <v>1.31</v>
      </c>
      <c r="G807" s="80">
        <v>2</v>
      </c>
      <c r="H807" s="80">
        <v>4</v>
      </c>
      <c r="I807" s="80">
        <v>840</v>
      </c>
    </row>
    <row r="808" spans="1:9" x14ac:dyDescent="0.25">
      <c r="A808" s="80">
        <v>807</v>
      </c>
      <c r="B808" s="80">
        <v>139</v>
      </c>
      <c r="C808" s="80">
        <v>8</v>
      </c>
      <c r="D808" s="80" t="s">
        <v>78</v>
      </c>
      <c r="E808" s="80">
        <v>796</v>
      </c>
      <c r="F808" s="80">
        <v>1.31</v>
      </c>
      <c r="G808" s="80">
        <v>2</v>
      </c>
      <c r="H808" s="80">
        <v>2</v>
      </c>
      <c r="I808" s="80">
        <v>840</v>
      </c>
    </row>
    <row r="809" spans="1:9" x14ac:dyDescent="0.25">
      <c r="A809" s="80">
        <v>808</v>
      </c>
      <c r="B809" s="80">
        <v>139</v>
      </c>
      <c r="C809" s="80">
        <v>9</v>
      </c>
      <c r="D809" s="80" t="s">
        <v>96</v>
      </c>
      <c r="E809" s="80">
        <v>796</v>
      </c>
      <c r="F809" s="80">
        <v>1.31</v>
      </c>
      <c r="G809" s="80">
        <v>3</v>
      </c>
      <c r="H809" s="80">
        <v>6</v>
      </c>
      <c r="I809" s="80">
        <v>840</v>
      </c>
    </row>
    <row r="810" spans="1:9" x14ac:dyDescent="0.25">
      <c r="A810" s="80">
        <v>809</v>
      </c>
      <c r="B810" s="80">
        <v>140</v>
      </c>
      <c r="C810" s="80">
        <v>1</v>
      </c>
      <c r="D810" s="80" t="s">
        <v>3623</v>
      </c>
      <c r="E810" s="80">
        <v>796</v>
      </c>
      <c r="F810" s="80">
        <v>1.45</v>
      </c>
      <c r="G810" s="80">
        <v>2</v>
      </c>
      <c r="H810" s="80">
        <v>2</v>
      </c>
      <c r="I810" s="80">
        <v>840</v>
      </c>
    </row>
    <row r="811" spans="1:9" x14ac:dyDescent="0.25">
      <c r="A811" s="80">
        <v>810</v>
      </c>
      <c r="B811" s="80">
        <v>140</v>
      </c>
      <c r="C811" s="80">
        <v>2</v>
      </c>
      <c r="D811" s="80" t="s">
        <v>3624</v>
      </c>
      <c r="E811" s="80">
        <v>796</v>
      </c>
      <c r="F811" s="80">
        <v>1.45</v>
      </c>
      <c r="G811" s="80">
        <v>2</v>
      </c>
      <c r="H811" s="80">
        <v>2</v>
      </c>
      <c r="I811" s="80">
        <v>840</v>
      </c>
    </row>
    <row r="812" spans="1:9" x14ac:dyDescent="0.25">
      <c r="A812" s="80">
        <v>811</v>
      </c>
      <c r="B812" s="80">
        <v>140</v>
      </c>
      <c r="C812" s="80">
        <v>3</v>
      </c>
      <c r="D812" s="80" t="s">
        <v>3625</v>
      </c>
      <c r="E812" s="80">
        <v>796</v>
      </c>
      <c r="F812" s="80">
        <v>1.45</v>
      </c>
      <c r="G812" s="80">
        <v>2</v>
      </c>
      <c r="H812" s="80">
        <v>4</v>
      </c>
      <c r="I812" s="80">
        <v>840</v>
      </c>
    </row>
    <row r="813" spans="1:9" x14ac:dyDescent="0.25">
      <c r="A813" s="80">
        <v>812</v>
      </c>
      <c r="B813" s="80">
        <v>140</v>
      </c>
      <c r="C813" s="80">
        <v>4</v>
      </c>
      <c r="D813" s="80" t="s">
        <v>3626</v>
      </c>
      <c r="E813" s="80">
        <v>796</v>
      </c>
      <c r="F813" s="80">
        <v>1.45</v>
      </c>
      <c r="G813" s="80">
        <v>2</v>
      </c>
      <c r="H813" s="80">
        <v>4</v>
      </c>
      <c r="I813" s="80">
        <v>840</v>
      </c>
    </row>
    <row r="814" spans="1:9" x14ac:dyDescent="0.25">
      <c r="A814" s="80">
        <v>813</v>
      </c>
      <c r="B814" s="80">
        <v>141</v>
      </c>
      <c r="C814" s="80">
        <v>1</v>
      </c>
      <c r="D814" s="80" t="s">
        <v>102</v>
      </c>
      <c r="E814" s="80">
        <v>796</v>
      </c>
      <c r="F814" s="80">
        <v>1.63</v>
      </c>
      <c r="G814" s="80">
        <v>1</v>
      </c>
      <c r="H814" s="80">
        <v>1</v>
      </c>
      <c r="I814" s="80">
        <v>840</v>
      </c>
    </row>
    <row r="815" spans="1:9" x14ac:dyDescent="0.25">
      <c r="A815" s="80">
        <v>814</v>
      </c>
      <c r="B815" s="80">
        <v>141</v>
      </c>
      <c r="C815" s="80">
        <v>2</v>
      </c>
      <c r="D815" s="80" t="s">
        <v>3626</v>
      </c>
      <c r="E815" s="80">
        <v>796</v>
      </c>
      <c r="F815" s="80">
        <v>1.63</v>
      </c>
      <c r="G815" s="80">
        <v>3</v>
      </c>
      <c r="H815" s="80">
        <v>6</v>
      </c>
      <c r="I815" s="80">
        <v>840</v>
      </c>
    </row>
    <row r="816" spans="1:9" x14ac:dyDescent="0.25">
      <c r="A816" s="80">
        <v>815</v>
      </c>
      <c r="B816" s="80">
        <v>141</v>
      </c>
      <c r="C816" s="80">
        <v>3</v>
      </c>
      <c r="D816" s="80" t="s">
        <v>3627</v>
      </c>
      <c r="E816" s="80">
        <v>796</v>
      </c>
      <c r="F816" s="80">
        <v>1.63</v>
      </c>
      <c r="G816" s="80">
        <v>3</v>
      </c>
      <c r="H816" s="80">
        <v>6</v>
      </c>
      <c r="I816" s="80">
        <v>840</v>
      </c>
    </row>
    <row r="817" spans="1:9" x14ac:dyDescent="0.25">
      <c r="A817" s="80">
        <v>816</v>
      </c>
      <c r="B817" s="80">
        <v>142</v>
      </c>
      <c r="C817" s="80">
        <v>1</v>
      </c>
      <c r="D817" s="80" t="s">
        <v>3021</v>
      </c>
      <c r="E817" s="80">
        <v>796</v>
      </c>
      <c r="F817" s="80">
        <v>1.01</v>
      </c>
      <c r="G817" s="80">
        <v>2</v>
      </c>
      <c r="H817" s="80">
        <v>2</v>
      </c>
      <c r="I817" s="80">
        <v>840</v>
      </c>
    </row>
    <row r="818" spans="1:9" x14ac:dyDescent="0.25">
      <c r="A818" s="80">
        <v>817</v>
      </c>
      <c r="B818" s="80">
        <v>142</v>
      </c>
      <c r="C818" s="80">
        <v>2</v>
      </c>
      <c r="D818" s="80" t="s">
        <v>85</v>
      </c>
      <c r="E818" s="80">
        <v>796</v>
      </c>
      <c r="F818" s="80">
        <v>1.01</v>
      </c>
      <c r="G818" s="80">
        <v>2</v>
      </c>
      <c r="H818" s="80">
        <v>2</v>
      </c>
      <c r="I818" s="80">
        <v>840</v>
      </c>
    </row>
    <row r="819" spans="1:9" x14ac:dyDescent="0.25">
      <c r="A819" s="80">
        <v>818</v>
      </c>
      <c r="B819" s="80">
        <v>142</v>
      </c>
      <c r="C819" s="80">
        <v>3</v>
      </c>
      <c r="D819" s="80" t="s">
        <v>106</v>
      </c>
      <c r="E819" s="80">
        <v>796</v>
      </c>
      <c r="F819" s="80">
        <v>1.01</v>
      </c>
      <c r="G819" s="80">
        <v>2</v>
      </c>
      <c r="H819" s="80">
        <v>2</v>
      </c>
      <c r="I819" s="80">
        <v>840</v>
      </c>
    </row>
    <row r="820" spans="1:9" x14ac:dyDescent="0.25">
      <c r="A820" s="80">
        <v>819</v>
      </c>
      <c r="B820" s="80">
        <v>142</v>
      </c>
      <c r="C820" s="80">
        <v>4</v>
      </c>
      <c r="D820" s="80" t="s">
        <v>99</v>
      </c>
      <c r="E820" s="80">
        <v>796</v>
      </c>
      <c r="F820" s="80">
        <v>1.01</v>
      </c>
      <c r="G820" s="80">
        <v>2</v>
      </c>
      <c r="H820" s="80">
        <v>4</v>
      </c>
      <c r="I820" s="80">
        <v>840</v>
      </c>
    </row>
    <row r="821" spans="1:9" x14ac:dyDescent="0.25">
      <c r="A821" s="80">
        <v>820</v>
      </c>
      <c r="B821" s="80">
        <v>142</v>
      </c>
      <c r="C821" s="80">
        <v>5</v>
      </c>
      <c r="D821" s="80" t="s">
        <v>91</v>
      </c>
      <c r="E821" s="80">
        <v>796</v>
      </c>
      <c r="F821" s="80">
        <v>1.01</v>
      </c>
      <c r="G821" s="80">
        <v>2</v>
      </c>
      <c r="H821" s="80">
        <v>2</v>
      </c>
      <c r="I821" s="80">
        <v>840</v>
      </c>
    </row>
    <row r="822" spans="1:9" x14ac:dyDescent="0.25">
      <c r="A822" s="80">
        <v>821</v>
      </c>
      <c r="B822" s="80">
        <v>142</v>
      </c>
      <c r="C822" s="80">
        <v>6</v>
      </c>
      <c r="D822" s="80" t="s">
        <v>88</v>
      </c>
      <c r="E822" s="80">
        <v>796</v>
      </c>
      <c r="F822" s="80">
        <v>1.01</v>
      </c>
      <c r="G822" s="80">
        <v>2</v>
      </c>
      <c r="H822" s="80">
        <v>4</v>
      </c>
      <c r="I822" s="80">
        <v>840</v>
      </c>
    </row>
    <row r="823" spans="1:9" x14ac:dyDescent="0.25">
      <c r="A823" s="80">
        <v>822</v>
      </c>
      <c r="B823" s="80">
        <v>142</v>
      </c>
      <c r="C823" s="80">
        <v>7</v>
      </c>
      <c r="D823" s="80" t="s">
        <v>83</v>
      </c>
      <c r="E823" s="80">
        <v>796</v>
      </c>
      <c r="F823" s="80">
        <v>1.01</v>
      </c>
      <c r="G823" s="80">
        <v>3</v>
      </c>
      <c r="H823" s="80">
        <v>3</v>
      </c>
      <c r="I823" s="80">
        <v>840</v>
      </c>
    </row>
    <row r="824" spans="1:9" x14ac:dyDescent="0.25">
      <c r="A824" s="80">
        <v>823</v>
      </c>
      <c r="B824" s="80">
        <v>143</v>
      </c>
      <c r="C824" s="80">
        <v>1</v>
      </c>
      <c r="D824" s="80" t="s">
        <v>3628</v>
      </c>
      <c r="E824" s="80">
        <v>796</v>
      </c>
      <c r="F824" s="80">
        <v>2.85</v>
      </c>
      <c r="G824" s="80">
        <v>2</v>
      </c>
      <c r="H824" s="80">
        <v>4</v>
      </c>
      <c r="I824" s="80">
        <v>840</v>
      </c>
    </row>
    <row r="825" spans="1:9" x14ac:dyDescent="0.25">
      <c r="A825" s="80">
        <v>824</v>
      </c>
      <c r="B825" s="80">
        <v>143</v>
      </c>
      <c r="C825" s="80">
        <v>2</v>
      </c>
      <c r="D825" s="80" t="s">
        <v>3629</v>
      </c>
      <c r="E825" s="80">
        <v>796</v>
      </c>
      <c r="F825" s="80">
        <v>2.85</v>
      </c>
      <c r="G825" s="80">
        <v>2</v>
      </c>
      <c r="H825" s="80">
        <v>4</v>
      </c>
      <c r="I825" s="80">
        <v>840</v>
      </c>
    </row>
    <row r="826" spans="1:9" x14ac:dyDescent="0.25">
      <c r="A826" s="80">
        <v>825</v>
      </c>
      <c r="B826" s="80">
        <v>144</v>
      </c>
      <c r="C826" s="80">
        <v>1</v>
      </c>
      <c r="D826" s="80" t="s">
        <v>3032</v>
      </c>
      <c r="E826" s="80">
        <v>796</v>
      </c>
      <c r="F826" s="80">
        <v>0.6</v>
      </c>
      <c r="G826" s="80">
        <v>2</v>
      </c>
      <c r="H826" s="80">
        <v>4</v>
      </c>
      <c r="I826" s="80">
        <v>840</v>
      </c>
    </row>
    <row r="827" spans="1:9" x14ac:dyDescent="0.25">
      <c r="A827" s="80">
        <v>826</v>
      </c>
      <c r="B827" s="80">
        <v>144</v>
      </c>
      <c r="C827" s="80">
        <v>2</v>
      </c>
      <c r="D827" s="80" t="s">
        <v>3631</v>
      </c>
      <c r="E827" s="80">
        <v>796</v>
      </c>
      <c r="F827" s="80">
        <v>0.6</v>
      </c>
      <c r="G827" s="80">
        <v>2</v>
      </c>
      <c r="H827" s="80">
        <v>2</v>
      </c>
      <c r="I827" s="80">
        <v>840</v>
      </c>
    </row>
    <row r="828" spans="1:9" x14ac:dyDescent="0.25">
      <c r="A828" s="80">
        <v>827</v>
      </c>
      <c r="B828" s="80">
        <v>144</v>
      </c>
      <c r="C828" s="80">
        <v>3</v>
      </c>
      <c r="D828" s="80" t="s">
        <v>83</v>
      </c>
      <c r="E828" s="80">
        <v>796</v>
      </c>
      <c r="F828" s="80">
        <v>0.6</v>
      </c>
      <c r="G828" s="80">
        <v>1</v>
      </c>
      <c r="H828" s="80">
        <v>2</v>
      </c>
      <c r="I828" s="80">
        <v>840</v>
      </c>
    </row>
    <row r="829" spans="1:9" x14ac:dyDescent="0.25">
      <c r="A829" s="80">
        <v>828</v>
      </c>
      <c r="B829" s="80">
        <v>145</v>
      </c>
      <c r="C829" s="80">
        <v>1</v>
      </c>
      <c r="D829" s="80" t="s">
        <v>95</v>
      </c>
      <c r="E829" s="80">
        <v>796</v>
      </c>
      <c r="F829" s="80">
        <v>1.45</v>
      </c>
      <c r="G829" s="80">
        <v>3</v>
      </c>
      <c r="H829" s="80">
        <v>6</v>
      </c>
      <c r="I829" s="80">
        <v>840</v>
      </c>
    </row>
    <row r="830" spans="1:9" x14ac:dyDescent="0.25">
      <c r="A830" s="80">
        <v>829</v>
      </c>
      <c r="B830" s="80">
        <v>145</v>
      </c>
      <c r="C830" s="80">
        <v>2</v>
      </c>
      <c r="D830" s="80" t="s">
        <v>90</v>
      </c>
      <c r="E830" s="80">
        <v>796</v>
      </c>
      <c r="F830" s="80">
        <v>1.45</v>
      </c>
      <c r="G830" s="80">
        <v>2</v>
      </c>
      <c r="H830" s="80">
        <v>4</v>
      </c>
      <c r="I830" s="80">
        <v>840</v>
      </c>
    </row>
    <row r="831" spans="1:9" x14ac:dyDescent="0.25">
      <c r="A831" s="80">
        <v>830</v>
      </c>
      <c r="B831" s="80">
        <v>145</v>
      </c>
      <c r="C831" s="80">
        <v>3</v>
      </c>
      <c r="D831" s="80" t="s">
        <v>359</v>
      </c>
      <c r="E831" s="80">
        <v>796</v>
      </c>
      <c r="F831" s="80">
        <v>1.45</v>
      </c>
      <c r="G831" s="80">
        <v>2</v>
      </c>
      <c r="H831" s="80">
        <v>2</v>
      </c>
      <c r="I831" s="80">
        <v>840</v>
      </c>
    </row>
    <row r="832" spans="1:9" x14ac:dyDescent="0.25">
      <c r="A832" s="80">
        <v>831</v>
      </c>
      <c r="B832" s="80">
        <v>145</v>
      </c>
      <c r="C832" s="80">
        <v>4</v>
      </c>
      <c r="D832" s="80" t="s">
        <v>103</v>
      </c>
      <c r="E832" s="80">
        <v>796</v>
      </c>
      <c r="F832" s="80">
        <v>1.45</v>
      </c>
      <c r="G832" s="80">
        <v>3</v>
      </c>
      <c r="H832" s="80">
        <v>3</v>
      </c>
      <c r="I832" s="80">
        <v>840</v>
      </c>
    </row>
    <row r="833" spans="1:9" x14ac:dyDescent="0.25">
      <c r="A833" s="80">
        <v>832</v>
      </c>
      <c r="B833" s="80">
        <v>145</v>
      </c>
      <c r="C833" s="80">
        <v>5</v>
      </c>
      <c r="D833" s="80" t="s">
        <v>82</v>
      </c>
      <c r="E833" s="80">
        <v>796</v>
      </c>
      <c r="F833" s="80">
        <v>1.45</v>
      </c>
      <c r="G833" s="80">
        <v>2</v>
      </c>
      <c r="H833" s="80">
        <v>2</v>
      </c>
      <c r="I833" s="80">
        <v>840</v>
      </c>
    </row>
    <row r="834" spans="1:9" x14ac:dyDescent="0.25">
      <c r="A834" s="80">
        <v>833</v>
      </c>
      <c r="B834" s="80">
        <v>145</v>
      </c>
      <c r="C834" s="80">
        <v>6</v>
      </c>
      <c r="D834" s="80" t="s">
        <v>91</v>
      </c>
      <c r="E834" s="80">
        <v>796</v>
      </c>
      <c r="F834" s="80">
        <v>1.45</v>
      </c>
      <c r="G834" s="80">
        <v>1</v>
      </c>
      <c r="H834" s="80">
        <v>2</v>
      </c>
      <c r="I834" s="80">
        <v>840</v>
      </c>
    </row>
    <row r="835" spans="1:9" x14ac:dyDescent="0.25">
      <c r="A835" s="80">
        <v>834</v>
      </c>
      <c r="B835" s="80">
        <v>145</v>
      </c>
      <c r="C835" s="80">
        <v>7</v>
      </c>
      <c r="D835" s="80" t="s">
        <v>93</v>
      </c>
      <c r="E835" s="80">
        <v>796</v>
      </c>
      <c r="F835" s="80">
        <v>1.45</v>
      </c>
      <c r="G835" s="80">
        <v>2</v>
      </c>
      <c r="H835" s="80">
        <v>4</v>
      </c>
      <c r="I835" s="80">
        <v>840</v>
      </c>
    </row>
    <row r="836" spans="1:9" x14ac:dyDescent="0.25">
      <c r="A836" s="80">
        <v>835</v>
      </c>
      <c r="B836" s="80">
        <v>145</v>
      </c>
      <c r="C836" s="80">
        <v>8</v>
      </c>
      <c r="D836" s="80" t="s">
        <v>84</v>
      </c>
      <c r="E836" s="80">
        <v>796</v>
      </c>
      <c r="F836" s="80">
        <v>1.45</v>
      </c>
      <c r="G836" s="80">
        <v>2</v>
      </c>
      <c r="H836" s="80">
        <v>2</v>
      </c>
      <c r="I836" s="80">
        <v>840</v>
      </c>
    </row>
    <row r="837" spans="1:9" x14ac:dyDescent="0.25">
      <c r="A837" s="80">
        <v>836</v>
      </c>
      <c r="B837" s="80">
        <v>146</v>
      </c>
      <c r="C837" s="80">
        <v>1</v>
      </c>
      <c r="D837" s="80" t="s">
        <v>90</v>
      </c>
      <c r="E837" s="80">
        <v>796</v>
      </c>
      <c r="F837" s="80">
        <v>0.7</v>
      </c>
      <c r="G837" s="80">
        <v>3</v>
      </c>
      <c r="H837" s="80">
        <v>6</v>
      </c>
      <c r="I837" s="80">
        <v>840</v>
      </c>
    </row>
    <row r="838" spans="1:9" x14ac:dyDescent="0.25">
      <c r="A838" s="80">
        <v>837</v>
      </c>
      <c r="B838" s="80">
        <v>146</v>
      </c>
      <c r="C838" s="80">
        <v>2</v>
      </c>
      <c r="D838" s="80" t="s">
        <v>209</v>
      </c>
      <c r="E838" s="80">
        <v>796</v>
      </c>
      <c r="F838" s="80">
        <v>0.7</v>
      </c>
      <c r="G838" s="80">
        <v>1</v>
      </c>
      <c r="H838" s="80">
        <v>1</v>
      </c>
      <c r="I838" s="80">
        <v>840</v>
      </c>
    </row>
    <row r="839" spans="1:9" x14ac:dyDescent="0.25">
      <c r="A839" s="80">
        <v>838</v>
      </c>
      <c r="B839" s="80">
        <v>146</v>
      </c>
      <c r="C839" s="80">
        <v>3</v>
      </c>
      <c r="D839" s="80" t="s">
        <v>102</v>
      </c>
      <c r="E839" s="80">
        <v>796</v>
      </c>
      <c r="F839" s="80">
        <v>0.7</v>
      </c>
      <c r="G839" s="80">
        <v>3</v>
      </c>
      <c r="H839" s="80">
        <v>6</v>
      </c>
      <c r="I839" s="80">
        <v>840</v>
      </c>
    </row>
    <row r="840" spans="1:9" x14ac:dyDescent="0.25">
      <c r="A840" s="80">
        <v>839</v>
      </c>
      <c r="B840" s="80">
        <v>146</v>
      </c>
      <c r="C840" s="80">
        <v>4</v>
      </c>
      <c r="D840" s="80" t="s">
        <v>82</v>
      </c>
      <c r="E840" s="80">
        <v>796</v>
      </c>
      <c r="F840" s="80">
        <v>0.7</v>
      </c>
      <c r="G840" s="80">
        <v>3</v>
      </c>
      <c r="H840" s="80">
        <v>3</v>
      </c>
      <c r="I840" s="80">
        <v>840</v>
      </c>
    </row>
    <row r="841" spans="1:9" x14ac:dyDescent="0.25">
      <c r="A841" s="80">
        <v>840</v>
      </c>
      <c r="B841" s="80">
        <v>146</v>
      </c>
      <c r="C841" s="80">
        <v>5</v>
      </c>
      <c r="D841" s="80" t="s">
        <v>88</v>
      </c>
      <c r="E841" s="80">
        <v>796</v>
      </c>
      <c r="F841" s="80">
        <v>0.7</v>
      </c>
      <c r="G841" s="80">
        <v>1</v>
      </c>
      <c r="H841" s="80">
        <v>1</v>
      </c>
      <c r="I841" s="80">
        <v>840</v>
      </c>
    </row>
    <row r="842" spans="1:9" x14ac:dyDescent="0.25">
      <c r="A842" s="80">
        <v>841</v>
      </c>
      <c r="B842" s="80">
        <v>146</v>
      </c>
      <c r="C842" s="80">
        <v>6</v>
      </c>
      <c r="D842" s="80" t="s">
        <v>96</v>
      </c>
      <c r="E842" s="80">
        <v>796</v>
      </c>
      <c r="F842" s="80">
        <v>0.7</v>
      </c>
      <c r="G842" s="80">
        <v>3</v>
      </c>
      <c r="H842" s="80">
        <v>6</v>
      </c>
      <c r="I842" s="80">
        <v>840</v>
      </c>
    </row>
    <row r="843" spans="1:9" x14ac:dyDescent="0.25">
      <c r="A843" s="80">
        <v>842</v>
      </c>
      <c r="B843" s="80">
        <v>147</v>
      </c>
      <c r="C843" s="80">
        <v>1</v>
      </c>
      <c r="D843" s="80" t="s">
        <v>89</v>
      </c>
      <c r="E843" s="80">
        <v>796</v>
      </c>
      <c r="F843" s="80">
        <v>2</v>
      </c>
      <c r="G843" s="80">
        <v>3</v>
      </c>
      <c r="H843" s="80">
        <v>6</v>
      </c>
      <c r="I843" s="80">
        <v>840</v>
      </c>
    </row>
    <row r="844" spans="1:9" x14ac:dyDescent="0.25">
      <c r="A844" s="80">
        <v>843</v>
      </c>
      <c r="B844" s="80">
        <v>147</v>
      </c>
      <c r="C844" s="80">
        <v>2</v>
      </c>
      <c r="D844" s="80" t="s">
        <v>103</v>
      </c>
      <c r="E844" s="80">
        <v>796</v>
      </c>
      <c r="F844" s="80">
        <v>2</v>
      </c>
      <c r="G844" s="80">
        <v>3</v>
      </c>
      <c r="H844" s="80">
        <v>3</v>
      </c>
      <c r="I844" s="80">
        <v>840</v>
      </c>
    </row>
    <row r="845" spans="1:9" x14ac:dyDescent="0.25">
      <c r="A845" s="80">
        <v>844</v>
      </c>
      <c r="B845" s="80">
        <v>147</v>
      </c>
      <c r="C845" s="80">
        <v>3</v>
      </c>
      <c r="D845" s="80" t="s">
        <v>92</v>
      </c>
      <c r="E845" s="80">
        <v>796</v>
      </c>
      <c r="F845" s="80">
        <v>2</v>
      </c>
      <c r="G845" s="80">
        <v>1</v>
      </c>
      <c r="H845" s="80">
        <v>2</v>
      </c>
      <c r="I845" s="80">
        <v>840</v>
      </c>
    </row>
    <row r="846" spans="1:9" x14ac:dyDescent="0.25">
      <c r="A846" s="80">
        <v>845</v>
      </c>
      <c r="B846" s="80">
        <v>147</v>
      </c>
      <c r="C846" s="80">
        <v>4</v>
      </c>
      <c r="D846" s="80" t="s">
        <v>89</v>
      </c>
      <c r="E846" s="80">
        <v>796</v>
      </c>
      <c r="F846" s="80">
        <v>2</v>
      </c>
      <c r="G846" s="80">
        <v>3</v>
      </c>
      <c r="H846" s="80">
        <v>6</v>
      </c>
      <c r="I846" s="80">
        <v>840</v>
      </c>
    </row>
    <row r="847" spans="1:9" x14ac:dyDescent="0.25">
      <c r="A847" s="80">
        <v>846</v>
      </c>
      <c r="B847" s="80">
        <v>147</v>
      </c>
      <c r="C847" s="80">
        <v>5</v>
      </c>
      <c r="D847" s="80" t="s">
        <v>79</v>
      </c>
      <c r="E847" s="80">
        <v>796</v>
      </c>
      <c r="F847" s="80">
        <v>2</v>
      </c>
      <c r="G847" s="80">
        <v>1</v>
      </c>
      <c r="H847" s="80">
        <v>1</v>
      </c>
      <c r="I847" s="80">
        <v>840</v>
      </c>
    </row>
    <row r="848" spans="1:9" x14ac:dyDescent="0.25">
      <c r="A848" s="80">
        <v>847</v>
      </c>
      <c r="B848" s="80">
        <v>147</v>
      </c>
      <c r="C848" s="80">
        <v>6</v>
      </c>
      <c r="D848" s="80" t="s">
        <v>100</v>
      </c>
      <c r="E848" s="80">
        <v>796</v>
      </c>
      <c r="F848" s="80">
        <v>2</v>
      </c>
      <c r="G848" s="80">
        <v>1</v>
      </c>
      <c r="H848" s="80">
        <v>1</v>
      </c>
      <c r="I848" s="80">
        <v>840</v>
      </c>
    </row>
    <row r="849" spans="1:9" x14ac:dyDescent="0.25">
      <c r="A849" s="80">
        <v>848</v>
      </c>
      <c r="B849" s="80">
        <v>147</v>
      </c>
      <c r="C849" s="80">
        <v>7</v>
      </c>
      <c r="D849" s="80" t="s">
        <v>83</v>
      </c>
      <c r="E849" s="80">
        <v>796</v>
      </c>
      <c r="F849" s="80">
        <v>2</v>
      </c>
      <c r="G849" s="80">
        <v>1</v>
      </c>
      <c r="H849" s="80">
        <v>2</v>
      </c>
      <c r="I849" s="80">
        <v>840</v>
      </c>
    </row>
    <row r="850" spans="1:9" x14ac:dyDescent="0.25">
      <c r="A850" s="80">
        <v>849</v>
      </c>
      <c r="B850" s="80">
        <v>147</v>
      </c>
      <c r="C850" s="80">
        <v>8</v>
      </c>
      <c r="D850" s="80" t="s">
        <v>97</v>
      </c>
      <c r="E850" s="80">
        <v>796</v>
      </c>
      <c r="F850" s="80">
        <v>2</v>
      </c>
      <c r="G850" s="80">
        <v>3</v>
      </c>
      <c r="H850" s="80">
        <v>6</v>
      </c>
      <c r="I850" s="80">
        <v>840</v>
      </c>
    </row>
    <row r="851" spans="1:9" x14ac:dyDescent="0.25">
      <c r="A851" s="80">
        <v>850</v>
      </c>
      <c r="B851" s="80">
        <v>148</v>
      </c>
      <c r="C851" s="80">
        <v>1</v>
      </c>
      <c r="D851" s="80" t="s">
        <v>95</v>
      </c>
      <c r="E851" s="80">
        <v>796</v>
      </c>
      <c r="F851" s="80">
        <v>2.09</v>
      </c>
      <c r="G851" s="80">
        <v>2</v>
      </c>
      <c r="H851" s="80">
        <v>4</v>
      </c>
      <c r="I851" s="80">
        <v>840</v>
      </c>
    </row>
    <row r="852" spans="1:9" x14ac:dyDescent="0.25">
      <c r="A852" s="80">
        <v>851</v>
      </c>
      <c r="B852" s="80">
        <v>148</v>
      </c>
      <c r="C852" s="80">
        <v>2</v>
      </c>
      <c r="D852" s="80" t="s">
        <v>106</v>
      </c>
      <c r="E852" s="80">
        <v>796</v>
      </c>
      <c r="F852" s="80">
        <v>2.09</v>
      </c>
      <c r="G852" s="80">
        <v>3</v>
      </c>
      <c r="H852" s="80">
        <v>6</v>
      </c>
      <c r="I852" s="80">
        <v>840</v>
      </c>
    </row>
    <row r="853" spans="1:9" x14ac:dyDescent="0.25">
      <c r="A853" s="80">
        <v>852</v>
      </c>
      <c r="B853" s="80">
        <v>148</v>
      </c>
      <c r="C853" s="80">
        <v>3</v>
      </c>
      <c r="D853" s="80" t="s">
        <v>85</v>
      </c>
      <c r="E853" s="80">
        <v>796</v>
      </c>
      <c r="F853" s="80">
        <v>2.09</v>
      </c>
      <c r="G853" s="80">
        <v>2</v>
      </c>
      <c r="H853" s="80">
        <v>2</v>
      </c>
      <c r="I853" s="80">
        <v>840</v>
      </c>
    </row>
    <row r="854" spans="1:9" x14ac:dyDescent="0.25">
      <c r="A854" s="80">
        <v>853</v>
      </c>
      <c r="B854" s="80">
        <v>148</v>
      </c>
      <c r="C854" s="80">
        <v>4</v>
      </c>
      <c r="D854" s="80" t="s">
        <v>80</v>
      </c>
      <c r="E854" s="80">
        <v>796</v>
      </c>
      <c r="F854" s="80">
        <v>2.09</v>
      </c>
      <c r="G854" s="80">
        <v>1</v>
      </c>
      <c r="H854" s="80">
        <v>2</v>
      </c>
      <c r="I854" s="80">
        <v>840</v>
      </c>
    </row>
    <row r="855" spans="1:9" x14ac:dyDescent="0.25">
      <c r="A855" s="80">
        <v>854</v>
      </c>
      <c r="B855" s="80">
        <v>148</v>
      </c>
      <c r="C855" s="80">
        <v>5</v>
      </c>
      <c r="D855" s="80" t="s">
        <v>90</v>
      </c>
      <c r="E855" s="80">
        <v>796</v>
      </c>
      <c r="F855" s="80">
        <v>2.09</v>
      </c>
      <c r="G855" s="80">
        <v>2</v>
      </c>
      <c r="H855" s="80">
        <v>2</v>
      </c>
      <c r="I855" s="80">
        <v>840</v>
      </c>
    </row>
    <row r="856" spans="1:9" x14ac:dyDescent="0.25">
      <c r="A856" s="80">
        <v>855</v>
      </c>
      <c r="B856" s="80">
        <v>148</v>
      </c>
      <c r="C856" s="80">
        <v>6</v>
      </c>
      <c r="D856" s="80" t="s">
        <v>91</v>
      </c>
      <c r="E856" s="80">
        <v>796</v>
      </c>
      <c r="F856" s="80">
        <v>2.09</v>
      </c>
      <c r="G856" s="80">
        <v>3</v>
      </c>
      <c r="H856" s="80">
        <v>6</v>
      </c>
      <c r="I856" s="80">
        <v>840</v>
      </c>
    </row>
    <row r="857" spans="1:9" x14ac:dyDescent="0.25">
      <c r="A857" s="80">
        <v>856</v>
      </c>
      <c r="B857" s="80">
        <v>148</v>
      </c>
      <c r="C857" s="80">
        <v>7</v>
      </c>
      <c r="D857" s="80" t="s">
        <v>104</v>
      </c>
      <c r="E857" s="80">
        <v>796</v>
      </c>
      <c r="F857" s="80">
        <v>2.09</v>
      </c>
      <c r="G857" s="80">
        <v>3</v>
      </c>
      <c r="H857" s="80">
        <v>3</v>
      </c>
      <c r="I857" s="80">
        <v>840</v>
      </c>
    </row>
    <row r="858" spans="1:9" x14ac:dyDescent="0.25">
      <c r="A858" s="80">
        <v>857</v>
      </c>
      <c r="B858" s="80">
        <v>148</v>
      </c>
      <c r="C858" s="80">
        <v>8</v>
      </c>
      <c r="D858" s="80" t="s">
        <v>3021</v>
      </c>
      <c r="E858" s="80">
        <v>796</v>
      </c>
      <c r="F858" s="80">
        <v>2.09</v>
      </c>
      <c r="G858" s="80">
        <v>1</v>
      </c>
      <c r="H858" s="80">
        <v>2</v>
      </c>
      <c r="I858" s="80">
        <v>840</v>
      </c>
    </row>
    <row r="859" spans="1:9" x14ac:dyDescent="0.25">
      <c r="A859" s="80">
        <v>858</v>
      </c>
      <c r="B859" s="80">
        <v>148</v>
      </c>
      <c r="C859" s="80">
        <v>9</v>
      </c>
      <c r="D859" s="80" t="s">
        <v>94</v>
      </c>
      <c r="E859" s="80">
        <v>796</v>
      </c>
      <c r="F859" s="80">
        <v>2.09</v>
      </c>
      <c r="G859" s="80">
        <v>3</v>
      </c>
      <c r="H859" s="80">
        <v>6</v>
      </c>
      <c r="I859" s="80">
        <v>840</v>
      </c>
    </row>
    <row r="860" spans="1:9" x14ac:dyDescent="0.25">
      <c r="A860" s="80">
        <v>859</v>
      </c>
      <c r="B860" s="80">
        <v>149</v>
      </c>
      <c r="C860" s="80">
        <v>1</v>
      </c>
      <c r="D860" s="80" t="s">
        <v>102</v>
      </c>
      <c r="E860" s="80">
        <v>796</v>
      </c>
      <c r="F860" s="80">
        <v>0.98</v>
      </c>
      <c r="G860" s="80">
        <v>2</v>
      </c>
      <c r="H860" s="80">
        <v>4</v>
      </c>
      <c r="I860" s="80">
        <v>840</v>
      </c>
    </row>
    <row r="861" spans="1:9" x14ac:dyDescent="0.25">
      <c r="A861" s="80">
        <v>860</v>
      </c>
      <c r="B861" s="80">
        <v>149</v>
      </c>
      <c r="C861" s="80">
        <v>2</v>
      </c>
      <c r="D861" s="80" t="s">
        <v>102</v>
      </c>
      <c r="E861" s="80">
        <v>796</v>
      </c>
      <c r="F861" s="80">
        <v>0.98</v>
      </c>
      <c r="G861" s="80">
        <v>3</v>
      </c>
      <c r="H861" s="80">
        <v>3</v>
      </c>
      <c r="I861" s="80">
        <v>840</v>
      </c>
    </row>
    <row r="862" spans="1:9" x14ac:dyDescent="0.25">
      <c r="A862" s="80">
        <v>861</v>
      </c>
      <c r="B862" s="80">
        <v>149</v>
      </c>
      <c r="C862" s="80">
        <v>3</v>
      </c>
      <c r="D862" s="80" t="s">
        <v>359</v>
      </c>
      <c r="E862" s="80">
        <v>796</v>
      </c>
      <c r="F862" s="80">
        <v>0.98</v>
      </c>
      <c r="G862" s="80">
        <v>2</v>
      </c>
      <c r="H862" s="80">
        <v>2</v>
      </c>
      <c r="I862" s="80">
        <v>840</v>
      </c>
    </row>
    <row r="863" spans="1:9" x14ac:dyDescent="0.25">
      <c r="A863" s="80">
        <v>862</v>
      </c>
      <c r="B863" s="80">
        <v>149</v>
      </c>
      <c r="C863" s="80">
        <v>4</v>
      </c>
      <c r="D863" s="80" t="s">
        <v>85</v>
      </c>
      <c r="E863" s="80">
        <v>796</v>
      </c>
      <c r="F863" s="80">
        <v>0.98</v>
      </c>
      <c r="G863" s="80">
        <v>1</v>
      </c>
      <c r="H863" s="80">
        <v>2</v>
      </c>
      <c r="I863" s="80">
        <v>840</v>
      </c>
    </row>
    <row r="864" spans="1:9" x14ac:dyDescent="0.25">
      <c r="A864" s="80">
        <v>863</v>
      </c>
      <c r="B864" s="80">
        <v>149</v>
      </c>
      <c r="C864" s="80">
        <v>5</v>
      </c>
      <c r="D864" s="80" t="s">
        <v>80</v>
      </c>
      <c r="E864" s="80">
        <v>796</v>
      </c>
      <c r="F864" s="80">
        <v>0.98</v>
      </c>
      <c r="G864" s="80">
        <v>3</v>
      </c>
      <c r="H864" s="80">
        <v>6</v>
      </c>
      <c r="I864" s="80">
        <v>840</v>
      </c>
    </row>
    <row r="865" spans="1:9" x14ac:dyDescent="0.25">
      <c r="A865" s="80">
        <v>864</v>
      </c>
      <c r="B865" s="80">
        <v>149</v>
      </c>
      <c r="C865" s="80">
        <v>6</v>
      </c>
      <c r="D865" s="80" t="s">
        <v>3021</v>
      </c>
      <c r="E865" s="80">
        <v>796</v>
      </c>
      <c r="F865" s="80">
        <v>0.98</v>
      </c>
      <c r="G865" s="80">
        <v>2</v>
      </c>
      <c r="H865" s="80">
        <v>2</v>
      </c>
      <c r="I865" s="80">
        <v>840</v>
      </c>
    </row>
    <row r="866" spans="1:9" x14ac:dyDescent="0.25">
      <c r="A866" s="80">
        <v>865</v>
      </c>
      <c r="B866" s="80">
        <v>149</v>
      </c>
      <c r="C866" s="80">
        <v>7</v>
      </c>
      <c r="D866" s="80" t="s">
        <v>83</v>
      </c>
      <c r="E866" s="80">
        <v>796</v>
      </c>
      <c r="F866" s="80">
        <v>0.98</v>
      </c>
      <c r="G866" s="80">
        <v>2</v>
      </c>
      <c r="H866" s="80">
        <v>2</v>
      </c>
      <c r="I866" s="80">
        <v>840</v>
      </c>
    </row>
    <row r="867" spans="1:9" x14ac:dyDescent="0.25">
      <c r="A867" s="80">
        <v>866</v>
      </c>
      <c r="B867" s="80">
        <v>149</v>
      </c>
      <c r="C867" s="80">
        <v>8</v>
      </c>
      <c r="D867" s="80" t="s">
        <v>99</v>
      </c>
      <c r="E867" s="80">
        <v>796</v>
      </c>
      <c r="F867" s="80">
        <v>0.98</v>
      </c>
      <c r="G867" s="80">
        <v>3</v>
      </c>
      <c r="H867" s="80">
        <v>3</v>
      </c>
      <c r="I867" s="80">
        <v>840</v>
      </c>
    </row>
    <row r="868" spans="1:9" x14ac:dyDescent="0.25">
      <c r="A868" s="80">
        <v>867</v>
      </c>
      <c r="B868" s="80">
        <v>149</v>
      </c>
      <c r="C868" s="80">
        <v>9</v>
      </c>
      <c r="D868" s="80" t="s">
        <v>86</v>
      </c>
      <c r="E868" s="80">
        <v>796</v>
      </c>
      <c r="F868" s="80">
        <v>0.98</v>
      </c>
      <c r="G868" s="80">
        <v>1</v>
      </c>
      <c r="H868" s="80">
        <v>2</v>
      </c>
      <c r="I868" s="80">
        <v>840</v>
      </c>
    </row>
    <row r="869" spans="1:9" x14ac:dyDescent="0.25">
      <c r="A869" s="80">
        <v>868</v>
      </c>
      <c r="B869" s="80">
        <v>149</v>
      </c>
      <c r="C869" s="80">
        <v>10</v>
      </c>
      <c r="D869" s="80" t="s">
        <v>80</v>
      </c>
      <c r="E869" s="80">
        <v>796</v>
      </c>
      <c r="F869" s="80">
        <v>0.98</v>
      </c>
      <c r="G869" s="80">
        <v>3</v>
      </c>
      <c r="H869" s="80">
        <v>3</v>
      </c>
      <c r="I869" s="80">
        <v>840</v>
      </c>
    </row>
    <row r="870" spans="1:9" x14ac:dyDescent="0.25">
      <c r="A870" s="80">
        <v>869</v>
      </c>
      <c r="B870" s="80">
        <v>149</v>
      </c>
      <c r="C870" s="80">
        <v>11</v>
      </c>
      <c r="D870" s="80" t="s">
        <v>79</v>
      </c>
      <c r="E870" s="80">
        <v>796</v>
      </c>
      <c r="F870" s="80">
        <v>0.98</v>
      </c>
      <c r="G870" s="80">
        <v>3</v>
      </c>
      <c r="H870" s="80">
        <v>6</v>
      </c>
      <c r="I870" s="80">
        <v>840</v>
      </c>
    </row>
    <row r="871" spans="1:9" x14ac:dyDescent="0.25">
      <c r="A871" s="80">
        <v>870</v>
      </c>
      <c r="B871" s="80">
        <v>149</v>
      </c>
      <c r="C871" s="80">
        <v>12</v>
      </c>
      <c r="D871" s="80" t="s">
        <v>89</v>
      </c>
      <c r="E871" s="80">
        <v>796</v>
      </c>
      <c r="F871" s="80">
        <v>0.98</v>
      </c>
      <c r="G871" s="80">
        <v>1</v>
      </c>
      <c r="H871" s="80">
        <v>1</v>
      </c>
      <c r="I871" s="80">
        <v>840</v>
      </c>
    </row>
    <row r="872" spans="1:9" x14ac:dyDescent="0.25">
      <c r="A872" s="80">
        <v>871</v>
      </c>
      <c r="B872" s="80">
        <v>149</v>
      </c>
      <c r="C872" s="80">
        <v>13</v>
      </c>
      <c r="D872" s="80" t="s">
        <v>81</v>
      </c>
      <c r="E872" s="80">
        <v>796</v>
      </c>
      <c r="F872" s="80">
        <v>0.98</v>
      </c>
      <c r="G872" s="80">
        <v>1</v>
      </c>
      <c r="H872" s="80">
        <v>1</v>
      </c>
      <c r="I872" s="80">
        <v>840</v>
      </c>
    </row>
    <row r="873" spans="1:9" x14ac:dyDescent="0.25">
      <c r="A873" s="80">
        <v>872</v>
      </c>
      <c r="B873" s="80">
        <v>150</v>
      </c>
      <c r="C873" s="80">
        <v>1</v>
      </c>
      <c r="D873" s="80" t="s">
        <v>83</v>
      </c>
      <c r="E873" s="80">
        <v>796</v>
      </c>
      <c r="F873" s="80">
        <v>1.56</v>
      </c>
      <c r="G873" s="80">
        <v>3</v>
      </c>
      <c r="H873" s="80">
        <v>6</v>
      </c>
      <c r="I873" s="80">
        <v>840</v>
      </c>
    </row>
    <row r="874" spans="1:9" x14ac:dyDescent="0.25">
      <c r="A874" s="80">
        <v>873</v>
      </c>
      <c r="B874" s="80">
        <v>150</v>
      </c>
      <c r="C874" s="80">
        <v>2</v>
      </c>
      <c r="D874" s="80" t="s">
        <v>106</v>
      </c>
      <c r="E874" s="80">
        <v>796</v>
      </c>
      <c r="F874" s="80">
        <v>1.56</v>
      </c>
      <c r="G874" s="80">
        <v>3</v>
      </c>
      <c r="H874" s="80">
        <v>3</v>
      </c>
      <c r="I874" s="80">
        <v>840</v>
      </c>
    </row>
    <row r="875" spans="1:9" x14ac:dyDescent="0.25">
      <c r="A875" s="80">
        <v>874</v>
      </c>
      <c r="B875" s="80">
        <v>150</v>
      </c>
      <c r="C875" s="80">
        <v>3</v>
      </c>
      <c r="D875" s="80" t="s">
        <v>359</v>
      </c>
      <c r="E875" s="80">
        <v>796</v>
      </c>
      <c r="F875" s="80">
        <v>1.56</v>
      </c>
      <c r="G875" s="80">
        <v>1</v>
      </c>
      <c r="H875" s="80">
        <v>2</v>
      </c>
      <c r="I875" s="80">
        <v>840</v>
      </c>
    </row>
    <row r="876" spans="1:9" x14ac:dyDescent="0.25">
      <c r="A876" s="80">
        <v>875</v>
      </c>
      <c r="B876" s="80">
        <v>150</v>
      </c>
      <c r="C876" s="80">
        <v>4</v>
      </c>
      <c r="D876" s="80" t="s">
        <v>103</v>
      </c>
      <c r="E876" s="80">
        <v>796</v>
      </c>
      <c r="F876" s="80">
        <v>1.56</v>
      </c>
      <c r="G876" s="80">
        <v>1</v>
      </c>
      <c r="H876" s="80">
        <v>2</v>
      </c>
      <c r="I876" s="80">
        <v>840</v>
      </c>
    </row>
    <row r="877" spans="1:9" x14ac:dyDescent="0.25">
      <c r="A877" s="80">
        <v>876</v>
      </c>
      <c r="B877" s="80">
        <v>150</v>
      </c>
      <c r="C877" s="80">
        <v>5</v>
      </c>
      <c r="D877" s="80" t="s">
        <v>79</v>
      </c>
      <c r="E877" s="80">
        <v>796</v>
      </c>
      <c r="F877" s="80">
        <v>1.56</v>
      </c>
      <c r="G877" s="80">
        <v>1</v>
      </c>
      <c r="H877" s="80">
        <v>1</v>
      </c>
      <c r="I877" s="80">
        <v>840</v>
      </c>
    </row>
    <row r="878" spans="1:9" x14ac:dyDescent="0.25">
      <c r="A878" s="80">
        <v>877</v>
      </c>
      <c r="B878" s="80">
        <v>150</v>
      </c>
      <c r="C878" s="80">
        <v>6</v>
      </c>
      <c r="D878" s="80" t="s">
        <v>97</v>
      </c>
      <c r="E878" s="80">
        <v>796</v>
      </c>
      <c r="F878" s="80">
        <v>1.56</v>
      </c>
      <c r="G878" s="80">
        <v>2</v>
      </c>
      <c r="H878" s="80">
        <v>2</v>
      </c>
      <c r="I878" s="80">
        <v>840</v>
      </c>
    </row>
    <row r="879" spans="1:9" x14ac:dyDescent="0.25">
      <c r="A879" s="80">
        <v>878</v>
      </c>
      <c r="B879" s="80">
        <v>150</v>
      </c>
      <c r="C879" s="80">
        <v>7</v>
      </c>
      <c r="D879" s="80" t="s">
        <v>96</v>
      </c>
      <c r="E879" s="80">
        <v>796</v>
      </c>
      <c r="F879" s="80">
        <v>1.56</v>
      </c>
      <c r="G879" s="80">
        <v>1</v>
      </c>
      <c r="H879" s="80">
        <v>2</v>
      </c>
      <c r="I879" s="80">
        <v>840</v>
      </c>
    </row>
    <row r="880" spans="1:9" x14ac:dyDescent="0.25">
      <c r="A880" s="80">
        <v>879</v>
      </c>
      <c r="B880" s="80">
        <v>150</v>
      </c>
      <c r="C880" s="80">
        <v>8</v>
      </c>
      <c r="D880" s="80" t="s">
        <v>106</v>
      </c>
      <c r="E880" s="80">
        <v>796</v>
      </c>
      <c r="F880" s="80">
        <v>1.56</v>
      </c>
      <c r="G880" s="80">
        <v>3</v>
      </c>
      <c r="H880" s="80">
        <v>6</v>
      </c>
      <c r="I880" s="80">
        <v>840</v>
      </c>
    </row>
    <row r="881" spans="1:9" x14ac:dyDescent="0.25">
      <c r="A881" s="80">
        <v>880</v>
      </c>
      <c r="B881" s="80">
        <v>150</v>
      </c>
      <c r="C881" s="80">
        <v>9</v>
      </c>
      <c r="D881" s="80" t="s">
        <v>91</v>
      </c>
      <c r="E881" s="80">
        <v>796</v>
      </c>
      <c r="F881" s="80">
        <v>1.56</v>
      </c>
      <c r="G881" s="80">
        <v>3</v>
      </c>
      <c r="H881" s="80">
        <v>6</v>
      </c>
      <c r="I881" s="80">
        <v>840</v>
      </c>
    </row>
    <row r="882" spans="1:9" x14ac:dyDescent="0.25">
      <c r="A882" s="80">
        <v>881</v>
      </c>
      <c r="B882" s="80">
        <v>151</v>
      </c>
      <c r="C882" s="80">
        <v>1</v>
      </c>
      <c r="D882" s="80" t="s">
        <v>87</v>
      </c>
      <c r="E882" s="80">
        <v>796</v>
      </c>
      <c r="F882" s="80">
        <v>2.0299999999999998</v>
      </c>
      <c r="G882" s="80">
        <v>1</v>
      </c>
      <c r="H882" s="80">
        <v>1</v>
      </c>
      <c r="I882" s="80">
        <v>840</v>
      </c>
    </row>
    <row r="883" spans="1:9" x14ac:dyDescent="0.25">
      <c r="A883" s="80">
        <v>882</v>
      </c>
      <c r="B883" s="80">
        <v>151</v>
      </c>
      <c r="C883" s="80">
        <v>2</v>
      </c>
      <c r="D883" s="80" t="s">
        <v>96</v>
      </c>
      <c r="E883" s="80">
        <v>796</v>
      </c>
      <c r="F883" s="80">
        <v>2.0299999999999998</v>
      </c>
      <c r="G883" s="80">
        <v>3</v>
      </c>
      <c r="H883" s="80">
        <v>3</v>
      </c>
      <c r="I883" s="80">
        <v>840</v>
      </c>
    </row>
    <row r="884" spans="1:9" x14ac:dyDescent="0.25">
      <c r="A884" s="80">
        <v>883</v>
      </c>
      <c r="B884" s="80">
        <v>151</v>
      </c>
      <c r="C884" s="80">
        <v>3</v>
      </c>
      <c r="D884" s="80" t="s">
        <v>79</v>
      </c>
      <c r="E884" s="80">
        <v>796</v>
      </c>
      <c r="F884" s="80">
        <v>2.0299999999999998</v>
      </c>
      <c r="G884" s="80">
        <v>1</v>
      </c>
      <c r="H884" s="80">
        <v>1</v>
      </c>
      <c r="I884" s="80">
        <v>840</v>
      </c>
    </row>
    <row r="885" spans="1:9" x14ac:dyDescent="0.25">
      <c r="A885" s="80">
        <v>884</v>
      </c>
      <c r="B885" s="80">
        <v>151</v>
      </c>
      <c r="C885" s="80">
        <v>4</v>
      </c>
      <c r="D885" s="80" t="s">
        <v>93</v>
      </c>
      <c r="E885" s="80">
        <v>796</v>
      </c>
      <c r="F885" s="80">
        <v>2.0299999999999998</v>
      </c>
      <c r="G885" s="80">
        <v>1</v>
      </c>
      <c r="H885" s="80">
        <v>2</v>
      </c>
      <c r="I885" s="80">
        <v>840</v>
      </c>
    </row>
    <row r="886" spans="1:9" x14ac:dyDescent="0.25">
      <c r="A886" s="80">
        <v>885</v>
      </c>
      <c r="B886" s="80">
        <v>151</v>
      </c>
      <c r="C886" s="80">
        <v>5</v>
      </c>
      <c r="D886" s="80" t="s">
        <v>99</v>
      </c>
      <c r="E886" s="80">
        <v>796</v>
      </c>
      <c r="F886" s="80">
        <v>2.0299999999999998</v>
      </c>
      <c r="G886" s="80">
        <v>3</v>
      </c>
      <c r="H886" s="80">
        <v>3</v>
      </c>
      <c r="I886" s="80">
        <v>840</v>
      </c>
    </row>
    <row r="887" spans="1:9" x14ac:dyDescent="0.25">
      <c r="A887" s="80">
        <v>886</v>
      </c>
      <c r="B887" s="80">
        <v>151</v>
      </c>
      <c r="C887" s="80">
        <v>6</v>
      </c>
      <c r="D887" s="80" t="s">
        <v>79</v>
      </c>
      <c r="E887" s="80">
        <v>796</v>
      </c>
      <c r="F887" s="80">
        <v>2.0299999999999998</v>
      </c>
      <c r="G887" s="80">
        <v>1</v>
      </c>
      <c r="H887" s="80">
        <v>1</v>
      </c>
      <c r="I887" s="80">
        <v>840</v>
      </c>
    </row>
    <row r="888" spans="1:9" x14ac:dyDescent="0.25">
      <c r="A888" s="80">
        <v>887</v>
      </c>
      <c r="B888" s="80">
        <v>151</v>
      </c>
      <c r="C888" s="80">
        <v>7</v>
      </c>
      <c r="D888" s="80" t="s">
        <v>99</v>
      </c>
      <c r="E888" s="80">
        <v>796</v>
      </c>
      <c r="F888" s="80">
        <v>2.0299999999999998</v>
      </c>
      <c r="G888" s="80">
        <v>2</v>
      </c>
      <c r="H888" s="80">
        <v>2</v>
      </c>
      <c r="I888" s="80">
        <v>840</v>
      </c>
    </row>
    <row r="889" spans="1:9" x14ac:dyDescent="0.25">
      <c r="A889" s="80">
        <v>888</v>
      </c>
      <c r="B889" s="80">
        <v>152</v>
      </c>
      <c r="C889" s="80">
        <v>1</v>
      </c>
      <c r="D889" s="80" t="s">
        <v>92</v>
      </c>
      <c r="E889" s="80">
        <v>796</v>
      </c>
      <c r="F889" s="80">
        <v>2.11</v>
      </c>
      <c r="G889" s="80">
        <v>3</v>
      </c>
      <c r="H889" s="80">
        <v>6</v>
      </c>
      <c r="I889" s="80">
        <v>840</v>
      </c>
    </row>
    <row r="890" spans="1:9" x14ac:dyDescent="0.25">
      <c r="A890" s="80">
        <v>889</v>
      </c>
      <c r="B890" s="80">
        <v>152</v>
      </c>
      <c r="C890" s="80">
        <v>2</v>
      </c>
      <c r="D890" s="80" t="s">
        <v>100</v>
      </c>
      <c r="E890" s="80">
        <v>796</v>
      </c>
      <c r="F890" s="80">
        <v>2.11</v>
      </c>
      <c r="G890" s="80">
        <v>3</v>
      </c>
      <c r="H890" s="80">
        <v>6</v>
      </c>
      <c r="I890" s="80">
        <v>840</v>
      </c>
    </row>
    <row r="891" spans="1:9" x14ac:dyDescent="0.25">
      <c r="A891" s="80">
        <v>890</v>
      </c>
      <c r="B891" s="80">
        <v>152</v>
      </c>
      <c r="C891" s="80">
        <v>3</v>
      </c>
      <c r="D891" s="80" t="s">
        <v>102</v>
      </c>
      <c r="E891" s="80">
        <v>796</v>
      </c>
      <c r="F891" s="80">
        <v>2.11</v>
      </c>
      <c r="G891" s="80">
        <v>2</v>
      </c>
      <c r="H891" s="80">
        <v>2</v>
      </c>
      <c r="I891" s="80">
        <v>840</v>
      </c>
    </row>
    <row r="892" spans="1:9" x14ac:dyDescent="0.25">
      <c r="A892" s="80">
        <v>891</v>
      </c>
      <c r="B892" s="80">
        <v>152</v>
      </c>
      <c r="C892" s="80">
        <v>4</v>
      </c>
      <c r="D892" s="80" t="s">
        <v>84</v>
      </c>
      <c r="E892" s="80">
        <v>796</v>
      </c>
      <c r="F892" s="80">
        <v>2.11</v>
      </c>
      <c r="G892" s="80">
        <v>3</v>
      </c>
      <c r="H892" s="80">
        <v>6</v>
      </c>
      <c r="I892" s="80">
        <v>840</v>
      </c>
    </row>
    <row r="893" spans="1:9" x14ac:dyDescent="0.25">
      <c r="A893" s="80">
        <v>892</v>
      </c>
      <c r="B893" s="80">
        <v>152</v>
      </c>
      <c r="C893" s="80">
        <v>5</v>
      </c>
      <c r="D893" s="80" t="s">
        <v>93</v>
      </c>
      <c r="E893" s="80">
        <v>796</v>
      </c>
      <c r="F893" s="80">
        <v>2.11</v>
      </c>
      <c r="G893" s="80">
        <v>1</v>
      </c>
      <c r="H893" s="80">
        <v>2</v>
      </c>
      <c r="I893" s="80">
        <v>840</v>
      </c>
    </row>
    <row r="894" spans="1:9" x14ac:dyDescent="0.25">
      <c r="A894" s="80">
        <v>893</v>
      </c>
      <c r="B894" s="80">
        <v>152</v>
      </c>
      <c r="C894" s="80">
        <v>6</v>
      </c>
      <c r="D894" s="80" t="s">
        <v>95</v>
      </c>
      <c r="E894" s="80">
        <v>796</v>
      </c>
      <c r="F894" s="80">
        <v>2.11</v>
      </c>
      <c r="G894" s="80">
        <v>2</v>
      </c>
      <c r="H894" s="80">
        <v>4</v>
      </c>
      <c r="I894" s="80">
        <v>840</v>
      </c>
    </row>
    <row r="895" spans="1:9" x14ac:dyDescent="0.25">
      <c r="A895" s="80">
        <v>894</v>
      </c>
      <c r="B895" s="80">
        <v>152</v>
      </c>
      <c r="C895" s="80">
        <v>7</v>
      </c>
      <c r="D895" s="80" t="s">
        <v>100</v>
      </c>
      <c r="E895" s="80">
        <v>796</v>
      </c>
      <c r="F895" s="80">
        <v>2.11</v>
      </c>
      <c r="G895" s="80">
        <v>3</v>
      </c>
      <c r="H895" s="80">
        <v>6</v>
      </c>
      <c r="I895" s="80">
        <v>840</v>
      </c>
    </row>
    <row r="896" spans="1:9" x14ac:dyDescent="0.25">
      <c r="A896" s="80">
        <v>895</v>
      </c>
      <c r="B896" s="80">
        <v>153</v>
      </c>
      <c r="C896" s="80">
        <v>1</v>
      </c>
      <c r="D896" s="80" t="s">
        <v>90</v>
      </c>
      <c r="E896" s="80">
        <v>796</v>
      </c>
      <c r="F896" s="80">
        <v>1.69</v>
      </c>
      <c r="G896" s="80">
        <v>3</v>
      </c>
      <c r="H896" s="80">
        <v>6</v>
      </c>
      <c r="I896" s="80">
        <v>840</v>
      </c>
    </row>
    <row r="897" spans="1:9" x14ac:dyDescent="0.25">
      <c r="A897" s="80">
        <v>896</v>
      </c>
      <c r="B897" s="80">
        <v>153</v>
      </c>
      <c r="C897" s="80">
        <v>2</v>
      </c>
      <c r="D897" s="80" t="s">
        <v>103</v>
      </c>
      <c r="E897" s="80">
        <v>796</v>
      </c>
      <c r="F897" s="80">
        <v>1.69</v>
      </c>
      <c r="G897" s="80">
        <v>3</v>
      </c>
      <c r="H897" s="80">
        <v>3</v>
      </c>
      <c r="I897" s="80">
        <v>840</v>
      </c>
    </row>
    <row r="898" spans="1:9" x14ac:dyDescent="0.25">
      <c r="A898" s="80">
        <v>897</v>
      </c>
      <c r="B898" s="80">
        <v>153</v>
      </c>
      <c r="C898" s="80">
        <v>3</v>
      </c>
      <c r="D898" s="80" t="s">
        <v>82</v>
      </c>
      <c r="E898" s="80">
        <v>796</v>
      </c>
      <c r="F898" s="80">
        <v>1.69</v>
      </c>
      <c r="G898" s="80">
        <v>1</v>
      </c>
      <c r="H898" s="80">
        <v>1</v>
      </c>
      <c r="I898" s="80">
        <v>840</v>
      </c>
    </row>
    <row r="899" spans="1:9" x14ac:dyDescent="0.25">
      <c r="A899" s="80">
        <v>898</v>
      </c>
      <c r="B899" s="80">
        <v>153</v>
      </c>
      <c r="C899" s="80">
        <v>4</v>
      </c>
      <c r="D899" s="80" t="s">
        <v>101</v>
      </c>
      <c r="E899" s="80">
        <v>796</v>
      </c>
      <c r="F899" s="80">
        <v>1.69</v>
      </c>
      <c r="G899" s="80">
        <v>3</v>
      </c>
      <c r="H899" s="80">
        <v>6</v>
      </c>
      <c r="I899" s="80">
        <v>840</v>
      </c>
    </row>
    <row r="900" spans="1:9" x14ac:dyDescent="0.25">
      <c r="A900" s="80">
        <v>899</v>
      </c>
      <c r="B900" s="80">
        <v>153</v>
      </c>
      <c r="C900" s="80">
        <v>5</v>
      </c>
      <c r="D900" s="80" t="s">
        <v>78</v>
      </c>
      <c r="E900" s="80">
        <v>796</v>
      </c>
      <c r="F900" s="80">
        <v>1.69</v>
      </c>
      <c r="G900" s="80">
        <v>2</v>
      </c>
      <c r="H900" s="80">
        <v>2</v>
      </c>
      <c r="I900" s="80">
        <v>840</v>
      </c>
    </row>
    <row r="901" spans="1:9" x14ac:dyDescent="0.25">
      <c r="A901" s="80">
        <v>900</v>
      </c>
      <c r="B901" s="80">
        <v>153</v>
      </c>
      <c r="C901" s="80">
        <v>6</v>
      </c>
      <c r="D901" s="80" t="s">
        <v>2915</v>
      </c>
      <c r="E901" s="80">
        <v>796</v>
      </c>
      <c r="F901" s="80">
        <v>1.69</v>
      </c>
      <c r="G901" s="80">
        <v>3</v>
      </c>
      <c r="H901" s="80">
        <v>3</v>
      </c>
      <c r="I901" s="80">
        <v>840</v>
      </c>
    </row>
    <row r="902" spans="1:9" x14ac:dyDescent="0.25">
      <c r="A902" s="80">
        <v>901</v>
      </c>
      <c r="B902" s="80">
        <v>153</v>
      </c>
      <c r="C902" s="80">
        <v>7</v>
      </c>
      <c r="D902" s="80" t="s">
        <v>97</v>
      </c>
      <c r="E902" s="80">
        <v>796</v>
      </c>
      <c r="F902" s="80">
        <v>1.69</v>
      </c>
      <c r="G902" s="80">
        <v>2</v>
      </c>
      <c r="H902" s="80">
        <v>2</v>
      </c>
      <c r="I902" s="80">
        <v>840</v>
      </c>
    </row>
    <row r="903" spans="1:9" x14ac:dyDescent="0.25">
      <c r="A903" s="80">
        <v>902</v>
      </c>
      <c r="B903" s="80">
        <v>153</v>
      </c>
      <c r="C903" s="80">
        <v>8</v>
      </c>
      <c r="D903" s="80" t="s">
        <v>99</v>
      </c>
      <c r="E903" s="80">
        <v>796</v>
      </c>
      <c r="F903" s="80">
        <v>1.69</v>
      </c>
      <c r="G903" s="80">
        <v>1</v>
      </c>
      <c r="H903" s="80">
        <v>2</v>
      </c>
      <c r="I903" s="80">
        <v>840</v>
      </c>
    </row>
    <row r="904" spans="1:9" x14ac:dyDescent="0.25">
      <c r="A904" s="80">
        <v>903</v>
      </c>
      <c r="B904" s="80">
        <v>153</v>
      </c>
      <c r="C904" s="80">
        <v>9</v>
      </c>
      <c r="D904" s="80" t="s">
        <v>86</v>
      </c>
      <c r="E904" s="80">
        <v>796</v>
      </c>
      <c r="F904" s="80">
        <v>1.69</v>
      </c>
      <c r="G904" s="80">
        <v>3</v>
      </c>
      <c r="H904" s="80">
        <v>3</v>
      </c>
      <c r="I904" s="80">
        <v>840</v>
      </c>
    </row>
    <row r="905" spans="1:9" x14ac:dyDescent="0.25">
      <c r="A905" s="80">
        <v>904</v>
      </c>
      <c r="B905" s="80">
        <v>154</v>
      </c>
      <c r="C905" s="80">
        <v>1</v>
      </c>
      <c r="D905" s="80" t="s">
        <v>3021</v>
      </c>
      <c r="E905" s="80">
        <v>796</v>
      </c>
      <c r="F905" s="80">
        <v>2.33</v>
      </c>
      <c r="G905" s="80">
        <v>2</v>
      </c>
      <c r="H905" s="80">
        <v>4</v>
      </c>
      <c r="I905" s="80">
        <v>840</v>
      </c>
    </row>
    <row r="906" spans="1:9" x14ac:dyDescent="0.25">
      <c r="A906" s="80">
        <v>905</v>
      </c>
      <c r="B906" s="80">
        <v>154</v>
      </c>
      <c r="C906" s="80">
        <v>2</v>
      </c>
      <c r="D906" s="80" t="s">
        <v>87</v>
      </c>
      <c r="E906" s="80">
        <v>796</v>
      </c>
      <c r="F906" s="80">
        <v>2.33</v>
      </c>
      <c r="G906" s="80">
        <v>3</v>
      </c>
      <c r="H906" s="80">
        <v>6</v>
      </c>
      <c r="I906" s="80">
        <v>840</v>
      </c>
    </row>
    <row r="907" spans="1:9" x14ac:dyDescent="0.25">
      <c r="A907" s="80">
        <v>906</v>
      </c>
      <c r="B907" s="80">
        <v>154</v>
      </c>
      <c r="C907" s="80">
        <v>3</v>
      </c>
      <c r="D907" s="80" t="s">
        <v>85</v>
      </c>
      <c r="E907" s="80">
        <v>796</v>
      </c>
      <c r="F907" s="80">
        <v>2.33</v>
      </c>
      <c r="G907" s="80">
        <v>1</v>
      </c>
      <c r="H907" s="80">
        <v>1</v>
      </c>
      <c r="I907" s="80">
        <v>840</v>
      </c>
    </row>
    <row r="908" spans="1:9" x14ac:dyDescent="0.25">
      <c r="A908" s="80">
        <v>907</v>
      </c>
      <c r="B908" s="80">
        <v>154</v>
      </c>
      <c r="C908" s="80">
        <v>4</v>
      </c>
      <c r="D908" s="80" t="s">
        <v>80</v>
      </c>
      <c r="E908" s="80">
        <v>796</v>
      </c>
      <c r="F908" s="80">
        <v>2.33</v>
      </c>
      <c r="G908" s="80">
        <v>2</v>
      </c>
      <c r="H908" s="80">
        <v>2</v>
      </c>
      <c r="I908" s="80">
        <v>840</v>
      </c>
    </row>
    <row r="909" spans="1:9" x14ac:dyDescent="0.25">
      <c r="A909" s="80">
        <v>908</v>
      </c>
      <c r="B909" s="80">
        <v>154</v>
      </c>
      <c r="C909" s="80">
        <v>5</v>
      </c>
      <c r="D909" s="80" t="s">
        <v>88</v>
      </c>
      <c r="E909" s="80">
        <v>796</v>
      </c>
      <c r="F909" s="80">
        <v>2.33</v>
      </c>
      <c r="G909" s="80">
        <v>1</v>
      </c>
      <c r="H909" s="80">
        <v>1</v>
      </c>
      <c r="I909" s="80">
        <v>840</v>
      </c>
    </row>
    <row r="910" spans="1:9" x14ac:dyDescent="0.25">
      <c r="A910" s="80">
        <v>909</v>
      </c>
      <c r="B910" s="80">
        <v>154</v>
      </c>
      <c r="C910" s="80">
        <v>6</v>
      </c>
      <c r="D910" s="80" t="s">
        <v>95</v>
      </c>
      <c r="E910" s="80">
        <v>796</v>
      </c>
      <c r="F910" s="80">
        <v>2.33</v>
      </c>
      <c r="G910" s="80">
        <v>3</v>
      </c>
      <c r="H910" s="80">
        <v>6</v>
      </c>
      <c r="I910" s="80">
        <v>840</v>
      </c>
    </row>
    <row r="911" spans="1:9" x14ac:dyDescent="0.25">
      <c r="A911" s="80">
        <v>910</v>
      </c>
      <c r="B911" s="80">
        <v>154</v>
      </c>
      <c r="C911" s="80">
        <v>7</v>
      </c>
      <c r="D911" s="80" t="s">
        <v>82</v>
      </c>
      <c r="E911" s="80">
        <v>796</v>
      </c>
      <c r="F911" s="80">
        <v>2.33</v>
      </c>
      <c r="G911" s="80">
        <v>1</v>
      </c>
      <c r="H911" s="80">
        <v>1</v>
      </c>
      <c r="I911" s="80">
        <v>840</v>
      </c>
    </row>
    <row r="912" spans="1:9" x14ac:dyDescent="0.25">
      <c r="A912" s="80">
        <v>911</v>
      </c>
      <c r="B912" s="80">
        <v>154</v>
      </c>
      <c r="C912" s="80">
        <v>8</v>
      </c>
      <c r="D912" s="80" t="s">
        <v>87</v>
      </c>
      <c r="E912" s="80">
        <v>796</v>
      </c>
      <c r="F912" s="80">
        <v>2.33</v>
      </c>
      <c r="G912" s="80">
        <v>2</v>
      </c>
      <c r="H912" s="80">
        <v>4</v>
      </c>
      <c r="I912" s="80">
        <v>840</v>
      </c>
    </row>
    <row r="913" spans="1:9" x14ac:dyDescent="0.25">
      <c r="A913" s="80">
        <v>912</v>
      </c>
      <c r="B913" s="80">
        <v>155</v>
      </c>
      <c r="C913" s="80">
        <v>1</v>
      </c>
      <c r="D913" s="80" t="s">
        <v>3636</v>
      </c>
      <c r="E913" s="80">
        <v>796</v>
      </c>
      <c r="F913" s="80">
        <v>2.67</v>
      </c>
      <c r="G913" s="80">
        <v>1</v>
      </c>
      <c r="H913" s="80">
        <v>2</v>
      </c>
      <c r="I913" s="80">
        <v>840</v>
      </c>
    </row>
    <row r="914" spans="1:9" x14ac:dyDescent="0.25">
      <c r="A914" s="80">
        <v>913</v>
      </c>
      <c r="B914" s="80">
        <v>155</v>
      </c>
      <c r="C914" s="80">
        <v>2</v>
      </c>
      <c r="D914" s="80" t="s">
        <v>3031</v>
      </c>
      <c r="E914" s="80">
        <v>796</v>
      </c>
      <c r="F914" s="80">
        <v>2.67</v>
      </c>
      <c r="G914" s="80">
        <v>3</v>
      </c>
      <c r="H914" s="80">
        <v>6</v>
      </c>
      <c r="I914" s="80">
        <v>840</v>
      </c>
    </row>
    <row r="915" spans="1:9" x14ac:dyDescent="0.25">
      <c r="A915" s="80">
        <v>914</v>
      </c>
      <c r="B915" s="80">
        <v>155</v>
      </c>
      <c r="C915" s="80">
        <v>3</v>
      </c>
      <c r="D915" s="80" t="s">
        <v>3637</v>
      </c>
      <c r="E915" s="80">
        <v>796</v>
      </c>
      <c r="F915" s="80">
        <v>2.67</v>
      </c>
      <c r="G915" s="80">
        <v>1</v>
      </c>
      <c r="H915" s="80">
        <v>1</v>
      </c>
      <c r="I915" s="80">
        <v>840</v>
      </c>
    </row>
    <row r="916" spans="1:9" x14ac:dyDescent="0.25">
      <c r="A916" s="80">
        <v>915</v>
      </c>
      <c r="B916" s="80">
        <v>156</v>
      </c>
      <c r="C916" s="80">
        <v>1</v>
      </c>
      <c r="D916" s="80" t="s">
        <v>106</v>
      </c>
      <c r="E916" s="80">
        <v>796</v>
      </c>
      <c r="F916" s="80">
        <v>1.84</v>
      </c>
      <c r="G916" s="80">
        <v>3</v>
      </c>
      <c r="H916" s="80">
        <v>3</v>
      </c>
      <c r="I916" s="80">
        <v>840</v>
      </c>
    </row>
    <row r="917" spans="1:9" x14ac:dyDescent="0.25">
      <c r="A917" s="80">
        <v>916</v>
      </c>
      <c r="B917" s="80">
        <v>156</v>
      </c>
      <c r="C917" s="80">
        <v>2</v>
      </c>
      <c r="D917" s="80" t="s">
        <v>80</v>
      </c>
      <c r="E917" s="80">
        <v>796</v>
      </c>
      <c r="F917" s="80">
        <v>1.84</v>
      </c>
      <c r="G917" s="80">
        <v>3</v>
      </c>
      <c r="H917" s="80">
        <v>3</v>
      </c>
      <c r="I917" s="80">
        <v>840</v>
      </c>
    </row>
    <row r="918" spans="1:9" x14ac:dyDescent="0.25">
      <c r="A918" s="80">
        <v>917</v>
      </c>
      <c r="B918" s="80">
        <v>156</v>
      </c>
      <c r="C918" s="80">
        <v>3</v>
      </c>
      <c r="D918" s="80" t="s">
        <v>86</v>
      </c>
      <c r="E918" s="80">
        <v>796</v>
      </c>
      <c r="F918" s="80">
        <v>1.84</v>
      </c>
      <c r="G918" s="80">
        <v>1</v>
      </c>
      <c r="H918" s="80">
        <v>2</v>
      </c>
      <c r="I918" s="80">
        <v>840</v>
      </c>
    </row>
    <row r="919" spans="1:9" x14ac:dyDescent="0.25">
      <c r="A919" s="80">
        <v>918</v>
      </c>
      <c r="B919" s="80">
        <v>156</v>
      </c>
      <c r="C919" s="80">
        <v>4</v>
      </c>
      <c r="D919" s="80" t="s">
        <v>96</v>
      </c>
      <c r="E919" s="80">
        <v>796</v>
      </c>
      <c r="F919" s="80">
        <v>1.84</v>
      </c>
      <c r="G919" s="80">
        <v>1</v>
      </c>
      <c r="H919" s="80">
        <v>1</v>
      </c>
      <c r="I919" s="80">
        <v>840</v>
      </c>
    </row>
    <row r="920" spans="1:9" x14ac:dyDescent="0.25">
      <c r="A920" s="80">
        <v>919</v>
      </c>
      <c r="B920" s="80">
        <v>156</v>
      </c>
      <c r="C920" s="80">
        <v>5</v>
      </c>
      <c r="D920" s="80" t="s">
        <v>82</v>
      </c>
      <c r="E920" s="80">
        <v>796</v>
      </c>
      <c r="F920" s="80">
        <v>1.84</v>
      </c>
      <c r="G920" s="80">
        <v>3</v>
      </c>
      <c r="H920" s="80">
        <v>6</v>
      </c>
      <c r="I920" s="80">
        <v>840</v>
      </c>
    </row>
    <row r="921" spans="1:9" x14ac:dyDescent="0.25">
      <c r="A921" s="80">
        <v>920</v>
      </c>
      <c r="B921" s="80">
        <v>157</v>
      </c>
      <c r="C921" s="80">
        <v>1</v>
      </c>
      <c r="D921" s="80" t="s">
        <v>101</v>
      </c>
      <c r="E921" s="80">
        <v>796</v>
      </c>
      <c r="F921" s="80">
        <v>1.85</v>
      </c>
      <c r="G921" s="80">
        <v>2</v>
      </c>
      <c r="H921" s="80">
        <v>2</v>
      </c>
      <c r="I921" s="80">
        <v>840</v>
      </c>
    </row>
    <row r="922" spans="1:9" x14ac:dyDescent="0.25">
      <c r="A922" s="80">
        <v>921</v>
      </c>
      <c r="B922" s="80">
        <v>157</v>
      </c>
      <c r="C922" s="80">
        <v>2</v>
      </c>
      <c r="D922" s="80" t="s">
        <v>97</v>
      </c>
      <c r="E922" s="80">
        <v>796</v>
      </c>
      <c r="F922" s="80">
        <v>1.85</v>
      </c>
      <c r="G922" s="80">
        <v>1</v>
      </c>
      <c r="H922" s="80">
        <v>1</v>
      </c>
      <c r="I922" s="80">
        <v>840</v>
      </c>
    </row>
    <row r="923" spans="1:9" x14ac:dyDescent="0.25">
      <c r="A923" s="80">
        <v>922</v>
      </c>
      <c r="B923" s="80">
        <v>157</v>
      </c>
      <c r="C923" s="80">
        <v>3</v>
      </c>
      <c r="D923" s="80" t="s">
        <v>79</v>
      </c>
      <c r="E923" s="80">
        <v>796</v>
      </c>
      <c r="F923" s="80">
        <v>1.85</v>
      </c>
      <c r="G923" s="80">
        <v>1</v>
      </c>
      <c r="H923" s="80">
        <v>2</v>
      </c>
      <c r="I923" s="80">
        <v>840</v>
      </c>
    </row>
    <row r="924" spans="1:9" x14ac:dyDescent="0.25">
      <c r="A924" s="80">
        <v>923</v>
      </c>
      <c r="B924" s="80">
        <v>157</v>
      </c>
      <c r="C924" s="80">
        <v>4</v>
      </c>
      <c r="D924" s="80" t="s">
        <v>92</v>
      </c>
      <c r="E924" s="80">
        <v>796</v>
      </c>
      <c r="F924" s="80">
        <v>1.85</v>
      </c>
      <c r="G924" s="80">
        <v>3</v>
      </c>
      <c r="H924" s="80">
        <v>3</v>
      </c>
      <c r="I924" s="80">
        <v>840</v>
      </c>
    </row>
    <row r="925" spans="1:9" x14ac:dyDescent="0.25">
      <c r="A925" s="80">
        <v>924</v>
      </c>
      <c r="B925" s="80">
        <v>157</v>
      </c>
      <c r="C925" s="80">
        <v>5</v>
      </c>
      <c r="D925" s="80" t="s">
        <v>96</v>
      </c>
      <c r="E925" s="80">
        <v>796</v>
      </c>
      <c r="F925" s="80">
        <v>1.85</v>
      </c>
      <c r="G925" s="80">
        <v>3</v>
      </c>
      <c r="H925" s="80">
        <v>3</v>
      </c>
      <c r="I925" s="80">
        <v>840</v>
      </c>
    </row>
    <row r="926" spans="1:9" x14ac:dyDescent="0.25">
      <c r="A926" s="80">
        <v>925</v>
      </c>
      <c r="B926" s="80">
        <v>157</v>
      </c>
      <c r="C926" s="80">
        <v>6</v>
      </c>
      <c r="D926" s="80" t="s">
        <v>91</v>
      </c>
      <c r="E926" s="80">
        <v>796</v>
      </c>
      <c r="F926" s="80">
        <v>1.85</v>
      </c>
      <c r="G926" s="80">
        <v>3</v>
      </c>
      <c r="H926" s="80">
        <v>6</v>
      </c>
      <c r="I926" s="80">
        <v>840</v>
      </c>
    </row>
    <row r="927" spans="1:9" x14ac:dyDescent="0.25">
      <c r="A927" s="80">
        <v>926</v>
      </c>
      <c r="B927" s="80">
        <v>157</v>
      </c>
      <c r="C927" s="80">
        <v>7</v>
      </c>
      <c r="D927" s="80" t="s">
        <v>86</v>
      </c>
      <c r="E927" s="80">
        <v>796</v>
      </c>
      <c r="F927" s="80">
        <v>1.85</v>
      </c>
      <c r="G927" s="80">
        <v>1</v>
      </c>
      <c r="H927" s="80">
        <v>2</v>
      </c>
      <c r="I927" s="80">
        <v>840</v>
      </c>
    </row>
    <row r="928" spans="1:9" x14ac:dyDescent="0.25">
      <c r="A928" s="80">
        <v>927</v>
      </c>
      <c r="B928" s="80">
        <v>157</v>
      </c>
      <c r="C928" s="80">
        <v>8</v>
      </c>
      <c r="D928" s="80" t="s">
        <v>101</v>
      </c>
      <c r="E928" s="80">
        <v>796</v>
      </c>
      <c r="F928" s="80">
        <v>1.85</v>
      </c>
      <c r="G928" s="80">
        <v>1</v>
      </c>
      <c r="H928" s="80">
        <v>1</v>
      </c>
      <c r="I928" s="80">
        <v>840</v>
      </c>
    </row>
    <row r="929" spans="1:9" x14ac:dyDescent="0.25">
      <c r="A929" s="80">
        <v>928</v>
      </c>
      <c r="B929" s="80">
        <v>158</v>
      </c>
      <c r="C929" s="80">
        <v>1</v>
      </c>
      <c r="D929" s="80" t="s">
        <v>85</v>
      </c>
      <c r="E929" s="80">
        <v>796</v>
      </c>
      <c r="F929" s="80">
        <v>2.4</v>
      </c>
      <c r="G929" s="80">
        <v>2</v>
      </c>
      <c r="H929" s="80">
        <v>2</v>
      </c>
      <c r="I929" s="80">
        <v>840</v>
      </c>
    </row>
    <row r="930" spans="1:9" x14ac:dyDescent="0.25">
      <c r="A930" s="80">
        <v>929</v>
      </c>
      <c r="B930" s="80">
        <v>158</v>
      </c>
      <c r="C930" s="80">
        <v>2</v>
      </c>
      <c r="D930" s="80" t="s">
        <v>85</v>
      </c>
      <c r="E930" s="80">
        <v>796</v>
      </c>
      <c r="F930" s="80">
        <v>2.4</v>
      </c>
      <c r="G930" s="80">
        <v>1</v>
      </c>
      <c r="H930" s="80">
        <v>2</v>
      </c>
      <c r="I930" s="80">
        <v>840</v>
      </c>
    </row>
    <row r="931" spans="1:9" x14ac:dyDescent="0.25">
      <c r="A931" s="80">
        <v>930</v>
      </c>
      <c r="B931" s="80">
        <v>158</v>
      </c>
      <c r="C931" s="80">
        <v>3</v>
      </c>
      <c r="D931" s="80" t="s">
        <v>95</v>
      </c>
      <c r="E931" s="80">
        <v>796</v>
      </c>
      <c r="F931" s="80">
        <v>2.4</v>
      </c>
      <c r="G931" s="80">
        <v>3</v>
      </c>
      <c r="H931" s="80">
        <v>3</v>
      </c>
      <c r="I931" s="80">
        <v>840</v>
      </c>
    </row>
    <row r="932" spans="1:9" x14ac:dyDescent="0.25">
      <c r="A932" s="80">
        <v>931</v>
      </c>
      <c r="B932" s="80">
        <v>158</v>
      </c>
      <c r="C932" s="80">
        <v>4</v>
      </c>
      <c r="D932" s="80" t="s">
        <v>209</v>
      </c>
      <c r="E932" s="80">
        <v>796</v>
      </c>
      <c r="F932" s="80">
        <v>2.4</v>
      </c>
      <c r="G932" s="80">
        <v>2</v>
      </c>
      <c r="H932" s="80">
        <v>4</v>
      </c>
      <c r="I932" s="80">
        <v>840</v>
      </c>
    </row>
    <row r="933" spans="1:9" x14ac:dyDescent="0.25">
      <c r="A933" s="80">
        <v>932</v>
      </c>
      <c r="B933" s="80">
        <v>158</v>
      </c>
      <c r="C933" s="80">
        <v>5</v>
      </c>
      <c r="D933" s="80" t="s">
        <v>94</v>
      </c>
      <c r="E933" s="80">
        <v>796</v>
      </c>
      <c r="F933" s="80">
        <v>2.4</v>
      </c>
      <c r="G933" s="80">
        <v>2</v>
      </c>
      <c r="H933" s="80">
        <v>4</v>
      </c>
      <c r="I933" s="80">
        <v>840</v>
      </c>
    </row>
    <row r="934" spans="1:9" x14ac:dyDescent="0.25">
      <c r="A934" s="80">
        <v>933</v>
      </c>
      <c r="B934" s="80">
        <v>158</v>
      </c>
      <c r="C934" s="80">
        <v>6</v>
      </c>
      <c r="D934" s="80" t="s">
        <v>231</v>
      </c>
      <c r="E934" s="80">
        <v>796</v>
      </c>
      <c r="F934" s="80">
        <v>2.4</v>
      </c>
      <c r="G934" s="80">
        <v>1</v>
      </c>
      <c r="H934" s="80">
        <v>1</v>
      </c>
      <c r="I934" s="80">
        <v>840</v>
      </c>
    </row>
    <row r="935" spans="1:9" x14ac:dyDescent="0.25">
      <c r="A935" s="80">
        <v>934</v>
      </c>
      <c r="B935" s="80">
        <v>158</v>
      </c>
      <c r="C935" s="80">
        <v>7</v>
      </c>
      <c r="D935" s="80" t="s">
        <v>78</v>
      </c>
      <c r="E935" s="80">
        <v>796</v>
      </c>
      <c r="F935" s="80">
        <v>2.4</v>
      </c>
      <c r="G935" s="80">
        <v>2</v>
      </c>
      <c r="H935" s="80">
        <v>4</v>
      </c>
      <c r="I935" s="80">
        <v>840</v>
      </c>
    </row>
    <row r="936" spans="1:9" x14ac:dyDescent="0.25">
      <c r="A936" s="80">
        <v>935</v>
      </c>
      <c r="B936" s="80">
        <v>159</v>
      </c>
      <c r="C936" s="80">
        <v>1</v>
      </c>
      <c r="D936" s="80" t="s">
        <v>92</v>
      </c>
      <c r="E936" s="80">
        <v>796</v>
      </c>
      <c r="F936" s="80">
        <v>0.83</v>
      </c>
      <c r="G936" s="80">
        <v>1</v>
      </c>
      <c r="H936" s="80">
        <v>1</v>
      </c>
      <c r="I936" s="80">
        <v>840</v>
      </c>
    </row>
    <row r="937" spans="1:9" x14ac:dyDescent="0.25">
      <c r="A937" s="80">
        <v>936</v>
      </c>
      <c r="B937" s="80">
        <v>159</v>
      </c>
      <c r="C937" s="80">
        <v>2</v>
      </c>
      <c r="D937" s="80" t="s">
        <v>94</v>
      </c>
      <c r="E937" s="80">
        <v>796</v>
      </c>
      <c r="F937" s="80">
        <v>0.83</v>
      </c>
      <c r="G937" s="80">
        <v>3</v>
      </c>
      <c r="H937" s="80">
        <v>6</v>
      </c>
      <c r="I937" s="80">
        <v>840</v>
      </c>
    </row>
    <row r="938" spans="1:9" x14ac:dyDescent="0.25">
      <c r="A938" s="80">
        <v>937</v>
      </c>
      <c r="B938" s="80">
        <v>159</v>
      </c>
      <c r="C938" s="80">
        <v>3</v>
      </c>
      <c r="D938" s="80" t="s">
        <v>102</v>
      </c>
      <c r="E938" s="80">
        <v>796</v>
      </c>
      <c r="F938" s="80">
        <v>0.83</v>
      </c>
      <c r="G938" s="80">
        <v>1</v>
      </c>
      <c r="H938" s="80">
        <v>2</v>
      </c>
      <c r="I938" s="80">
        <v>840</v>
      </c>
    </row>
    <row r="939" spans="1:9" x14ac:dyDescent="0.25">
      <c r="A939" s="80">
        <v>938</v>
      </c>
      <c r="B939" s="80">
        <v>159</v>
      </c>
      <c r="C939" s="80">
        <v>4</v>
      </c>
      <c r="D939" s="80" t="s">
        <v>232</v>
      </c>
      <c r="E939" s="80">
        <v>796</v>
      </c>
      <c r="F939" s="80">
        <v>0.83</v>
      </c>
      <c r="G939" s="80">
        <v>1</v>
      </c>
      <c r="H939" s="80">
        <v>2</v>
      </c>
      <c r="I939" s="80">
        <v>840</v>
      </c>
    </row>
    <row r="940" spans="1:9" x14ac:dyDescent="0.25">
      <c r="A940" s="80">
        <v>939</v>
      </c>
      <c r="B940" s="80">
        <v>159</v>
      </c>
      <c r="C940" s="80">
        <v>5</v>
      </c>
      <c r="D940" s="80" t="s">
        <v>3021</v>
      </c>
      <c r="E940" s="80">
        <v>796</v>
      </c>
      <c r="F940" s="80">
        <v>0.83</v>
      </c>
      <c r="G940" s="80">
        <v>2</v>
      </c>
      <c r="H940" s="80">
        <v>2</v>
      </c>
      <c r="I940" s="80">
        <v>840</v>
      </c>
    </row>
    <row r="941" spans="1:9" x14ac:dyDescent="0.25">
      <c r="A941" s="80">
        <v>940</v>
      </c>
      <c r="B941" s="80">
        <v>159</v>
      </c>
      <c r="C941" s="80">
        <v>6</v>
      </c>
      <c r="D941" s="80" t="s">
        <v>92</v>
      </c>
      <c r="E941" s="80">
        <v>796</v>
      </c>
      <c r="F941" s="80">
        <v>0.83</v>
      </c>
      <c r="G941" s="80">
        <v>3</v>
      </c>
      <c r="H941" s="80">
        <v>6</v>
      </c>
      <c r="I941" s="80">
        <v>840</v>
      </c>
    </row>
    <row r="942" spans="1:9" x14ac:dyDescent="0.25">
      <c r="A942" s="80">
        <v>941</v>
      </c>
      <c r="B942" s="80">
        <v>159</v>
      </c>
      <c r="C942" s="80">
        <v>7</v>
      </c>
      <c r="D942" s="80" t="s">
        <v>93</v>
      </c>
      <c r="E942" s="80">
        <v>796</v>
      </c>
      <c r="F942" s="80">
        <v>0.83</v>
      </c>
      <c r="G942" s="80">
        <v>3</v>
      </c>
      <c r="H942" s="80">
        <v>3</v>
      </c>
      <c r="I942" s="80">
        <v>840</v>
      </c>
    </row>
    <row r="943" spans="1:9" x14ac:dyDescent="0.25">
      <c r="A943" s="80">
        <v>942</v>
      </c>
      <c r="B943" s="80">
        <v>159</v>
      </c>
      <c r="C943" s="80">
        <v>8</v>
      </c>
      <c r="D943" s="80" t="s">
        <v>91</v>
      </c>
      <c r="E943" s="80">
        <v>796</v>
      </c>
      <c r="F943" s="80">
        <v>0.83</v>
      </c>
      <c r="G943" s="80">
        <v>2</v>
      </c>
      <c r="H943" s="80">
        <v>2</v>
      </c>
      <c r="I943" s="80">
        <v>840</v>
      </c>
    </row>
    <row r="944" spans="1:9" x14ac:dyDescent="0.25">
      <c r="A944" s="80">
        <v>943</v>
      </c>
      <c r="B944" s="80">
        <v>159</v>
      </c>
      <c r="C944" s="80">
        <v>9</v>
      </c>
      <c r="D944" s="80" t="s">
        <v>83</v>
      </c>
      <c r="E944" s="80">
        <v>796</v>
      </c>
      <c r="F944" s="80">
        <v>0.83</v>
      </c>
      <c r="G944" s="80">
        <v>1</v>
      </c>
      <c r="H944" s="80">
        <v>1</v>
      </c>
      <c r="I944" s="80">
        <v>840</v>
      </c>
    </row>
    <row r="945" spans="1:9" x14ac:dyDescent="0.25">
      <c r="A945" s="80">
        <v>944</v>
      </c>
      <c r="B945" s="80">
        <v>159</v>
      </c>
      <c r="C945" s="80">
        <v>10</v>
      </c>
      <c r="D945" s="80" t="s">
        <v>85</v>
      </c>
      <c r="E945" s="80">
        <v>796</v>
      </c>
      <c r="F945" s="80">
        <v>0.83</v>
      </c>
      <c r="G945" s="80">
        <v>3</v>
      </c>
      <c r="H945" s="80">
        <v>3</v>
      </c>
      <c r="I945" s="80">
        <v>840</v>
      </c>
    </row>
    <row r="946" spans="1:9" x14ac:dyDescent="0.25">
      <c r="A946" s="80">
        <v>945</v>
      </c>
      <c r="B946" s="80">
        <v>159</v>
      </c>
      <c r="C946" s="80">
        <v>11</v>
      </c>
      <c r="D946" s="80" t="s">
        <v>78</v>
      </c>
      <c r="E946" s="80">
        <v>796</v>
      </c>
      <c r="F946" s="80">
        <v>0.83</v>
      </c>
      <c r="G946" s="80">
        <v>1</v>
      </c>
      <c r="H946" s="80">
        <v>2</v>
      </c>
      <c r="I946" s="80">
        <v>840</v>
      </c>
    </row>
    <row r="947" spans="1:9" x14ac:dyDescent="0.25">
      <c r="A947" s="80">
        <v>946</v>
      </c>
      <c r="B947" s="80">
        <v>159</v>
      </c>
      <c r="C947" s="80">
        <v>12</v>
      </c>
      <c r="D947" s="80" t="s">
        <v>79</v>
      </c>
      <c r="E947" s="80">
        <v>796</v>
      </c>
      <c r="F947" s="80">
        <v>0.83</v>
      </c>
      <c r="G947" s="80">
        <v>1</v>
      </c>
      <c r="H947" s="80">
        <v>1</v>
      </c>
      <c r="I947" s="80">
        <v>840</v>
      </c>
    </row>
    <row r="948" spans="1:9" x14ac:dyDescent="0.25">
      <c r="A948" s="80">
        <v>947</v>
      </c>
      <c r="B948" s="80">
        <v>160</v>
      </c>
      <c r="C948" s="80">
        <v>1</v>
      </c>
      <c r="D948" s="80" t="s">
        <v>88</v>
      </c>
      <c r="E948" s="80">
        <v>796</v>
      </c>
      <c r="F948" s="80">
        <v>0.6</v>
      </c>
      <c r="G948" s="80">
        <v>2</v>
      </c>
      <c r="H948" s="80">
        <v>2</v>
      </c>
      <c r="I948" s="80">
        <v>840</v>
      </c>
    </row>
    <row r="949" spans="1:9" x14ac:dyDescent="0.25">
      <c r="A949" s="80">
        <v>948</v>
      </c>
      <c r="B949" s="80">
        <v>160</v>
      </c>
      <c r="C949" s="80">
        <v>2</v>
      </c>
      <c r="D949" s="80" t="s">
        <v>100</v>
      </c>
      <c r="E949" s="80">
        <v>796</v>
      </c>
      <c r="F949" s="80">
        <v>0.6</v>
      </c>
      <c r="G949" s="80">
        <v>3</v>
      </c>
      <c r="H949" s="80">
        <v>3</v>
      </c>
      <c r="I949" s="80">
        <v>840</v>
      </c>
    </row>
    <row r="950" spans="1:9" x14ac:dyDescent="0.25">
      <c r="A950" s="80">
        <v>949</v>
      </c>
      <c r="B950" s="80">
        <v>160</v>
      </c>
      <c r="C950" s="80">
        <v>3</v>
      </c>
      <c r="D950" s="80" t="s">
        <v>83</v>
      </c>
      <c r="E950" s="80">
        <v>796</v>
      </c>
      <c r="F950" s="80">
        <v>0.6</v>
      </c>
      <c r="G950" s="80">
        <v>1</v>
      </c>
      <c r="H950" s="80">
        <v>1</v>
      </c>
      <c r="I950" s="80">
        <v>840</v>
      </c>
    </row>
    <row r="951" spans="1:9" x14ac:dyDescent="0.25">
      <c r="A951" s="80">
        <v>950</v>
      </c>
      <c r="B951" s="80">
        <v>160</v>
      </c>
      <c r="C951" s="80">
        <v>4</v>
      </c>
      <c r="D951" s="80" t="s">
        <v>86</v>
      </c>
      <c r="E951" s="80">
        <v>796</v>
      </c>
      <c r="F951" s="80">
        <v>0.6</v>
      </c>
      <c r="G951" s="80">
        <v>3</v>
      </c>
      <c r="H951" s="80">
        <v>3</v>
      </c>
      <c r="I951" s="80">
        <v>840</v>
      </c>
    </row>
    <row r="952" spans="1:9" x14ac:dyDescent="0.25">
      <c r="A952" s="80">
        <v>951</v>
      </c>
      <c r="B952" s="80">
        <v>160</v>
      </c>
      <c r="C952" s="80">
        <v>5</v>
      </c>
      <c r="D952" s="80" t="s">
        <v>232</v>
      </c>
      <c r="E952" s="80">
        <v>796</v>
      </c>
      <c r="F952" s="80">
        <v>0.6</v>
      </c>
      <c r="G952" s="80">
        <v>2</v>
      </c>
      <c r="H952" s="80">
        <v>4</v>
      </c>
      <c r="I952" s="80">
        <v>840</v>
      </c>
    </row>
    <row r="953" spans="1:9" x14ac:dyDescent="0.25">
      <c r="A953" s="80">
        <v>952</v>
      </c>
      <c r="B953" s="80">
        <v>160</v>
      </c>
      <c r="C953" s="80">
        <v>6</v>
      </c>
      <c r="D953" s="80" t="s">
        <v>92</v>
      </c>
      <c r="E953" s="80">
        <v>796</v>
      </c>
      <c r="F953" s="80">
        <v>0.6</v>
      </c>
      <c r="G953" s="80">
        <v>1</v>
      </c>
      <c r="H953" s="80">
        <v>2</v>
      </c>
      <c r="I953" s="80">
        <v>840</v>
      </c>
    </row>
    <row r="954" spans="1:9" x14ac:dyDescent="0.25">
      <c r="A954" s="80">
        <v>953</v>
      </c>
      <c r="B954" s="80">
        <v>160</v>
      </c>
      <c r="C954" s="80">
        <v>7</v>
      </c>
      <c r="D954" s="80" t="s">
        <v>3021</v>
      </c>
      <c r="E954" s="80">
        <v>796</v>
      </c>
      <c r="F954" s="80">
        <v>0.6</v>
      </c>
      <c r="G954" s="80">
        <v>3</v>
      </c>
      <c r="H954" s="80">
        <v>3</v>
      </c>
      <c r="I954" s="80">
        <v>840</v>
      </c>
    </row>
    <row r="955" spans="1:9" x14ac:dyDescent="0.25">
      <c r="A955" s="80">
        <v>954</v>
      </c>
      <c r="B955" s="80">
        <v>160</v>
      </c>
      <c r="C955" s="80">
        <v>8</v>
      </c>
      <c r="D955" s="80" t="s">
        <v>3021</v>
      </c>
      <c r="E955" s="80">
        <v>796</v>
      </c>
      <c r="F955" s="80">
        <v>0.6</v>
      </c>
      <c r="G955" s="80">
        <v>1</v>
      </c>
      <c r="H955" s="80">
        <v>2</v>
      </c>
      <c r="I955" s="80">
        <v>840</v>
      </c>
    </row>
    <row r="956" spans="1:9" x14ac:dyDescent="0.25">
      <c r="A956" s="80">
        <v>955</v>
      </c>
      <c r="B956" s="80">
        <v>160</v>
      </c>
      <c r="C956" s="80">
        <v>9</v>
      </c>
      <c r="D956" s="80" t="s">
        <v>3021</v>
      </c>
      <c r="E956" s="80">
        <v>796</v>
      </c>
      <c r="F956" s="80">
        <v>0.6</v>
      </c>
      <c r="G956" s="80">
        <v>3</v>
      </c>
      <c r="H956" s="80">
        <v>3</v>
      </c>
      <c r="I956" s="80">
        <v>840</v>
      </c>
    </row>
    <row r="957" spans="1:9" x14ac:dyDescent="0.25">
      <c r="A957" s="80">
        <v>956</v>
      </c>
      <c r="B957" s="80">
        <v>160</v>
      </c>
      <c r="C957" s="80">
        <v>10</v>
      </c>
      <c r="D957" s="80" t="s">
        <v>90</v>
      </c>
      <c r="E957" s="80">
        <v>796</v>
      </c>
      <c r="F957" s="80">
        <v>0.6</v>
      </c>
      <c r="G957" s="80">
        <v>2</v>
      </c>
      <c r="H957" s="80">
        <v>2</v>
      </c>
      <c r="I957" s="80">
        <v>840</v>
      </c>
    </row>
    <row r="958" spans="1:9" x14ac:dyDescent="0.25">
      <c r="A958" s="80">
        <v>957</v>
      </c>
      <c r="B958" s="80">
        <v>160</v>
      </c>
      <c r="C958" s="80">
        <v>11</v>
      </c>
      <c r="D958" s="80" t="s">
        <v>209</v>
      </c>
      <c r="E958" s="80">
        <v>796</v>
      </c>
      <c r="F958" s="80">
        <v>0.6</v>
      </c>
      <c r="G958" s="80">
        <v>3</v>
      </c>
      <c r="H958" s="80">
        <v>3</v>
      </c>
      <c r="I958" s="80">
        <v>840</v>
      </c>
    </row>
    <row r="959" spans="1:9" x14ac:dyDescent="0.25">
      <c r="A959" s="80">
        <v>958</v>
      </c>
      <c r="B959" s="80">
        <v>160</v>
      </c>
      <c r="C959" s="80">
        <v>12</v>
      </c>
      <c r="D959" s="80" t="s">
        <v>2915</v>
      </c>
      <c r="E959" s="80">
        <v>796</v>
      </c>
      <c r="F959" s="80">
        <v>0.6</v>
      </c>
      <c r="G959" s="80">
        <v>1</v>
      </c>
      <c r="H959" s="80">
        <v>2</v>
      </c>
      <c r="I959" s="80">
        <v>840</v>
      </c>
    </row>
    <row r="960" spans="1:9" x14ac:dyDescent="0.25">
      <c r="A960" s="80">
        <v>959</v>
      </c>
      <c r="B960" s="80">
        <v>160</v>
      </c>
      <c r="C960" s="80">
        <v>13</v>
      </c>
      <c r="D960" s="80" t="s">
        <v>100</v>
      </c>
      <c r="E960" s="80">
        <v>796</v>
      </c>
      <c r="F960" s="80">
        <v>0.6</v>
      </c>
      <c r="G960" s="80">
        <v>3</v>
      </c>
      <c r="H960" s="80">
        <v>6</v>
      </c>
      <c r="I960" s="80">
        <v>840</v>
      </c>
    </row>
    <row r="961" spans="1:9" x14ac:dyDescent="0.25">
      <c r="A961" s="80">
        <v>960</v>
      </c>
      <c r="B961" s="80">
        <v>160</v>
      </c>
      <c r="C961" s="80">
        <v>14</v>
      </c>
      <c r="D961" s="80" t="s">
        <v>96</v>
      </c>
      <c r="E961" s="80">
        <v>796</v>
      </c>
      <c r="F961" s="80">
        <v>0.6</v>
      </c>
      <c r="G961" s="80">
        <v>3</v>
      </c>
      <c r="H961" s="80">
        <v>6</v>
      </c>
      <c r="I961" s="80">
        <v>840</v>
      </c>
    </row>
    <row r="962" spans="1:9" x14ac:dyDescent="0.25">
      <c r="A962" s="80">
        <v>961</v>
      </c>
      <c r="B962" s="80">
        <v>160</v>
      </c>
      <c r="C962" s="80">
        <v>15</v>
      </c>
      <c r="D962" s="80" t="s">
        <v>232</v>
      </c>
      <c r="E962" s="80">
        <v>796</v>
      </c>
      <c r="F962" s="80">
        <v>0.6</v>
      </c>
      <c r="G962" s="80">
        <v>1</v>
      </c>
      <c r="H962" s="80">
        <v>1</v>
      </c>
      <c r="I962" s="80">
        <v>840</v>
      </c>
    </row>
    <row r="963" spans="1:9" x14ac:dyDescent="0.25">
      <c r="A963" s="80">
        <v>962</v>
      </c>
      <c r="B963" s="80">
        <v>161</v>
      </c>
      <c r="C963" s="80">
        <v>1</v>
      </c>
      <c r="D963" s="80" t="s">
        <v>106</v>
      </c>
      <c r="E963" s="80">
        <v>796</v>
      </c>
      <c r="F963" s="80">
        <v>1.5</v>
      </c>
      <c r="G963" s="80">
        <v>3</v>
      </c>
      <c r="H963" s="80">
        <v>3</v>
      </c>
      <c r="I963" s="80">
        <v>840</v>
      </c>
    </row>
    <row r="964" spans="1:9" x14ac:dyDescent="0.25">
      <c r="A964" s="80">
        <v>963</v>
      </c>
      <c r="B964" s="80">
        <v>161</v>
      </c>
      <c r="C964" s="80">
        <v>2</v>
      </c>
      <c r="D964" s="80" t="s">
        <v>93</v>
      </c>
      <c r="E964" s="80">
        <v>796</v>
      </c>
      <c r="F964" s="80">
        <v>1.5</v>
      </c>
      <c r="G964" s="80">
        <v>3</v>
      </c>
      <c r="H964" s="80">
        <v>3</v>
      </c>
      <c r="I964" s="80">
        <v>840</v>
      </c>
    </row>
    <row r="965" spans="1:9" x14ac:dyDescent="0.25">
      <c r="A965" s="80">
        <v>964</v>
      </c>
      <c r="B965" s="80">
        <v>161</v>
      </c>
      <c r="C965" s="80">
        <v>3</v>
      </c>
      <c r="D965" s="80" t="s">
        <v>89</v>
      </c>
      <c r="E965" s="80">
        <v>796</v>
      </c>
      <c r="F965" s="80">
        <v>1.5</v>
      </c>
      <c r="G965" s="80">
        <v>3</v>
      </c>
      <c r="H965" s="80">
        <v>3</v>
      </c>
      <c r="I965" s="80">
        <v>840</v>
      </c>
    </row>
    <row r="966" spans="1:9" x14ac:dyDescent="0.25">
      <c r="A966" s="80">
        <v>965</v>
      </c>
      <c r="B966" s="80">
        <v>161</v>
      </c>
      <c r="C966" s="80">
        <v>4</v>
      </c>
      <c r="D966" s="80" t="s">
        <v>231</v>
      </c>
      <c r="E966" s="80">
        <v>796</v>
      </c>
      <c r="F966" s="80">
        <v>1.5</v>
      </c>
      <c r="G966" s="80">
        <v>2</v>
      </c>
      <c r="H966" s="80">
        <v>2</v>
      </c>
      <c r="I966" s="80">
        <v>840</v>
      </c>
    </row>
    <row r="967" spans="1:9" x14ac:dyDescent="0.25">
      <c r="A967" s="80">
        <v>966</v>
      </c>
      <c r="B967" s="80">
        <v>161</v>
      </c>
      <c r="C967" s="80">
        <v>5</v>
      </c>
      <c r="D967" s="80" t="s">
        <v>85</v>
      </c>
      <c r="E967" s="80">
        <v>796</v>
      </c>
      <c r="F967" s="80">
        <v>1.5</v>
      </c>
      <c r="G967" s="80">
        <v>2</v>
      </c>
      <c r="H967" s="80">
        <v>4</v>
      </c>
      <c r="I967" s="80">
        <v>840</v>
      </c>
    </row>
    <row r="968" spans="1:9" x14ac:dyDescent="0.25">
      <c r="A968" s="80">
        <v>967</v>
      </c>
      <c r="B968" s="80">
        <v>161</v>
      </c>
      <c r="C968" s="80">
        <v>6</v>
      </c>
      <c r="D968" s="80" t="s">
        <v>91</v>
      </c>
      <c r="E968" s="80">
        <v>796</v>
      </c>
      <c r="F968" s="80">
        <v>1.5</v>
      </c>
      <c r="G968" s="80">
        <v>3</v>
      </c>
      <c r="H968" s="80">
        <v>6</v>
      </c>
      <c r="I968" s="80">
        <v>840</v>
      </c>
    </row>
    <row r="969" spans="1:9" x14ac:dyDescent="0.25">
      <c r="A969" s="80">
        <v>968</v>
      </c>
      <c r="B969" s="80">
        <v>161</v>
      </c>
      <c r="C969" s="80">
        <v>7</v>
      </c>
      <c r="D969" s="80" t="s">
        <v>100</v>
      </c>
      <c r="E969" s="80">
        <v>796</v>
      </c>
      <c r="F969" s="80">
        <v>1.5</v>
      </c>
      <c r="G969" s="80">
        <v>1</v>
      </c>
      <c r="H969" s="80">
        <v>2</v>
      </c>
      <c r="I969" s="80">
        <v>840</v>
      </c>
    </row>
    <row r="970" spans="1:9" x14ac:dyDescent="0.25">
      <c r="A970" s="80">
        <v>969</v>
      </c>
      <c r="B970" s="80">
        <v>161</v>
      </c>
      <c r="C970" s="80">
        <v>8</v>
      </c>
      <c r="D970" s="80" t="s">
        <v>99</v>
      </c>
      <c r="E970" s="80">
        <v>796</v>
      </c>
      <c r="F970" s="80">
        <v>1.5</v>
      </c>
      <c r="G970" s="80">
        <v>3</v>
      </c>
      <c r="H970" s="80">
        <v>3</v>
      </c>
      <c r="I970" s="80">
        <v>840</v>
      </c>
    </row>
    <row r="971" spans="1:9" x14ac:dyDescent="0.25">
      <c r="A971" s="80">
        <v>970</v>
      </c>
      <c r="B971" s="80">
        <v>161</v>
      </c>
      <c r="C971" s="80">
        <v>9</v>
      </c>
      <c r="D971" s="80" t="s">
        <v>106</v>
      </c>
      <c r="E971" s="80">
        <v>796</v>
      </c>
      <c r="F971" s="80">
        <v>1.5</v>
      </c>
      <c r="G971" s="80">
        <v>1</v>
      </c>
      <c r="H971" s="80">
        <v>2</v>
      </c>
      <c r="I971" s="80">
        <v>840</v>
      </c>
    </row>
    <row r="972" spans="1:9" x14ac:dyDescent="0.25">
      <c r="A972" s="80">
        <v>971</v>
      </c>
      <c r="B972" s="80">
        <v>161</v>
      </c>
      <c r="C972" s="80">
        <v>10</v>
      </c>
      <c r="D972" s="80" t="s">
        <v>90</v>
      </c>
      <c r="E972" s="80">
        <v>796</v>
      </c>
      <c r="F972" s="80">
        <v>1.5</v>
      </c>
      <c r="G972" s="80">
        <v>2</v>
      </c>
      <c r="H972" s="80">
        <v>4</v>
      </c>
      <c r="I972" s="80">
        <v>840</v>
      </c>
    </row>
    <row r="973" spans="1:9" x14ac:dyDescent="0.25">
      <c r="A973" s="80">
        <v>972</v>
      </c>
      <c r="B973" s="80">
        <v>162</v>
      </c>
      <c r="C973" s="80">
        <v>1</v>
      </c>
      <c r="D973" s="80" t="s">
        <v>102</v>
      </c>
      <c r="E973" s="80">
        <v>796</v>
      </c>
      <c r="F973" s="80">
        <v>0.81</v>
      </c>
      <c r="G973" s="80">
        <v>2</v>
      </c>
      <c r="H973" s="80">
        <v>2</v>
      </c>
      <c r="I973" s="80">
        <v>840</v>
      </c>
    </row>
    <row r="974" spans="1:9" x14ac:dyDescent="0.25">
      <c r="A974" s="80">
        <v>973</v>
      </c>
      <c r="B974" s="80">
        <v>162</v>
      </c>
      <c r="C974" s="80">
        <v>2</v>
      </c>
      <c r="D974" s="80" t="s">
        <v>102</v>
      </c>
      <c r="E974" s="80">
        <v>796</v>
      </c>
      <c r="F974" s="80">
        <v>0.81</v>
      </c>
      <c r="G974" s="80">
        <v>3</v>
      </c>
      <c r="H974" s="80">
        <v>6</v>
      </c>
      <c r="I974" s="80">
        <v>840</v>
      </c>
    </row>
    <row r="975" spans="1:9" x14ac:dyDescent="0.25">
      <c r="A975" s="80">
        <v>974</v>
      </c>
      <c r="B975" s="80">
        <v>162</v>
      </c>
      <c r="C975" s="80">
        <v>3</v>
      </c>
      <c r="D975" s="80" t="s">
        <v>87</v>
      </c>
      <c r="E975" s="80">
        <v>796</v>
      </c>
      <c r="F975" s="80">
        <v>0.81</v>
      </c>
      <c r="G975" s="80">
        <v>1</v>
      </c>
      <c r="H975" s="80">
        <v>2</v>
      </c>
      <c r="I975" s="80">
        <v>840</v>
      </c>
    </row>
    <row r="976" spans="1:9" x14ac:dyDescent="0.25">
      <c r="A976" s="80">
        <v>975</v>
      </c>
      <c r="B976" s="80">
        <v>162</v>
      </c>
      <c r="C976" s="80">
        <v>4</v>
      </c>
      <c r="D976" s="80" t="s">
        <v>96</v>
      </c>
      <c r="E976" s="80">
        <v>796</v>
      </c>
      <c r="F976" s="80">
        <v>0.81</v>
      </c>
      <c r="G976" s="80">
        <v>3</v>
      </c>
      <c r="H976" s="80">
        <v>3</v>
      </c>
      <c r="I976" s="80">
        <v>840</v>
      </c>
    </row>
    <row r="977" spans="1:9" x14ac:dyDescent="0.25">
      <c r="A977" s="80">
        <v>976</v>
      </c>
      <c r="B977" s="80">
        <v>162</v>
      </c>
      <c r="C977" s="80">
        <v>5</v>
      </c>
      <c r="D977" s="80" t="s">
        <v>91</v>
      </c>
      <c r="E977" s="80">
        <v>796</v>
      </c>
      <c r="F977" s="80">
        <v>0.81</v>
      </c>
      <c r="G977" s="80">
        <v>2</v>
      </c>
      <c r="H977" s="80">
        <v>4</v>
      </c>
      <c r="I977" s="80">
        <v>840</v>
      </c>
    </row>
    <row r="978" spans="1:9" x14ac:dyDescent="0.25">
      <c r="A978" s="80">
        <v>977</v>
      </c>
      <c r="B978" s="80">
        <v>162</v>
      </c>
      <c r="C978" s="80">
        <v>6</v>
      </c>
      <c r="D978" s="80" t="s">
        <v>79</v>
      </c>
      <c r="E978" s="80">
        <v>796</v>
      </c>
      <c r="F978" s="80">
        <v>0.81</v>
      </c>
      <c r="G978" s="80">
        <v>1</v>
      </c>
      <c r="H978" s="80">
        <v>2</v>
      </c>
      <c r="I978" s="80">
        <v>840</v>
      </c>
    </row>
    <row r="979" spans="1:9" x14ac:dyDescent="0.25">
      <c r="A979" s="80">
        <v>978</v>
      </c>
      <c r="B979" s="80">
        <v>162</v>
      </c>
      <c r="C979" s="80">
        <v>7</v>
      </c>
      <c r="D979" s="80" t="s">
        <v>87</v>
      </c>
      <c r="E979" s="80">
        <v>796</v>
      </c>
      <c r="F979" s="80">
        <v>0.81</v>
      </c>
      <c r="G979" s="80">
        <v>1</v>
      </c>
      <c r="H979" s="80">
        <v>2</v>
      </c>
      <c r="I979" s="80">
        <v>840</v>
      </c>
    </row>
    <row r="980" spans="1:9" x14ac:dyDescent="0.25">
      <c r="A980" s="80">
        <v>979</v>
      </c>
      <c r="B980" s="80">
        <v>162</v>
      </c>
      <c r="C980" s="80">
        <v>8</v>
      </c>
      <c r="D980" s="80" t="s">
        <v>86</v>
      </c>
      <c r="E980" s="80">
        <v>796</v>
      </c>
      <c r="F980" s="80">
        <v>0.81</v>
      </c>
      <c r="G980" s="80">
        <v>1</v>
      </c>
      <c r="H980" s="80">
        <v>1</v>
      </c>
      <c r="I980" s="80">
        <v>840</v>
      </c>
    </row>
    <row r="981" spans="1:9" x14ac:dyDescent="0.25">
      <c r="A981" s="80">
        <v>980</v>
      </c>
      <c r="B981" s="80">
        <v>162</v>
      </c>
      <c r="C981" s="80">
        <v>9</v>
      </c>
      <c r="D981" s="80" t="s">
        <v>92</v>
      </c>
      <c r="E981" s="80">
        <v>796</v>
      </c>
      <c r="F981" s="80">
        <v>0.81</v>
      </c>
      <c r="G981" s="80">
        <v>2</v>
      </c>
      <c r="H981" s="80">
        <v>4</v>
      </c>
      <c r="I981" s="80">
        <v>840</v>
      </c>
    </row>
    <row r="982" spans="1:9" x14ac:dyDescent="0.25">
      <c r="A982" s="80">
        <v>981</v>
      </c>
      <c r="B982" s="80">
        <v>162</v>
      </c>
      <c r="C982" s="80">
        <v>10</v>
      </c>
      <c r="D982" s="80" t="s">
        <v>83</v>
      </c>
      <c r="E982" s="80">
        <v>796</v>
      </c>
      <c r="F982" s="80">
        <v>0.81</v>
      </c>
      <c r="G982" s="80">
        <v>2</v>
      </c>
      <c r="H982" s="80">
        <v>4</v>
      </c>
      <c r="I982" s="80">
        <v>840</v>
      </c>
    </row>
    <row r="983" spans="1:9" x14ac:dyDescent="0.25">
      <c r="A983" s="80">
        <v>982</v>
      </c>
      <c r="B983" s="80">
        <v>162</v>
      </c>
      <c r="C983" s="80">
        <v>11</v>
      </c>
      <c r="D983" s="80" t="s">
        <v>90</v>
      </c>
      <c r="E983" s="80">
        <v>796</v>
      </c>
      <c r="F983" s="80">
        <v>0.81</v>
      </c>
      <c r="G983" s="80">
        <v>2</v>
      </c>
      <c r="H983" s="80">
        <v>4</v>
      </c>
      <c r="I983" s="80">
        <v>840</v>
      </c>
    </row>
    <row r="984" spans="1:9" x14ac:dyDescent="0.25">
      <c r="A984" s="80">
        <v>983</v>
      </c>
      <c r="B984" s="80">
        <v>162</v>
      </c>
      <c r="C984" s="80">
        <v>12</v>
      </c>
      <c r="D984" s="80" t="s">
        <v>84</v>
      </c>
      <c r="E984" s="80">
        <v>796</v>
      </c>
      <c r="F984" s="80">
        <v>0.81</v>
      </c>
      <c r="G984" s="80">
        <v>2</v>
      </c>
      <c r="H984" s="80">
        <v>2</v>
      </c>
      <c r="I984" s="80">
        <v>840</v>
      </c>
    </row>
    <row r="985" spans="1:9" x14ac:dyDescent="0.25">
      <c r="A985" s="80">
        <v>984</v>
      </c>
      <c r="B985" s="80">
        <v>162</v>
      </c>
      <c r="C985" s="80">
        <v>13</v>
      </c>
      <c r="D985" s="80" t="s">
        <v>95</v>
      </c>
      <c r="E985" s="80">
        <v>796</v>
      </c>
      <c r="F985" s="80">
        <v>0.81</v>
      </c>
      <c r="G985" s="80">
        <v>2</v>
      </c>
      <c r="H985" s="80">
        <v>4</v>
      </c>
      <c r="I985" s="80">
        <v>840</v>
      </c>
    </row>
    <row r="986" spans="1:9" x14ac:dyDescent="0.25">
      <c r="A986" s="80">
        <v>985</v>
      </c>
      <c r="B986" s="80">
        <v>162</v>
      </c>
      <c r="C986" s="80">
        <v>14</v>
      </c>
      <c r="D986" s="80" t="s">
        <v>102</v>
      </c>
      <c r="E986" s="80">
        <v>796</v>
      </c>
      <c r="F986" s="80">
        <v>0.81</v>
      </c>
      <c r="G986" s="80">
        <v>1</v>
      </c>
      <c r="H986" s="80">
        <v>1</v>
      </c>
      <c r="I986" s="80">
        <v>840</v>
      </c>
    </row>
    <row r="987" spans="1:9" x14ac:dyDescent="0.25">
      <c r="A987" s="80">
        <v>986</v>
      </c>
      <c r="B987" s="80">
        <v>162</v>
      </c>
      <c r="C987" s="80">
        <v>15</v>
      </c>
      <c r="D987" s="80" t="s">
        <v>78</v>
      </c>
      <c r="E987" s="80">
        <v>796</v>
      </c>
      <c r="F987" s="80">
        <v>0.81</v>
      </c>
      <c r="G987" s="80">
        <v>1</v>
      </c>
      <c r="H987" s="80">
        <v>1</v>
      </c>
      <c r="I987" s="80">
        <v>840</v>
      </c>
    </row>
    <row r="988" spans="1:9" x14ac:dyDescent="0.25">
      <c r="A988" s="80">
        <v>987</v>
      </c>
      <c r="B988" s="80">
        <v>162</v>
      </c>
      <c r="C988" s="80">
        <v>16</v>
      </c>
      <c r="D988" s="80" t="s">
        <v>79</v>
      </c>
      <c r="E988" s="80">
        <v>796</v>
      </c>
      <c r="F988" s="80">
        <v>0.81</v>
      </c>
      <c r="G988" s="80">
        <v>1</v>
      </c>
      <c r="H988" s="80">
        <v>2</v>
      </c>
      <c r="I988" s="80">
        <v>840</v>
      </c>
    </row>
    <row r="989" spans="1:9" x14ac:dyDescent="0.25">
      <c r="A989" s="80">
        <v>988</v>
      </c>
      <c r="B989" s="80">
        <v>163</v>
      </c>
      <c r="C989" s="80">
        <v>1</v>
      </c>
      <c r="D989" s="80" t="s">
        <v>359</v>
      </c>
      <c r="E989" s="80">
        <v>796</v>
      </c>
      <c r="F989" s="80">
        <v>0.75</v>
      </c>
      <c r="G989" s="80">
        <v>3</v>
      </c>
      <c r="H989" s="80">
        <v>6</v>
      </c>
      <c r="I989" s="80">
        <v>840</v>
      </c>
    </row>
    <row r="990" spans="1:9" x14ac:dyDescent="0.25">
      <c r="A990" s="80">
        <v>989</v>
      </c>
      <c r="B990" s="80">
        <v>163</v>
      </c>
      <c r="C990" s="80">
        <v>2</v>
      </c>
      <c r="D990" s="80" t="s">
        <v>96</v>
      </c>
      <c r="E990" s="80">
        <v>796</v>
      </c>
      <c r="F990" s="80">
        <v>0.75</v>
      </c>
      <c r="G990" s="80">
        <v>2</v>
      </c>
      <c r="H990" s="80">
        <v>4</v>
      </c>
      <c r="I990" s="80">
        <v>840</v>
      </c>
    </row>
    <row r="991" spans="1:9" x14ac:dyDescent="0.25">
      <c r="A991" s="80">
        <v>990</v>
      </c>
      <c r="B991" s="80">
        <v>163</v>
      </c>
      <c r="C991" s="80">
        <v>3</v>
      </c>
      <c r="D991" s="80" t="s">
        <v>231</v>
      </c>
      <c r="E991" s="80">
        <v>796</v>
      </c>
      <c r="F991" s="80">
        <v>0.75</v>
      </c>
      <c r="G991" s="80">
        <v>2</v>
      </c>
      <c r="H991" s="80">
        <v>4</v>
      </c>
      <c r="I991" s="80">
        <v>840</v>
      </c>
    </row>
    <row r="992" spans="1:9" x14ac:dyDescent="0.25">
      <c r="A992" s="80">
        <v>991</v>
      </c>
      <c r="B992" s="80">
        <v>163</v>
      </c>
      <c r="C992" s="80">
        <v>4</v>
      </c>
      <c r="D992" s="80" t="s">
        <v>81</v>
      </c>
      <c r="E992" s="80">
        <v>796</v>
      </c>
      <c r="F992" s="80">
        <v>0.75</v>
      </c>
      <c r="G992" s="80">
        <v>2</v>
      </c>
      <c r="H992" s="80">
        <v>2</v>
      </c>
      <c r="I992" s="80">
        <v>840</v>
      </c>
    </row>
    <row r="993" spans="1:9" x14ac:dyDescent="0.25">
      <c r="A993" s="80">
        <v>992</v>
      </c>
      <c r="B993" s="80">
        <v>163</v>
      </c>
      <c r="C993" s="80">
        <v>5</v>
      </c>
      <c r="D993" s="80" t="s">
        <v>96</v>
      </c>
      <c r="E993" s="80">
        <v>796</v>
      </c>
      <c r="F993" s="80">
        <v>0.75</v>
      </c>
      <c r="G993" s="80">
        <v>3</v>
      </c>
      <c r="H993" s="80">
        <v>6</v>
      </c>
      <c r="I993" s="80">
        <v>840</v>
      </c>
    </row>
    <row r="994" spans="1:9" x14ac:dyDescent="0.25">
      <c r="A994" s="80">
        <v>993</v>
      </c>
      <c r="B994" s="80">
        <v>163</v>
      </c>
      <c r="C994" s="80">
        <v>6</v>
      </c>
      <c r="D994" s="80" t="s">
        <v>91</v>
      </c>
      <c r="E994" s="80">
        <v>796</v>
      </c>
      <c r="F994" s="80">
        <v>0.75</v>
      </c>
      <c r="G994" s="80">
        <v>2</v>
      </c>
      <c r="H994" s="80">
        <v>2</v>
      </c>
      <c r="I994" s="80">
        <v>840</v>
      </c>
    </row>
    <row r="995" spans="1:9" x14ac:dyDescent="0.25">
      <c r="A995" s="80">
        <v>994</v>
      </c>
      <c r="B995" s="80">
        <v>163</v>
      </c>
      <c r="C995" s="80">
        <v>7</v>
      </c>
      <c r="D995" s="80" t="s">
        <v>83</v>
      </c>
      <c r="E995" s="80">
        <v>796</v>
      </c>
      <c r="F995" s="80">
        <v>0.75</v>
      </c>
      <c r="G995" s="80">
        <v>3</v>
      </c>
      <c r="H995" s="80">
        <v>3</v>
      </c>
      <c r="I995" s="80">
        <v>840</v>
      </c>
    </row>
    <row r="996" spans="1:9" x14ac:dyDescent="0.25">
      <c r="A996" s="80">
        <v>995</v>
      </c>
      <c r="B996" s="80">
        <v>163</v>
      </c>
      <c r="C996" s="80">
        <v>8</v>
      </c>
      <c r="D996" s="80" t="s">
        <v>103</v>
      </c>
      <c r="E996" s="80">
        <v>796</v>
      </c>
      <c r="F996" s="80">
        <v>0.75</v>
      </c>
      <c r="G996" s="80">
        <v>3</v>
      </c>
      <c r="H996" s="80">
        <v>6</v>
      </c>
      <c r="I996" s="80">
        <v>840</v>
      </c>
    </row>
    <row r="997" spans="1:9" x14ac:dyDescent="0.25">
      <c r="A997" s="80">
        <v>996</v>
      </c>
      <c r="B997" s="80">
        <v>163</v>
      </c>
      <c r="C997" s="80">
        <v>9</v>
      </c>
      <c r="D997" s="80" t="s">
        <v>82</v>
      </c>
      <c r="E997" s="80">
        <v>796</v>
      </c>
      <c r="F997" s="80">
        <v>0.75</v>
      </c>
      <c r="G997" s="80">
        <v>2</v>
      </c>
      <c r="H997" s="80">
        <v>4</v>
      </c>
      <c r="I997" s="80">
        <v>840</v>
      </c>
    </row>
    <row r="998" spans="1:9" x14ac:dyDescent="0.25">
      <c r="A998" s="80">
        <v>997</v>
      </c>
      <c r="B998" s="80">
        <v>163</v>
      </c>
      <c r="C998" s="80">
        <v>10</v>
      </c>
      <c r="D998" s="80" t="s">
        <v>232</v>
      </c>
      <c r="E998" s="80">
        <v>796</v>
      </c>
      <c r="F998" s="80">
        <v>0.75</v>
      </c>
      <c r="G998" s="80">
        <v>2</v>
      </c>
      <c r="H998" s="80">
        <v>2</v>
      </c>
      <c r="I998" s="80">
        <v>840</v>
      </c>
    </row>
    <row r="999" spans="1:9" x14ac:dyDescent="0.25">
      <c r="A999" s="80">
        <v>998</v>
      </c>
      <c r="B999" s="80">
        <v>163</v>
      </c>
      <c r="C999" s="80">
        <v>11</v>
      </c>
      <c r="D999" s="80" t="s">
        <v>82</v>
      </c>
      <c r="E999" s="80">
        <v>796</v>
      </c>
      <c r="F999" s="80">
        <v>0.75</v>
      </c>
      <c r="G999" s="80">
        <v>1</v>
      </c>
      <c r="H999" s="80">
        <v>1</v>
      </c>
      <c r="I999" s="80">
        <v>840</v>
      </c>
    </row>
    <row r="1000" spans="1:9" x14ac:dyDescent="0.25">
      <c r="A1000" s="80">
        <v>999</v>
      </c>
      <c r="B1000" s="80">
        <v>163</v>
      </c>
      <c r="C1000" s="80">
        <v>12</v>
      </c>
      <c r="D1000" s="80" t="s">
        <v>78</v>
      </c>
      <c r="E1000" s="80">
        <v>796</v>
      </c>
      <c r="F1000" s="80">
        <v>0.75</v>
      </c>
      <c r="G1000" s="80">
        <v>1</v>
      </c>
      <c r="H1000" s="80">
        <v>2</v>
      </c>
      <c r="I1000" s="80">
        <v>840</v>
      </c>
    </row>
    <row r="1001" spans="1:9" x14ac:dyDescent="0.25">
      <c r="A1001" s="80">
        <v>1000</v>
      </c>
      <c r="B1001" s="80">
        <v>163</v>
      </c>
      <c r="C1001" s="80">
        <v>13</v>
      </c>
      <c r="D1001" s="80" t="s">
        <v>87</v>
      </c>
      <c r="E1001" s="80">
        <v>796</v>
      </c>
      <c r="F1001" s="80">
        <v>0.75</v>
      </c>
      <c r="G1001" s="80">
        <v>3</v>
      </c>
      <c r="H1001" s="80">
        <v>6</v>
      </c>
      <c r="I1001" s="80">
        <v>840</v>
      </c>
    </row>
    <row r="1002" spans="1:9" x14ac:dyDescent="0.25">
      <c r="A1002" s="80">
        <v>1001</v>
      </c>
      <c r="B1002" s="80">
        <v>163</v>
      </c>
      <c r="C1002" s="80">
        <v>14</v>
      </c>
      <c r="D1002" s="80" t="s">
        <v>359</v>
      </c>
      <c r="E1002" s="80">
        <v>796</v>
      </c>
      <c r="F1002" s="80">
        <v>0.75</v>
      </c>
      <c r="G1002" s="80">
        <v>3</v>
      </c>
      <c r="H1002" s="80">
        <v>3</v>
      </c>
      <c r="I1002" s="80">
        <v>840</v>
      </c>
    </row>
    <row r="1003" spans="1:9" x14ac:dyDescent="0.25">
      <c r="A1003" s="80">
        <v>1002</v>
      </c>
      <c r="B1003" s="80">
        <v>163</v>
      </c>
      <c r="C1003" s="80">
        <v>15</v>
      </c>
      <c r="D1003" s="80" t="s">
        <v>2915</v>
      </c>
      <c r="E1003" s="80">
        <v>796</v>
      </c>
      <c r="F1003" s="80">
        <v>0.75</v>
      </c>
      <c r="G1003" s="80">
        <v>2</v>
      </c>
      <c r="H1003" s="80">
        <v>4</v>
      </c>
      <c r="I1003" s="80">
        <v>840</v>
      </c>
    </row>
    <row r="1004" spans="1:9" x14ac:dyDescent="0.25">
      <c r="A1004" s="80">
        <v>1003</v>
      </c>
      <c r="B1004" s="80">
        <v>163</v>
      </c>
      <c r="C1004" s="80">
        <v>16</v>
      </c>
      <c r="D1004" s="80" t="s">
        <v>86</v>
      </c>
      <c r="E1004" s="80">
        <v>796</v>
      </c>
      <c r="F1004" s="80">
        <v>0.75</v>
      </c>
      <c r="G1004" s="80">
        <v>1</v>
      </c>
      <c r="H1004" s="80">
        <v>2</v>
      </c>
      <c r="I1004" s="80">
        <v>840</v>
      </c>
    </row>
    <row r="1005" spans="1:9" x14ac:dyDescent="0.25">
      <c r="A1005" s="80">
        <v>1004</v>
      </c>
      <c r="B1005" s="80">
        <v>163</v>
      </c>
      <c r="C1005" s="80">
        <v>17</v>
      </c>
      <c r="D1005" s="80" t="s">
        <v>101</v>
      </c>
      <c r="E1005" s="80">
        <v>796</v>
      </c>
      <c r="F1005" s="80">
        <v>0.75</v>
      </c>
      <c r="G1005" s="80">
        <v>2</v>
      </c>
      <c r="H1005" s="80">
        <v>2</v>
      </c>
      <c r="I1005" s="80">
        <v>840</v>
      </c>
    </row>
    <row r="1006" spans="1:9" x14ac:dyDescent="0.25">
      <c r="A1006" s="80">
        <v>1005</v>
      </c>
      <c r="B1006" s="80">
        <v>163</v>
      </c>
      <c r="C1006" s="80">
        <v>18</v>
      </c>
      <c r="D1006" s="80" t="s">
        <v>102</v>
      </c>
      <c r="E1006" s="80">
        <v>796</v>
      </c>
      <c r="F1006" s="80">
        <v>0.75</v>
      </c>
      <c r="G1006" s="80">
        <v>3</v>
      </c>
      <c r="H1006" s="80">
        <v>6</v>
      </c>
      <c r="I1006" s="80">
        <v>840</v>
      </c>
    </row>
    <row r="1007" spans="1:9" x14ac:dyDescent="0.25">
      <c r="A1007" s="80">
        <v>1006</v>
      </c>
      <c r="B1007" s="80">
        <v>163</v>
      </c>
      <c r="C1007" s="80">
        <v>19</v>
      </c>
      <c r="D1007" s="80" t="s">
        <v>232</v>
      </c>
      <c r="E1007" s="80">
        <v>796</v>
      </c>
      <c r="F1007" s="80">
        <v>0.75</v>
      </c>
      <c r="G1007" s="80">
        <v>2</v>
      </c>
      <c r="H1007" s="80">
        <v>4</v>
      </c>
      <c r="I1007" s="80">
        <v>840</v>
      </c>
    </row>
    <row r="1008" spans="1:9" x14ac:dyDescent="0.25">
      <c r="A1008" s="80">
        <v>1007</v>
      </c>
      <c r="B1008" s="80">
        <v>163</v>
      </c>
      <c r="C1008" s="80">
        <v>20</v>
      </c>
      <c r="D1008" s="80" t="s">
        <v>91</v>
      </c>
      <c r="E1008" s="80">
        <v>796</v>
      </c>
      <c r="F1008" s="80">
        <v>0.75</v>
      </c>
      <c r="G1008" s="80">
        <v>1</v>
      </c>
      <c r="H1008" s="80">
        <v>1</v>
      </c>
      <c r="I1008" s="80">
        <v>840</v>
      </c>
    </row>
    <row r="1009" spans="1:9" x14ac:dyDescent="0.25">
      <c r="A1009" s="80">
        <v>1008</v>
      </c>
      <c r="B1009" s="80">
        <v>164</v>
      </c>
      <c r="C1009" s="80">
        <v>1</v>
      </c>
      <c r="D1009" s="80" t="s">
        <v>99</v>
      </c>
      <c r="E1009" s="80">
        <v>796</v>
      </c>
      <c r="F1009" s="80">
        <v>0.89</v>
      </c>
      <c r="G1009" s="80">
        <v>2</v>
      </c>
      <c r="H1009" s="80">
        <v>4</v>
      </c>
      <c r="I1009" s="80">
        <v>840</v>
      </c>
    </row>
    <row r="1010" spans="1:9" x14ac:dyDescent="0.25">
      <c r="A1010" s="80">
        <v>1009</v>
      </c>
      <c r="B1010" s="80">
        <v>164</v>
      </c>
      <c r="C1010" s="80">
        <v>2</v>
      </c>
      <c r="D1010" s="80" t="s">
        <v>89</v>
      </c>
      <c r="E1010" s="80">
        <v>796</v>
      </c>
      <c r="F1010" s="80">
        <v>0.89</v>
      </c>
      <c r="G1010" s="80">
        <v>3</v>
      </c>
      <c r="H1010" s="80">
        <v>3</v>
      </c>
      <c r="I1010" s="80">
        <v>840</v>
      </c>
    </row>
    <row r="1011" spans="1:9" x14ac:dyDescent="0.25">
      <c r="A1011" s="80">
        <v>1010</v>
      </c>
      <c r="B1011" s="80">
        <v>164</v>
      </c>
      <c r="C1011" s="80">
        <v>3</v>
      </c>
      <c r="D1011" s="80" t="s">
        <v>84</v>
      </c>
      <c r="E1011" s="80">
        <v>796</v>
      </c>
      <c r="F1011" s="80">
        <v>0.89</v>
      </c>
      <c r="G1011" s="80">
        <v>3</v>
      </c>
      <c r="H1011" s="80">
        <v>6</v>
      </c>
      <c r="I1011" s="80">
        <v>840</v>
      </c>
    </row>
    <row r="1012" spans="1:9" x14ac:dyDescent="0.25">
      <c r="A1012" s="80">
        <v>1011</v>
      </c>
      <c r="B1012" s="80">
        <v>164</v>
      </c>
      <c r="C1012" s="80">
        <v>4</v>
      </c>
      <c r="D1012" s="80" t="s">
        <v>96</v>
      </c>
      <c r="E1012" s="80">
        <v>796</v>
      </c>
      <c r="F1012" s="80">
        <v>0.89</v>
      </c>
      <c r="G1012" s="80">
        <v>2</v>
      </c>
      <c r="H1012" s="80">
        <v>2</v>
      </c>
      <c r="I1012" s="80">
        <v>840</v>
      </c>
    </row>
    <row r="1013" spans="1:9" x14ac:dyDescent="0.25">
      <c r="A1013" s="80">
        <v>1012</v>
      </c>
      <c r="B1013" s="80">
        <v>164</v>
      </c>
      <c r="C1013" s="80">
        <v>5</v>
      </c>
      <c r="D1013" s="80" t="s">
        <v>86</v>
      </c>
      <c r="E1013" s="80">
        <v>796</v>
      </c>
      <c r="F1013" s="80">
        <v>0.89</v>
      </c>
      <c r="G1013" s="80">
        <v>1</v>
      </c>
      <c r="H1013" s="80">
        <v>2</v>
      </c>
      <c r="I1013" s="80">
        <v>840</v>
      </c>
    </row>
    <row r="1014" spans="1:9" x14ac:dyDescent="0.25">
      <c r="A1014" s="80">
        <v>1013</v>
      </c>
      <c r="B1014" s="80">
        <v>164</v>
      </c>
      <c r="C1014" s="80">
        <v>6</v>
      </c>
      <c r="D1014" s="80" t="s">
        <v>104</v>
      </c>
      <c r="E1014" s="80">
        <v>796</v>
      </c>
      <c r="F1014" s="80">
        <v>0.89</v>
      </c>
      <c r="G1014" s="80">
        <v>2</v>
      </c>
      <c r="H1014" s="80">
        <v>4</v>
      </c>
      <c r="I1014" s="80">
        <v>840</v>
      </c>
    </row>
    <row r="1015" spans="1:9" x14ac:dyDescent="0.25">
      <c r="A1015" s="80">
        <v>1014</v>
      </c>
      <c r="B1015" s="80">
        <v>164</v>
      </c>
      <c r="C1015" s="80">
        <v>7</v>
      </c>
      <c r="D1015" s="80" t="s">
        <v>93</v>
      </c>
      <c r="E1015" s="80">
        <v>796</v>
      </c>
      <c r="F1015" s="80">
        <v>0.89</v>
      </c>
      <c r="G1015" s="80">
        <v>2</v>
      </c>
      <c r="H1015" s="80">
        <v>2</v>
      </c>
      <c r="I1015" s="80">
        <v>840</v>
      </c>
    </row>
    <row r="1016" spans="1:9" x14ac:dyDescent="0.25">
      <c r="A1016" s="80">
        <v>1015</v>
      </c>
      <c r="B1016" s="80">
        <v>164</v>
      </c>
      <c r="C1016" s="80">
        <v>8</v>
      </c>
      <c r="D1016" s="80" t="s">
        <v>102</v>
      </c>
      <c r="E1016" s="80">
        <v>796</v>
      </c>
      <c r="F1016" s="80">
        <v>0.89</v>
      </c>
      <c r="G1016" s="80">
        <v>2</v>
      </c>
      <c r="H1016" s="80">
        <v>2</v>
      </c>
      <c r="I1016" s="80">
        <v>840</v>
      </c>
    </row>
    <row r="1017" spans="1:9" x14ac:dyDescent="0.25">
      <c r="A1017" s="80">
        <v>1016</v>
      </c>
      <c r="B1017" s="80">
        <v>164</v>
      </c>
      <c r="C1017" s="80">
        <v>9</v>
      </c>
      <c r="D1017" s="80" t="s">
        <v>78</v>
      </c>
      <c r="E1017" s="80">
        <v>796</v>
      </c>
      <c r="F1017" s="80">
        <v>0.89</v>
      </c>
      <c r="G1017" s="80">
        <v>1</v>
      </c>
      <c r="H1017" s="80">
        <v>2</v>
      </c>
      <c r="I1017" s="80">
        <v>840</v>
      </c>
    </row>
    <row r="1018" spans="1:9" x14ac:dyDescent="0.25">
      <c r="A1018" s="80">
        <v>1017</v>
      </c>
      <c r="B1018" s="80">
        <v>165</v>
      </c>
      <c r="C1018" s="80">
        <v>1</v>
      </c>
      <c r="D1018" s="80" t="s">
        <v>94</v>
      </c>
      <c r="E1018" s="80">
        <v>796</v>
      </c>
      <c r="F1018" s="80">
        <v>0.63</v>
      </c>
      <c r="G1018" s="80">
        <v>2</v>
      </c>
      <c r="H1018" s="80">
        <v>2</v>
      </c>
      <c r="I1018" s="80">
        <v>840</v>
      </c>
    </row>
    <row r="1019" spans="1:9" x14ac:dyDescent="0.25">
      <c r="A1019" s="80">
        <v>1018</v>
      </c>
      <c r="B1019" s="80">
        <v>165</v>
      </c>
      <c r="C1019" s="80">
        <v>2</v>
      </c>
      <c r="D1019" s="80" t="s">
        <v>95</v>
      </c>
      <c r="E1019" s="80">
        <v>796</v>
      </c>
      <c r="F1019" s="80">
        <v>0.63</v>
      </c>
      <c r="G1019" s="80">
        <v>2</v>
      </c>
      <c r="H1019" s="80">
        <v>2</v>
      </c>
      <c r="I1019" s="80">
        <v>840</v>
      </c>
    </row>
    <row r="1020" spans="1:9" x14ac:dyDescent="0.25">
      <c r="A1020" s="80">
        <v>1019</v>
      </c>
      <c r="B1020" s="80">
        <v>165</v>
      </c>
      <c r="C1020" s="80">
        <v>3</v>
      </c>
      <c r="D1020" s="80" t="s">
        <v>93</v>
      </c>
      <c r="E1020" s="80">
        <v>796</v>
      </c>
      <c r="F1020" s="80">
        <v>0.63</v>
      </c>
      <c r="G1020" s="80">
        <v>2</v>
      </c>
      <c r="H1020" s="80">
        <v>2</v>
      </c>
      <c r="I1020" s="80">
        <v>840</v>
      </c>
    </row>
    <row r="1021" spans="1:9" x14ac:dyDescent="0.25">
      <c r="A1021" s="80">
        <v>1020</v>
      </c>
      <c r="B1021" s="80">
        <v>165</v>
      </c>
      <c r="C1021" s="80">
        <v>4</v>
      </c>
      <c r="D1021" s="80" t="s">
        <v>96</v>
      </c>
      <c r="E1021" s="80">
        <v>796</v>
      </c>
      <c r="F1021" s="80">
        <v>0.63</v>
      </c>
      <c r="G1021" s="80">
        <v>3</v>
      </c>
      <c r="H1021" s="80">
        <v>6</v>
      </c>
      <c r="I1021" s="80">
        <v>840</v>
      </c>
    </row>
    <row r="1022" spans="1:9" x14ac:dyDescent="0.25">
      <c r="A1022" s="80">
        <v>1021</v>
      </c>
      <c r="B1022" s="80">
        <v>165</v>
      </c>
      <c r="C1022" s="80">
        <v>5</v>
      </c>
      <c r="D1022" s="80" t="s">
        <v>106</v>
      </c>
      <c r="E1022" s="80">
        <v>796</v>
      </c>
      <c r="F1022" s="80">
        <v>0.63</v>
      </c>
      <c r="G1022" s="80">
        <v>3</v>
      </c>
      <c r="H1022" s="80">
        <v>6</v>
      </c>
      <c r="I1022" s="80">
        <v>840</v>
      </c>
    </row>
    <row r="1023" spans="1:9" x14ac:dyDescent="0.25">
      <c r="A1023" s="80">
        <v>1022</v>
      </c>
      <c r="B1023" s="80">
        <v>165</v>
      </c>
      <c r="C1023" s="80">
        <v>6</v>
      </c>
      <c r="D1023" s="80" t="s">
        <v>103</v>
      </c>
      <c r="E1023" s="80">
        <v>796</v>
      </c>
      <c r="F1023" s="80">
        <v>0.63</v>
      </c>
      <c r="G1023" s="80">
        <v>1</v>
      </c>
      <c r="H1023" s="80">
        <v>2</v>
      </c>
      <c r="I1023" s="80">
        <v>840</v>
      </c>
    </row>
    <row r="1024" spans="1:9" x14ac:dyDescent="0.25">
      <c r="A1024" s="80">
        <v>1023</v>
      </c>
      <c r="B1024" s="80">
        <v>165</v>
      </c>
      <c r="C1024" s="80">
        <v>7</v>
      </c>
      <c r="D1024" s="80" t="s">
        <v>97</v>
      </c>
      <c r="E1024" s="80">
        <v>796</v>
      </c>
      <c r="F1024" s="80">
        <v>0.63</v>
      </c>
      <c r="G1024" s="80">
        <v>2</v>
      </c>
      <c r="H1024" s="80">
        <v>4</v>
      </c>
      <c r="I1024" s="80">
        <v>840</v>
      </c>
    </row>
    <row r="1025" spans="1:9" x14ac:dyDescent="0.25">
      <c r="A1025" s="80">
        <v>1024</v>
      </c>
      <c r="B1025" s="80">
        <v>165</v>
      </c>
      <c r="C1025" s="80">
        <v>8</v>
      </c>
      <c r="D1025" s="80" t="s">
        <v>90</v>
      </c>
      <c r="E1025" s="80">
        <v>796</v>
      </c>
      <c r="F1025" s="80">
        <v>0.63</v>
      </c>
      <c r="G1025" s="80">
        <v>1</v>
      </c>
      <c r="H1025" s="80">
        <v>2</v>
      </c>
      <c r="I1025" s="80">
        <v>840</v>
      </c>
    </row>
    <row r="1026" spans="1:9" x14ac:dyDescent="0.25">
      <c r="A1026" s="80">
        <v>1025</v>
      </c>
      <c r="B1026" s="80">
        <v>165</v>
      </c>
      <c r="C1026" s="80">
        <v>9</v>
      </c>
      <c r="D1026" s="80" t="s">
        <v>91</v>
      </c>
      <c r="E1026" s="80">
        <v>796</v>
      </c>
      <c r="F1026" s="80">
        <v>0.63</v>
      </c>
      <c r="G1026" s="80">
        <v>3</v>
      </c>
      <c r="H1026" s="80">
        <v>3</v>
      </c>
      <c r="I1026" s="80">
        <v>840</v>
      </c>
    </row>
    <row r="1027" spans="1:9" x14ac:dyDescent="0.25">
      <c r="A1027" s="80">
        <v>1026</v>
      </c>
      <c r="B1027" s="80">
        <v>165</v>
      </c>
      <c r="C1027" s="80">
        <v>10</v>
      </c>
      <c r="D1027" s="80" t="s">
        <v>97</v>
      </c>
      <c r="E1027" s="80">
        <v>796</v>
      </c>
      <c r="F1027" s="80">
        <v>0.63</v>
      </c>
      <c r="G1027" s="80">
        <v>1</v>
      </c>
      <c r="H1027" s="80">
        <v>2</v>
      </c>
      <c r="I1027" s="80">
        <v>840</v>
      </c>
    </row>
    <row r="1028" spans="1:9" x14ac:dyDescent="0.25">
      <c r="A1028" s="80">
        <v>1027</v>
      </c>
      <c r="B1028" s="80">
        <v>165</v>
      </c>
      <c r="C1028" s="80">
        <v>11</v>
      </c>
      <c r="D1028" s="80" t="s">
        <v>84</v>
      </c>
      <c r="E1028" s="80">
        <v>796</v>
      </c>
      <c r="F1028" s="80">
        <v>0.63</v>
      </c>
      <c r="G1028" s="80">
        <v>2</v>
      </c>
      <c r="H1028" s="80">
        <v>4</v>
      </c>
      <c r="I1028" s="80">
        <v>840</v>
      </c>
    </row>
    <row r="1029" spans="1:9" x14ac:dyDescent="0.25">
      <c r="A1029" s="80">
        <v>1028</v>
      </c>
      <c r="B1029" s="80">
        <v>165</v>
      </c>
      <c r="C1029" s="80">
        <v>12</v>
      </c>
      <c r="D1029" s="80" t="s">
        <v>103</v>
      </c>
      <c r="E1029" s="80">
        <v>796</v>
      </c>
      <c r="F1029" s="80">
        <v>0.63</v>
      </c>
      <c r="G1029" s="80">
        <v>1</v>
      </c>
      <c r="H1029" s="80">
        <v>2</v>
      </c>
      <c r="I1029" s="80">
        <v>840</v>
      </c>
    </row>
    <row r="1030" spans="1:9" x14ac:dyDescent="0.25">
      <c r="A1030" s="80">
        <v>1029</v>
      </c>
      <c r="B1030" s="80">
        <v>165</v>
      </c>
      <c r="C1030" s="80">
        <v>13</v>
      </c>
      <c r="D1030" s="80" t="s">
        <v>102</v>
      </c>
      <c r="E1030" s="80">
        <v>796</v>
      </c>
      <c r="F1030" s="80">
        <v>0.63</v>
      </c>
      <c r="G1030" s="80">
        <v>1</v>
      </c>
      <c r="H1030" s="80">
        <v>2</v>
      </c>
      <c r="I1030" s="80">
        <v>840</v>
      </c>
    </row>
    <row r="1031" spans="1:9" x14ac:dyDescent="0.25">
      <c r="A1031" s="80">
        <v>1030</v>
      </c>
      <c r="B1031" s="80">
        <v>165</v>
      </c>
      <c r="C1031" s="80">
        <v>14</v>
      </c>
      <c r="D1031" s="80" t="s">
        <v>102</v>
      </c>
      <c r="E1031" s="80">
        <v>796</v>
      </c>
      <c r="F1031" s="80">
        <v>0.63</v>
      </c>
      <c r="G1031" s="80">
        <v>3</v>
      </c>
      <c r="H1031" s="80">
        <v>6</v>
      </c>
      <c r="I1031" s="80">
        <v>840</v>
      </c>
    </row>
    <row r="1032" spans="1:9" x14ac:dyDescent="0.25">
      <c r="A1032" s="80">
        <v>1031</v>
      </c>
      <c r="B1032" s="80">
        <v>165</v>
      </c>
      <c r="C1032" s="80">
        <v>15</v>
      </c>
      <c r="D1032" s="80" t="s">
        <v>84</v>
      </c>
      <c r="E1032" s="80">
        <v>796</v>
      </c>
      <c r="F1032" s="80">
        <v>0.63</v>
      </c>
      <c r="G1032" s="80">
        <v>1</v>
      </c>
      <c r="H1032" s="80">
        <v>1</v>
      </c>
      <c r="I1032" s="80">
        <v>840</v>
      </c>
    </row>
    <row r="1033" spans="1:9" x14ac:dyDescent="0.25">
      <c r="A1033" s="80">
        <v>1032</v>
      </c>
      <c r="B1033" s="80">
        <v>165</v>
      </c>
      <c r="C1033" s="80">
        <v>16</v>
      </c>
      <c r="D1033" s="80" t="s">
        <v>96</v>
      </c>
      <c r="E1033" s="80">
        <v>796</v>
      </c>
      <c r="F1033" s="80">
        <v>0.63</v>
      </c>
      <c r="G1033" s="80">
        <v>2</v>
      </c>
      <c r="H1033" s="80">
        <v>4</v>
      </c>
      <c r="I1033" s="80">
        <v>840</v>
      </c>
    </row>
    <row r="1034" spans="1:9" x14ac:dyDescent="0.25">
      <c r="A1034" s="80">
        <v>1033</v>
      </c>
      <c r="B1034" s="80">
        <v>166</v>
      </c>
      <c r="C1034" s="80">
        <v>1</v>
      </c>
      <c r="D1034" s="80" t="s">
        <v>83</v>
      </c>
      <c r="E1034" s="80">
        <v>796</v>
      </c>
      <c r="F1034" s="80">
        <v>1.18</v>
      </c>
      <c r="G1034" s="80">
        <v>3</v>
      </c>
      <c r="H1034" s="80">
        <v>3</v>
      </c>
      <c r="I1034" s="80">
        <v>840</v>
      </c>
    </row>
    <row r="1035" spans="1:9" x14ac:dyDescent="0.25">
      <c r="A1035" s="80">
        <v>1034</v>
      </c>
      <c r="B1035" s="80">
        <v>166</v>
      </c>
      <c r="C1035" s="80">
        <v>2</v>
      </c>
      <c r="D1035" s="80" t="s">
        <v>79</v>
      </c>
      <c r="E1035" s="80">
        <v>796</v>
      </c>
      <c r="F1035" s="80">
        <v>1.18</v>
      </c>
      <c r="G1035" s="80">
        <v>2</v>
      </c>
      <c r="H1035" s="80">
        <v>4</v>
      </c>
      <c r="I1035" s="80">
        <v>840</v>
      </c>
    </row>
    <row r="1036" spans="1:9" x14ac:dyDescent="0.25">
      <c r="A1036" s="80">
        <v>1035</v>
      </c>
      <c r="B1036" s="80">
        <v>166</v>
      </c>
      <c r="C1036" s="80">
        <v>3</v>
      </c>
      <c r="D1036" s="80" t="s">
        <v>82</v>
      </c>
      <c r="E1036" s="80">
        <v>796</v>
      </c>
      <c r="F1036" s="80">
        <v>1.18</v>
      </c>
      <c r="G1036" s="80">
        <v>1</v>
      </c>
      <c r="H1036" s="80">
        <v>1</v>
      </c>
      <c r="I1036" s="80">
        <v>840</v>
      </c>
    </row>
    <row r="1037" spans="1:9" x14ac:dyDescent="0.25">
      <c r="A1037" s="80">
        <v>1036</v>
      </c>
      <c r="B1037" s="80">
        <v>166</v>
      </c>
      <c r="C1037" s="80">
        <v>4</v>
      </c>
      <c r="D1037" s="80" t="s">
        <v>87</v>
      </c>
      <c r="E1037" s="80">
        <v>796</v>
      </c>
      <c r="F1037" s="80">
        <v>1.18</v>
      </c>
      <c r="G1037" s="80">
        <v>3</v>
      </c>
      <c r="H1037" s="80">
        <v>3</v>
      </c>
      <c r="I1037" s="80">
        <v>840</v>
      </c>
    </row>
    <row r="1038" spans="1:9" x14ac:dyDescent="0.25">
      <c r="A1038" s="80">
        <v>1037</v>
      </c>
      <c r="B1038" s="80">
        <v>166</v>
      </c>
      <c r="C1038" s="80">
        <v>5</v>
      </c>
      <c r="D1038" s="80" t="s">
        <v>96</v>
      </c>
      <c r="E1038" s="80">
        <v>796</v>
      </c>
      <c r="F1038" s="80">
        <v>1.18</v>
      </c>
      <c r="G1038" s="80">
        <v>3</v>
      </c>
      <c r="H1038" s="80">
        <v>3</v>
      </c>
      <c r="I1038" s="80">
        <v>840</v>
      </c>
    </row>
    <row r="1039" spans="1:9" x14ac:dyDescent="0.25">
      <c r="A1039" s="80">
        <v>1038</v>
      </c>
      <c r="B1039" s="80">
        <v>166</v>
      </c>
      <c r="C1039" s="80">
        <v>6</v>
      </c>
      <c r="D1039" s="80" t="s">
        <v>103</v>
      </c>
      <c r="E1039" s="80">
        <v>796</v>
      </c>
      <c r="F1039" s="80">
        <v>1.18</v>
      </c>
      <c r="G1039" s="80">
        <v>3</v>
      </c>
      <c r="H1039" s="80">
        <v>3</v>
      </c>
      <c r="I1039" s="80">
        <v>840</v>
      </c>
    </row>
    <row r="1040" spans="1:9" x14ac:dyDescent="0.25">
      <c r="A1040" s="80">
        <v>1039</v>
      </c>
      <c r="B1040" s="80">
        <v>166</v>
      </c>
      <c r="C1040" s="80">
        <v>7</v>
      </c>
      <c r="D1040" s="80" t="s">
        <v>79</v>
      </c>
      <c r="E1040" s="80">
        <v>796</v>
      </c>
      <c r="F1040" s="80">
        <v>1.18</v>
      </c>
      <c r="G1040" s="80">
        <v>3</v>
      </c>
      <c r="H1040" s="80">
        <v>3</v>
      </c>
      <c r="I1040" s="80">
        <v>840</v>
      </c>
    </row>
    <row r="1041" spans="1:9" x14ac:dyDescent="0.25">
      <c r="A1041" s="80">
        <v>1040</v>
      </c>
      <c r="B1041" s="80">
        <v>166</v>
      </c>
      <c r="C1041" s="80">
        <v>8</v>
      </c>
      <c r="D1041" s="80" t="s">
        <v>93</v>
      </c>
      <c r="E1041" s="80">
        <v>796</v>
      </c>
      <c r="F1041" s="80">
        <v>1.18</v>
      </c>
      <c r="G1041" s="80">
        <v>3</v>
      </c>
      <c r="H1041" s="80">
        <v>3</v>
      </c>
      <c r="I1041" s="80">
        <v>840</v>
      </c>
    </row>
    <row r="1042" spans="1:9" x14ac:dyDescent="0.25">
      <c r="A1042" s="80">
        <v>1041</v>
      </c>
      <c r="B1042" s="80">
        <v>166</v>
      </c>
      <c r="C1042" s="80">
        <v>9</v>
      </c>
      <c r="D1042" s="80" t="s">
        <v>86</v>
      </c>
      <c r="E1042" s="80">
        <v>796</v>
      </c>
      <c r="F1042" s="80">
        <v>1.18</v>
      </c>
      <c r="G1042" s="80">
        <v>1</v>
      </c>
      <c r="H1042" s="80">
        <v>1</v>
      </c>
      <c r="I1042" s="80">
        <v>840</v>
      </c>
    </row>
    <row r="1043" spans="1:9" x14ac:dyDescent="0.25">
      <c r="A1043" s="80">
        <v>1042</v>
      </c>
      <c r="B1043" s="80">
        <v>166</v>
      </c>
      <c r="C1043" s="80">
        <v>10</v>
      </c>
      <c r="D1043" s="80" t="s">
        <v>209</v>
      </c>
      <c r="E1043" s="80">
        <v>796</v>
      </c>
      <c r="F1043" s="80">
        <v>1.18</v>
      </c>
      <c r="G1043" s="80">
        <v>2</v>
      </c>
      <c r="H1043" s="80">
        <v>4</v>
      </c>
      <c r="I1043" s="80">
        <v>840</v>
      </c>
    </row>
    <row r="1044" spans="1:9" x14ac:dyDescent="0.25">
      <c r="A1044" s="80">
        <v>1043</v>
      </c>
      <c r="B1044" s="80">
        <v>166</v>
      </c>
      <c r="C1044" s="80">
        <v>11</v>
      </c>
      <c r="D1044" s="80" t="s">
        <v>90</v>
      </c>
      <c r="E1044" s="80">
        <v>796</v>
      </c>
      <c r="F1044" s="80">
        <v>1.18</v>
      </c>
      <c r="G1044" s="80">
        <v>2</v>
      </c>
      <c r="H1044" s="80">
        <v>4</v>
      </c>
      <c r="I1044" s="80">
        <v>840</v>
      </c>
    </row>
    <row r="1045" spans="1:9" x14ac:dyDescent="0.25">
      <c r="A1045" s="80">
        <v>1044</v>
      </c>
      <c r="B1045" s="80">
        <v>166</v>
      </c>
      <c r="C1045" s="80">
        <v>12</v>
      </c>
      <c r="D1045" s="80" t="s">
        <v>82</v>
      </c>
      <c r="E1045" s="80">
        <v>796</v>
      </c>
      <c r="F1045" s="80">
        <v>1.18</v>
      </c>
      <c r="G1045" s="80">
        <v>1</v>
      </c>
      <c r="H1045" s="80">
        <v>1</v>
      </c>
      <c r="I1045" s="80">
        <v>840</v>
      </c>
    </row>
    <row r="1046" spans="1:9" x14ac:dyDescent="0.25">
      <c r="A1046" s="80">
        <v>1045</v>
      </c>
      <c r="B1046" s="80">
        <v>166</v>
      </c>
      <c r="C1046" s="80">
        <v>13</v>
      </c>
      <c r="D1046" s="80" t="s">
        <v>87</v>
      </c>
      <c r="E1046" s="80">
        <v>796</v>
      </c>
      <c r="F1046" s="80">
        <v>1.18</v>
      </c>
      <c r="G1046" s="80">
        <v>3</v>
      </c>
      <c r="H1046" s="80">
        <v>3</v>
      </c>
      <c r="I1046" s="80">
        <v>840</v>
      </c>
    </row>
    <row r="1047" spans="1:9" x14ac:dyDescent="0.25">
      <c r="A1047" s="80">
        <v>1046</v>
      </c>
      <c r="B1047" s="80">
        <v>166</v>
      </c>
      <c r="C1047" s="80">
        <v>14</v>
      </c>
      <c r="D1047" s="80" t="s">
        <v>2915</v>
      </c>
      <c r="E1047" s="80">
        <v>796</v>
      </c>
      <c r="F1047" s="80">
        <v>1.18</v>
      </c>
      <c r="G1047" s="80">
        <v>1</v>
      </c>
      <c r="H1047" s="80">
        <v>1</v>
      </c>
      <c r="I1047" s="80">
        <v>840</v>
      </c>
    </row>
    <row r="1048" spans="1:9" x14ac:dyDescent="0.25">
      <c r="A1048" s="80">
        <v>1047</v>
      </c>
      <c r="B1048" s="80">
        <v>167</v>
      </c>
      <c r="C1048" s="80">
        <v>1</v>
      </c>
      <c r="D1048" s="80" t="s">
        <v>78</v>
      </c>
      <c r="E1048" s="80">
        <v>796</v>
      </c>
      <c r="F1048" s="80">
        <v>1.33</v>
      </c>
      <c r="G1048" s="80">
        <v>3</v>
      </c>
      <c r="H1048" s="80">
        <v>3</v>
      </c>
      <c r="I1048" s="80">
        <v>840</v>
      </c>
    </row>
    <row r="1049" spans="1:9" x14ac:dyDescent="0.25">
      <c r="A1049" s="80">
        <v>1048</v>
      </c>
      <c r="B1049" s="80">
        <v>167</v>
      </c>
      <c r="C1049" s="80">
        <v>2</v>
      </c>
      <c r="D1049" s="80" t="s">
        <v>82</v>
      </c>
      <c r="E1049" s="80">
        <v>796</v>
      </c>
      <c r="F1049" s="80">
        <v>1.33</v>
      </c>
      <c r="G1049" s="80">
        <v>1</v>
      </c>
      <c r="H1049" s="80">
        <v>2</v>
      </c>
      <c r="I1049" s="80">
        <v>840</v>
      </c>
    </row>
    <row r="1050" spans="1:9" x14ac:dyDescent="0.25">
      <c r="A1050" s="80">
        <v>1049</v>
      </c>
      <c r="B1050" s="80">
        <v>167</v>
      </c>
      <c r="C1050" s="80">
        <v>3</v>
      </c>
      <c r="D1050" s="80" t="s">
        <v>94</v>
      </c>
      <c r="E1050" s="80">
        <v>796</v>
      </c>
      <c r="F1050" s="80">
        <v>1.33</v>
      </c>
      <c r="G1050" s="80">
        <v>2</v>
      </c>
      <c r="H1050" s="80">
        <v>4</v>
      </c>
      <c r="I1050" s="80">
        <v>840</v>
      </c>
    </row>
    <row r="1051" spans="1:9" x14ac:dyDescent="0.25">
      <c r="A1051" s="80">
        <v>1050</v>
      </c>
      <c r="B1051" s="80">
        <v>167</v>
      </c>
      <c r="C1051" s="80">
        <v>4</v>
      </c>
      <c r="D1051" s="80" t="s">
        <v>84</v>
      </c>
      <c r="E1051" s="80">
        <v>796</v>
      </c>
      <c r="F1051" s="80">
        <v>1.33</v>
      </c>
      <c r="G1051" s="80">
        <v>1</v>
      </c>
      <c r="H1051" s="80">
        <v>1</v>
      </c>
      <c r="I1051" s="80">
        <v>840</v>
      </c>
    </row>
    <row r="1052" spans="1:9" x14ac:dyDescent="0.25">
      <c r="A1052" s="80">
        <v>1051</v>
      </c>
      <c r="B1052" s="80">
        <v>167</v>
      </c>
      <c r="C1052" s="80">
        <v>5</v>
      </c>
      <c r="D1052" s="80" t="s">
        <v>87</v>
      </c>
      <c r="E1052" s="80">
        <v>796</v>
      </c>
      <c r="F1052" s="80">
        <v>1.33</v>
      </c>
      <c r="G1052" s="80">
        <v>2</v>
      </c>
      <c r="H1052" s="80">
        <v>4</v>
      </c>
      <c r="I1052" s="80">
        <v>840</v>
      </c>
    </row>
    <row r="1053" spans="1:9" x14ac:dyDescent="0.25">
      <c r="A1053" s="80">
        <v>1052</v>
      </c>
      <c r="B1053" s="80">
        <v>167</v>
      </c>
      <c r="C1053" s="80">
        <v>6</v>
      </c>
      <c r="D1053" s="80" t="s">
        <v>87</v>
      </c>
      <c r="E1053" s="80">
        <v>796</v>
      </c>
      <c r="F1053" s="80">
        <v>1.33</v>
      </c>
      <c r="G1053" s="80">
        <v>2</v>
      </c>
      <c r="H1053" s="80">
        <v>2</v>
      </c>
      <c r="I1053" s="80">
        <v>840</v>
      </c>
    </row>
    <row r="1054" spans="1:9" x14ac:dyDescent="0.25">
      <c r="A1054" s="80">
        <v>1053</v>
      </c>
      <c r="B1054" s="80">
        <v>167</v>
      </c>
      <c r="C1054" s="80">
        <v>7</v>
      </c>
      <c r="D1054" s="80" t="s">
        <v>2915</v>
      </c>
      <c r="E1054" s="80">
        <v>796</v>
      </c>
      <c r="F1054" s="80">
        <v>1.33</v>
      </c>
      <c r="G1054" s="80">
        <v>3</v>
      </c>
      <c r="H1054" s="80">
        <v>6</v>
      </c>
      <c r="I1054" s="80">
        <v>840</v>
      </c>
    </row>
    <row r="1055" spans="1:9" x14ac:dyDescent="0.25">
      <c r="A1055" s="80">
        <v>1054</v>
      </c>
      <c r="B1055" s="80">
        <v>167</v>
      </c>
      <c r="C1055" s="80">
        <v>8</v>
      </c>
      <c r="D1055" s="80" t="s">
        <v>79</v>
      </c>
      <c r="E1055" s="80">
        <v>796</v>
      </c>
      <c r="F1055" s="80">
        <v>1.33</v>
      </c>
      <c r="G1055" s="80">
        <v>3</v>
      </c>
      <c r="H1055" s="80">
        <v>6</v>
      </c>
      <c r="I1055" s="80">
        <v>840</v>
      </c>
    </row>
    <row r="1056" spans="1:9" x14ac:dyDescent="0.25">
      <c r="A1056" s="80">
        <v>1055</v>
      </c>
      <c r="B1056" s="80">
        <v>167</v>
      </c>
      <c r="C1056" s="80">
        <v>9</v>
      </c>
      <c r="D1056" s="80" t="s">
        <v>78</v>
      </c>
      <c r="E1056" s="80">
        <v>796</v>
      </c>
      <c r="F1056" s="80">
        <v>1.33</v>
      </c>
      <c r="G1056" s="80">
        <v>2</v>
      </c>
      <c r="H1056" s="80">
        <v>2</v>
      </c>
      <c r="I1056" s="80">
        <v>840</v>
      </c>
    </row>
    <row r="1057" spans="1:9" x14ac:dyDescent="0.25">
      <c r="A1057" s="80">
        <v>1056</v>
      </c>
      <c r="B1057" s="80">
        <v>167</v>
      </c>
      <c r="C1057" s="80">
        <v>10</v>
      </c>
      <c r="D1057" s="80" t="s">
        <v>90</v>
      </c>
      <c r="E1057" s="80">
        <v>796</v>
      </c>
      <c r="F1057" s="80">
        <v>1.33</v>
      </c>
      <c r="G1057" s="80">
        <v>2</v>
      </c>
      <c r="H1057" s="80">
        <v>4</v>
      </c>
      <c r="I1057" s="80">
        <v>840</v>
      </c>
    </row>
    <row r="1058" spans="1:9" x14ac:dyDescent="0.25">
      <c r="A1058" s="80">
        <v>1057</v>
      </c>
      <c r="B1058" s="80">
        <v>168</v>
      </c>
      <c r="C1058" s="80">
        <v>1</v>
      </c>
      <c r="D1058" s="80" t="s">
        <v>231</v>
      </c>
      <c r="E1058" s="80">
        <v>796</v>
      </c>
      <c r="F1058" s="80">
        <v>1.22</v>
      </c>
      <c r="G1058" s="80">
        <v>3</v>
      </c>
      <c r="H1058" s="80">
        <v>6</v>
      </c>
      <c r="I1058" s="80">
        <v>840</v>
      </c>
    </row>
    <row r="1059" spans="1:9" x14ac:dyDescent="0.25">
      <c r="A1059" s="80">
        <v>1058</v>
      </c>
      <c r="B1059" s="80">
        <v>168</v>
      </c>
      <c r="C1059" s="80">
        <v>2</v>
      </c>
      <c r="D1059" s="80" t="s">
        <v>232</v>
      </c>
      <c r="E1059" s="80">
        <v>796</v>
      </c>
      <c r="F1059" s="80">
        <v>1.22</v>
      </c>
      <c r="G1059" s="80">
        <v>3</v>
      </c>
      <c r="H1059" s="80">
        <v>3</v>
      </c>
      <c r="I1059" s="80">
        <v>840</v>
      </c>
    </row>
    <row r="1060" spans="1:9" x14ac:dyDescent="0.25">
      <c r="A1060" s="80">
        <v>1059</v>
      </c>
      <c r="B1060" s="80">
        <v>168</v>
      </c>
      <c r="C1060" s="80">
        <v>3</v>
      </c>
      <c r="D1060" s="80" t="s">
        <v>232</v>
      </c>
      <c r="E1060" s="80">
        <v>796</v>
      </c>
      <c r="F1060" s="80">
        <v>1.22</v>
      </c>
      <c r="G1060" s="80">
        <v>3</v>
      </c>
      <c r="H1060" s="80">
        <v>3</v>
      </c>
      <c r="I1060" s="80">
        <v>840</v>
      </c>
    </row>
    <row r="1061" spans="1:9" x14ac:dyDescent="0.25">
      <c r="A1061" s="80">
        <v>1060</v>
      </c>
      <c r="B1061" s="80">
        <v>168</v>
      </c>
      <c r="C1061" s="80">
        <v>4</v>
      </c>
      <c r="D1061" s="80" t="s">
        <v>231</v>
      </c>
      <c r="E1061" s="80">
        <v>796</v>
      </c>
      <c r="F1061" s="80">
        <v>1.22</v>
      </c>
      <c r="G1061" s="80">
        <v>2</v>
      </c>
      <c r="H1061" s="80">
        <v>4</v>
      </c>
      <c r="I1061" s="80">
        <v>840</v>
      </c>
    </row>
    <row r="1062" spans="1:9" x14ac:dyDescent="0.25">
      <c r="A1062" s="80">
        <v>1061</v>
      </c>
      <c r="B1062" s="80">
        <v>168</v>
      </c>
      <c r="C1062" s="80">
        <v>5</v>
      </c>
      <c r="D1062" s="80" t="s">
        <v>96</v>
      </c>
      <c r="E1062" s="80">
        <v>796</v>
      </c>
      <c r="F1062" s="80">
        <v>1.22</v>
      </c>
      <c r="G1062" s="80">
        <v>1</v>
      </c>
      <c r="H1062" s="80">
        <v>1</v>
      </c>
      <c r="I1062" s="80">
        <v>840</v>
      </c>
    </row>
    <row r="1063" spans="1:9" x14ac:dyDescent="0.25">
      <c r="A1063" s="80">
        <v>1062</v>
      </c>
      <c r="B1063" s="80">
        <v>168</v>
      </c>
      <c r="C1063" s="80">
        <v>6</v>
      </c>
      <c r="D1063" s="80" t="s">
        <v>90</v>
      </c>
      <c r="E1063" s="80">
        <v>796</v>
      </c>
      <c r="F1063" s="80">
        <v>1.22</v>
      </c>
      <c r="G1063" s="80">
        <v>3</v>
      </c>
      <c r="H1063" s="80">
        <v>6</v>
      </c>
      <c r="I1063" s="80">
        <v>840</v>
      </c>
    </row>
    <row r="1064" spans="1:9" x14ac:dyDescent="0.25">
      <c r="A1064" s="80">
        <v>1063</v>
      </c>
      <c r="B1064" s="80">
        <v>168</v>
      </c>
      <c r="C1064" s="80">
        <v>7</v>
      </c>
      <c r="D1064" s="80" t="s">
        <v>100</v>
      </c>
      <c r="E1064" s="80">
        <v>796</v>
      </c>
      <c r="F1064" s="80">
        <v>1.22</v>
      </c>
      <c r="G1064" s="80">
        <v>2</v>
      </c>
      <c r="H1064" s="80">
        <v>2</v>
      </c>
      <c r="I1064" s="80">
        <v>840</v>
      </c>
    </row>
    <row r="1065" spans="1:9" x14ac:dyDescent="0.25">
      <c r="A1065" s="80">
        <v>1064</v>
      </c>
      <c r="B1065" s="80">
        <v>168</v>
      </c>
      <c r="C1065" s="80">
        <v>8</v>
      </c>
      <c r="D1065" s="80" t="s">
        <v>91</v>
      </c>
      <c r="E1065" s="80">
        <v>796</v>
      </c>
      <c r="F1065" s="80">
        <v>1.22</v>
      </c>
      <c r="G1065" s="80">
        <v>3</v>
      </c>
      <c r="H1065" s="80">
        <v>3</v>
      </c>
      <c r="I1065" s="80">
        <v>840</v>
      </c>
    </row>
    <row r="1066" spans="1:9" x14ac:dyDescent="0.25">
      <c r="A1066" s="80">
        <v>1065</v>
      </c>
      <c r="B1066" s="80">
        <v>168</v>
      </c>
      <c r="C1066" s="80">
        <v>9</v>
      </c>
      <c r="D1066" s="80" t="s">
        <v>90</v>
      </c>
      <c r="E1066" s="80">
        <v>796</v>
      </c>
      <c r="F1066" s="80">
        <v>1.22</v>
      </c>
      <c r="G1066" s="80">
        <v>2</v>
      </c>
      <c r="H1066" s="80">
        <v>2</v>
      </c>
      <c r="I1066" s="80">
        <v>840</v>
      </c>
    </row>
    <row r="1067" spans="1:9" x14ac:dyDescent="0.25">
      <c r="A1067" s="80">
        <v>1066</v>
      </c>
      <c r="B1067" s="80">
        <v>168</v>
      </c>
      <c r="C1067" s="80">
        <v>10</v>
      </c>
      <c r="D1067" s="80" t="s">
        <v>96</v>
      </c>
      <c r="E1067" s="80">
        <v>796</v>
      </c>
      <c r="F1067" s="80">
        <v>1.22</v>
      </c>
      <c r="G1067" s="80">
        <v>2</v>
      </c>
      <c r="H1067" s="80">
        <v>4</v>
      </c>
      <c r="I1067" s="80">
        <v>840</v>
      </c>
    </row>
    <row r="1068" spans="1:9" x14ac:dyDescent="0.25">
      <c r="A1068" s="80">
        <v>1067</v>
      </c>
      <c r="B1068" s="80">
        <v>169</v>
      </c>
      <c r="C1068" s="80">
        <v>1</v>
      </c>
      <c r="D1068" s="80" t="s">
        <v>359</v>
      </c>
      <c r="E1068" s="80">
        <v>796</v>
      </c>
      <c r="F1068" s="80">
        <v>0.95</v>
      </c>
      <c r="G1068" s="80">
        <v>3</v>
      </c>
      <c r="H1068" s="80">
        <v>6</v>
      </c>
      <c r="I1068" s="80">
        <v>840</v>
      </c>
    </row>
    <row r="1069" spans="1:9" x14ac:dyDescent="0.25">
      <c r="A1069" s="80">
        <v>1068</v>
      </c>
      <c r="B1069" s="80">
        <v>169</v>
      </c>
      <c r="C1069" s="80">
        <v>2</v>
      </c>
      <c r="D1069" s="80" t="s">
        <v>92</v>
      </c>
      <c r="E1069" s="80">
        <v>796</v>
      </c>
      <c r="F1069" s="80">
        <v>0.95</v>
      </c>
      <c r="G1069" s="80">
        <v>2</v>
      </c>
      <c r="H1069" s="80">
        <v>2</v>
      </c>
      <c r="I1069" s="80">
        <v>840</v>
      </c>
    </row>
    <row r="1070" spans="1:9" x14ac:dyDescent="0.25">
      <c r="A1070" s="80">
        <v>1069</v>
      </c>
      <c r="B1070" s="80">
        <v>169</v>
      </c>
      <c r="C1070" s="80">
        <v>3</v>
      </c>
      <c r="D1070" s="80" t="s">
        <v>96</v>
      </c>
      <c r="E1070" s="80">
        <v>796</v>
      </c>
      <c r="F1070" s="80">
        <v>0.95</v>
      </c>
      <c r="G1070" s="80">
        <v>2</v>
      </c>
      <c r="H1070" s="80">
        <v>2</v>
      </c>
      <c r="I1070" s="80">
        <v>840</v>
      </c>
    </row>
    <row r="1071" spans="1:9" x14ac:dyDescent="0.25">
      <c r="A1071" s="80">
        <v>1070</v>
      </c>
      <c r="B1071" s="80">
        <v>169</v>
      </c>
      <c r="C1071" s="80">
        <v>4</v>
      </c>
      <c r="D1071" s="80" t="s">
        <v>83</v>
      </c>
      <c r="E1071" s="80">
        <v>796</v>
      </c>
      <c r="F1071" s="80">
        <v>0.95</v>
      </c>
      <c r="G1071" s="80">
        <v>2</v>
      </c>
      <c r="H1071" s="80">
        <v>2</v>
      </c>
      <c r="I1071" s="80">
        <v>840</v>
      </c>
    </row>
    <row r="1072" spans="1:9" x14ac:dyDescent="0.25">
      <c r="A1072" s="80">
        <v>1071</v>
      </c>
      <c r="B1072" s="80">
        <v>169</v>
      </c>
      <c r="C1072" s="80">
        <v>5</v>
      </c>
      <c r="D1072" s="80" t="s">
        <v>90</v>
      </c>
      <c r="E1072" s="80">
        <v>796</v>
      </c>
      <c r="F1072" s="80">
        <v>0.95</v>
      </c>
      <c r="G1072" s="80">
        <v>1</v>
      </c>
      <c r="H1072" s="80">
        <v>2</v>
      </c>
      <c r="I1072" s="80">
        <v>840</v>
      </c>
    </row>
    <row r="1073" spans="1:9" x14ac:dyDescent="0.25">
      <c r="A1073" s="80">
        <v>1072</v>
      </c>
      <c r="B1073" s="80">
        <v>169</v>
      </c>
      <c r="C1073" s="80">
        <v>6</v>
      </c>
      <c r="D1073" s="80" t="s">
        <v>96</v>
      </c>
      <c r="E1073" s="80">
        <v>796</v>
      </c>
      <c r="F1073" s="80">
        <v>0.95</v>
      </c>
      <c r="G1073" s="80">
        <v>2</v>
      </c>
      <c r="H1073" s="80">
        <v>2</v>
      </c>
      <c r="I1073" s="80">
        <v>840</v>
      </c>
    </row>
    <row r="1074" spans="1:9" x14ac:dyDescent="0.25">
      <c r="A1074" s="80">
        <v>1073</v>
      </c>
      <c r="B1074" s="80">
        <v>169</v>
      </c>
      <c r="C1074" s="80">
        <v>7</v>
      </c>
      <c r="D1074" s="80" t="s">
        <v>90</v>
      </c>
      <c r="E1074" s="80">
        <v>796</v>
      </c>
      <c r="F1074" s="80">
        <v>0.95</v>
      </c>
      <c r="G1074" s="80">
        <v>1</v>
      </c>
      <c r="H1074" s="80">
        <v>1</v>
      </c>
      <c r="I1074" s="80">
        <v>840</v>
      </c>
    </row>
    <row r="1075" spans="1:9" x14ac:dyDescent="0.25">
      <c r="A1075" s="80">
        <v>1074</v>
      </c>
      <c r="B1075" s="80">
        <v>169</v>
      </c>
      <c r="C1075" s="80">
        <v>8</v>
      </c>
      <c r="D1075" s="80" t="s">
        <v>82</v>
      </c>
      <c r="E1075" s="80">
        <v>796</v>
      </c>
      <c r="F1075" s="80">
        <v>0.95</v>
      </c>
      <c r="G1075" s="80">
        <v>3</v>
      </c>
      <c r="H1075" s="80">
        <v>6</v>
      </c>
      <c r="I1075" s="80">
        <v>840</v>
      </c>
    </row>
    <row r="1076" spans="1:9" x14ac:dyDescent="0.25">
      <c r="A1076" s="80">
        <v>1075</v>
      </c>
      <c r="B1076" s="80">
        <v>169</v>
      </c>
      <c r="C1076" s="80">
        <v>9</v>
      </c>
      <c r="D1076" s="80" t="s">
        <v>90</v>
      </c>
      <c r="E1076" s="80">
        <v>796</v>
      </c>
      <c r="F1076" s="80">
        <v>0.95</v>
      </c>
      <c r="G1076" s="80">
        <v>1</v>
      </c>
      <c r="H1076" s="80">
        <v>1</v>
      </c>
      <c r="I1076" s="80">
        <v>840</v>
      </c>
    </row>
    <row r="1077" spans="1:9" x14ac:dyDescent="0.25">
      <c r="A1077" s="80">
        <v>1076</v>
      </c>
      <c r="B1077" s="80">
        <v>169</v>
      </c>
      <c r="C1077" s="80">
        <v>10</v>
      </c>
      <c r="D1077" s="80" t="s">
        <v>102</v>
      </c>
      <c r="E1077" s="80">
        <v>796</v>
      </c>
      <c r="F1077" s="80">
        <v>0.95</v>
      </c>
      <c r="G1077" s="80">
        <v>1</v>
      </c>
      <c r="H1077" s="80">
        <v>1</v>
      </c>
      <c r="I1077" s="80">
        <v>840</v>
      </c>
    </row>
    <row r="1078" spans="1:9" x14ac:dyDescent="0.25">
      <c r="A1078" s="80">
        <v>1077</v>
      </c>
      <c r="B1078" s="80">
        <v>170</v>
      </c>
      <c r="C1078" s="80">
        <v>1</v>
      </c>
      <c r="D1078" s="80" t="s">
        <v>87</v>
      </c>
      <c r="E1078" s="80">
        <v>796</v>
      </c>
      <c r="F1078" s="80">
        <v>1.1399999999999999</v>
      </c>
      <c r="G1078" s="80">
        <v>1</v>
      </c>
      <c r="H1078" s="80">
        <v>2</v>
      </c>
      <c r="I1078" s="80">
        <v>840</v>
      </c>
    </row>
    <row r="1079" spans="1:9" x14ac:dyDescent="0.25">
      <c r="A1079" s="80">
        <v>1078</v>
      </c>
      <c r="B1079" s="80">
        <v>170</v>
      </c>
      <c r="C1079" s="80">
        <v>2</v>
      </c>
      <c r="D1079" s="80" t="s">
        <v>82</v>
      </c>
      <c r="E1079" s="80">
        <v>796</v>
      </c>
      <c r="F1079" s="80">
        <v>1.1399999999999999</v>
      </c>
      <c r="G1079" s="80">
        <v>3</v>
      </c>
      <c r="H1079" s="80">
        <v>6</v>
      </c>
      <c r="I1079" s="80">
        <v>840</v>
      </c>
    </row>
    <row r="1080" spans="1:9" x14ac:dyDescent="0.25">
      <c r="A1080" s="80">
        <v>1079</v>
      </c>
      <c r="B1080" s="80">
        <v>170</v>
      </c>
      <c r="C1080" s="80">
        <v>3</v>
      </c>
      <c r="D1080" s="80" t="s">
        <v>101</v>
      </c>
      <c r="E1080" s="80">
        <v>796</v>
      </c>
      <c r="F1080" s="80">
        <v>1.1399999999999999</v>
      </c>
      <c r="G1080" s="80">
        <v>2</v>
      </c>
      <c r="H1080" s="80">
        <v>2</v>
      </c>
      <c r="I1080" s="80">
        <v>840</v>
      </c>
    </row>
    <row r="1081" spans="1:9" x14ac:dyDescent="0.25">
      <c r="A1081" s="80">
        <v>1080</v>
      </c>
      <c r="B1081" s="80">
        <v>170</v>
      </c>
      <c r="C1081" s="80">
        <v>4</v>
      </c>
      <c r="D1081" s="80" t="s">
        <v>96</v>
      </c>
      <c r="E1081" s="80">
        <v>796</v>
      </c>
      <c r="F1081" s="80">
        <v>1.1399999999999999</v>
      </c>
      <c r="G1081" s="80">
        <v>1</v>
      </c>
      <c r="H1081" s="80">
        <v>2</v>
      </c>
      <c r="I1081" s="80">
        <v>840</v>
      </c>
    </row>
    <row r="1082" spans="1:9" x14ac:dyDescent="0.25">
      <c r="A1082" s="80">
        <v>1081</v>
      </c>
      <c r="B1082" s="80">
        <v>170</v>
      </c>
      <c r="C1082" s="80">
        <v>5</v>
      </c>
      <c r="D1082" s="80" t="s">
        <v>100</v>
      </c>
      <c r="E1082" s="80">
        <v>796</v>
      </c>
      <c r="F1082" s="80">
        <v>1.1399999999999999</v>
      </c>
      <c r="G1082" s="80">
        <v>3</v>
      </c>
      <c r="H1082" s="80">
        <v>6</v>
      </c>
      <c r="I1082" s="80">
        <v>840</v>
      </c>
    </row>
    <row r="1083" spans="1:9" x14ac:dyDescent="0.25">
      <c r="A1083" s="80">
        <v>1082</v>
      </c>
      <c r="B1083" s="80">
        <v>171</v>
      </c>
      <c r="C1083" s="80">
        <v>1</v>
      </c>
      <c r="D1083" s="80" t="s">
        <v>79</v>
      </c>
      <c r="E1083" s="80">
        <v>796</v>
      </c>
      <c r="F1083" s="80">
        <v>2</v>
      </c>
      <c r="G1083" s="80">
        <v>3</v>
      </c>
      <c r="H1083" s="80">
        <v>3</v>
      </c>
      <c r="I1083" s="80">
        <v>840</v>
      </c>
    </row>
    <row r="1084" spans="1:9" x14ac:dyDescent="0.25">
      <c r="A1084" s="80">
        <v>1083</v>
      </c>
      <c r="B1084" s="80">
        <v>171</v>
      </c>
      <c r="C1084" s="80">
        <v>2</v>
      </c>
      <c r="D1084" s="80" t="s">
        <v>231</v>
      </c>
      <c r="E1084" s="80">
        <v>796</v>
      </c>
      <c r="F1084" s="80">
        <v>2</v>
      </c>
      <c r="G1084" s="80">
        <v>1</v>
      </c>
      <c r="H1084" s="80">
        <v>1</v>
      </c>
      <c r="I1084" s="80">
        <v>840</v>
      </c>
    </row>
    <row r="1085" spans="1:9" x14ac:dyDescent="0.25">
      <c r="A1085" s="80">
        <v>1084</v>
      </c>
      <c r="B1085" s="80">
        <v>171</v>
      </c>
      <c r="C1085" s="80">
        <v>3</v>
      </c>
      <c r="D1085" s="80" t="s">
        <v>88</v>
      </c>
      <c r="E1085" s="80">
        <v>796</v>
      </c>
      <c r="F1085" s="80">
        <v>2</v>
      </c>
      <c r="G1085" s="80">
        <v>3</v>
      </c>
      <c r="H1085" s="80">
        <v>3</v>
      </c>
      <c r="I1085" s="80">
        <v>840</v>
      </c>
    </row>
    <row r="1086" spans="1:9" x14ac:dyDescent="0.25">
      <c r="A1086" s="80">
        <v>1085</v>
      </c>
      <c r="B1086" s="80">
        <v>171</v>
      </c>
      <c r="C1086" s="80">
        <v>4</v>
      </c>
      <c r="D1086" s="80" t="s">
        <v>103</v>
      </c>
      <c r="E1086" s="80">
        <v>796</v>
      </c>
      <c r="F1086" s="80">
        <v>2</v>
      </c>
      <c r="G1086" s="80">
        <v>1</v>
      </c>
      <c r="H1086" s="80">
        <v>1</v>
      </c>
      <c r="I1086" s="80">
        <v>840</v>
      </c>
    </row>
    <row r="1087" spans="1:9" x14ac:dyDescent="0.25">
      <c r="A1087" s="80">
        <v>1086</v>
      </c>
      <c r="B1087" s="80">
        <v>171</v>
      </c>
      <c r="C1087" s="80">
        <v>5</v>
      </c>
      <c r="D1087" s="80" t="s">
        <v>103</v>
      </c>
      <c r="E1087" s="80">
        <v>796</v>
      </c>
      <c r="F1087" s="80">
        <v>2</v>
      </c>
      <c r="G1087" s="80">
        <v>2</v>
      </c>
      <c r="H1087" s="80">
        <v>4</v>
      </c>
      <c r="I1087" s="80">
        <v>840</v>
      </c>
    </row>
    <row r="1088" spans="1:9" x14ac:dyDescent="0.25">
      <c r="A1088" s="80">
        <v>1087</v>
      </c>
      <c r="B1088" s="80">
        <v>171</v>
      </c>
      <c r="C1088" s="80">
        <v>6</v>
      </c>
      <c r="D1088" s="80" t="s">
        <v>96</v>
      </c>
      <c r="E1088" s="80">
        <v>796</v>
      </c>
      <c r="F1088" s="80">
        <v>2</v>
      </c>
      <c r="G1088" s="80">
        <v>1</v>
      </c>
      <c r="H1088" s="80">
        <v>2</v>
      </c>
      <c r="I1088" s="80">
        <v>840</v>
      </c>
    </row>
    <row r="1089" spans="1:9" x14ac:dyDescent="0.25">
      <c r="A1089" s="80">
        <v>1088</v>
      </c>
      <c r="B1089" s="80">
        <v>171</v>
      </c>
      <c r="C1089" s="80">
        <v>7</v>
      </c>
      <c r="D1089" s="80" t="s">
        <v>90</v>
      </c>
      <c r="E1089" s="80">
        <v>796</v>
      </c>
      <c r="F1089" s="80">
        <v>2</v>
      </c>
      <c r="G1089" s="80">
        <v>2</v>
      </c>
      <c r="H1089" s="80">
        <v>4</v>
      </c>
      <c r="I1089" s="80">
        <v>840</v>
      </c>
    </row>
    <row r="1090" spans="1:9" x14ac:dyDescent="0.25">
      <c r="A1090" s="80">
        <v>1089</v>
      </c>
      <c r="B1090" s="80">
        <v>171</v>
      </c>
      <c r="C1090" s="80">
        <v>8</v>
      </c>
      <c r="D1090" s="80" t="s">
        <v>91</v>
      </c>
      <c r="E1090" s="80">
        <v>796</v>
      </c>
      <c r="F1090" s="80">
        <v>2</v>
      </c>
      <c r="G1090" s="80">
        <v>2</v>
      </c>
      <c r="H1090" s="80">
        <v>2</v>
      </c>
      <c r="I1090" s="80">
        <v>840</v>
      </c>
    </row>
    <row r="1091" spans="1:9" x14ac:dyDescent="0.25">
      <c r="A1091" s="80">
        <v>1090</v>
      </c>
      <c r="B1091" s="80">
        <v>172</v>
      </c>
      <c r="C1091" s="80">
        <v>1</v>
      </c>
      <c r="D1091" s="80" t="s">
        <v>82</v>
      </c>
      <c r="E1091" s="80">
        <v>796</v>
      </c>
      <c r="F1091" s="80">
        <v>0.84</v>
      </c>
      <c r="G1091" s="80">
        <v>1</v>
      </c>
      <c r="H1091" s="80">
        <v>1</v>
      </c>
      <c r="I1091" s="80">
        <v>840</v>
      </c>
    </row>
    <row r="1092" spans="1:9" x14ac:dyDescent="0.25">
      <c r="A1092" s="80">
        <v>1091</v>
      </c>
      <c r="B1092" s="80">
        <v>172</v>
      </c>
      <c r="C1092" s="80">
        <v>2</v>
      </c>
      <c r="D1092" s="80" t="s">
        <v>102</v>
      </c>
      <c r="E1092" s="80">
        <v>796</v>
      </c>
      <c r="F1092" s="80">
        <v>0.84</v>
      </c>
      <c r="G1092" s="80">
        <v>3</v>
      </c>
      <c r="H1092" s="80">
        <v>6</v>
      </c>
      <c r="I1092" s="80">
        <v>840</v>
      </c>
    </row>
    <row r="1093" spans="1:9" x14ac:dyDescent="0.25">
      <c r="A1093" s="80">
        <v>1092</v>
      </c>
      <c r="B1093" s="80">
        <v>172</v>
      </c>
      <c r="C1093" s="80">
        <v>3</v>
      </c>
      <c r="D1093" s="80" t="s">
        <v>101</v>
      </c>
      <c r="E1093" s="80">
        <v>796</v>
      </c>
      <c r="F1093" s="80">
        <v>0.84</v>
      </c>
      <c r="G1093" s="80">
        <v>3</v>
      </c>
      <c r="H1093" s="80">
        <v>6</v>
      </c>
      <c r="I1093" s="80">
        <v>840</v>
      </c>
    </row>
    <row r="1094" spans="1:9" x14ac:dyDescent="0.25">
      <c r="A1094" s="80">
        <v>1093</v>
      </c>
      <c r="B1094" s="80">
        <v>172</v>
      </c>
      <c r="C1094" s="80">
        <v>4</v>
      </c>
      <c r="D1094" s="80" t="s">
        <v>103</v>
      </c>
      <c r="E1094" s="80">
        <v>796</v>
      </c>
      <c r="F1094" s="80">
        <v>0.84</v>
      </c>
      <c r="G1094" s="80">
        <v>2</v>
      </c>
      <c r="H1094" s="80">
        <v>2</v>
      </c>
      <c r="I1094" s="80">
        <v>840</v>
      </c>
    </row>
    <row r="1095" spans="1:9" x14ac:dyDescent="0.25">
      <c r="A1095" s="80">
        <v>1094</v>
      </c>
      <c r="B1095" s="80">
        <v>172</v>
      </c>
      <c r="C1095" s="80">
        <v>5</v>
      </c>
      <c r="D1095" s="80" t="s">
        <v>93</v>
      </c>
      <c r="E1095" s="80">
        <v>796</v>
      </c>
      <c r="F1095" s="80">
        <v>0.84</v>
      </c>
      <c r="G1095" s="80">
        <v>1</v>
      </c>
      <c r="H1095" s="80">
        <v>1</v>
      </c>
      <c r="I1095" s="80">
        <v>840</v>
      </c>
    </row>
    <row r="1096" spans="1:9" x14ac:dyDescent="0.25">
      <c r="A1096" s="80">
        <v>1095</v>
      </c>
      <c r="B1096" s="80">
        <v>172</v>
      </c>
      <c r="C1096" s="80">
        <v>6</v>
      </c>
      <c r="D1096" s="80" t="s">
        <v>96</v>
      </c>
      <c r="E1096" s="80">
        <v>796</v>
      </c>
      <c r="F1096" s="80">
        <v>0.84</v>
      </c>
      <c r="G1096" s="80">
        <v>3</v>
      </c>
      <c r="H1096" s="80">
        <v>3</v>
      </c>
      <c r="I1096" s="80">
        <v>840</v>
      </c>
    </row>
    <row r="1097" spans="1:9" x14ac:dyDescent="0.25">
      <c r="A1097" s="80">
        <v>1096</v>
      </c>
      <c r="B1097" s="80">
        <v>172</v>
      </c>
      <c r="C1097" s="80">
        <v>7</v>
      </c>
      <c r="D1097" s="80" t="s">
        <v>232</v>
      </c>
      <c r="E1097" s="80">
        <v>796</v>
      </c>
      <c r="F1097" s="80">
        <v>0.84</v>
      </c>
      <c r="G1097" s="80">
        <v>1</v>
      </c>
      <c r="H1097" s="80">
        <v>1</v>
      </c>
      <c r="I1097" s="80">
        <v>840</v>
      </c>
    </row>
    <row r="1098" spans="1:9" x14ac:dyDescent="0.25">
      <c r="A1098" s="80">
        <v>1097</v>
      </c>
      <c r="B1098" s="80">
        <v>172</v>
      </c>
      <c r="C1098" s="80">
        <v>8</v>
      </c>
      <c r="D1098" s="80" t="s">
        <v>232</v>
      </c>
      <c r="E1098" s="80">
        <v>796</v>
      </c>
      <c r="F1098" s="80">
        <v>0.84</v>
      </c>
      <c r="G1098" s="80">
        <v>2</v>
      </c>
      <c r="H1098" s="80">
        <v>2</v>
      </c>
      <c r="I1098" s="80">
        <v>840</v>
      </c>
    </row>
    <row r="1099" spans="1:9" x14ac:dyDescent="0.25">
      <c r="A1099" s="80">
        <v>1098</v>
      </c>
      <c r="B1099" s="80">
        <v>172</v>
      </c>
      <c r="C1099" s="80">
        <v>9</v>
      </c>
      <c r="D1099" s="80" t="s">
        <v>92</v>
      </c>
      <c r="E1099" s="80">
        <v>796</v>
      </c>
      <c r="F1099" s="80">
        <v>0.84</v>
      </c>
      <c r="G1099" s="80">
        <v>3</v>
      </c>
      <c r="H1099" s="80">
        <v>3</v>
      </c>
      <c r="I1099" s="80">
        <v>840</v>
      </c>
    </row>
    <row r="1100" spans="1:9" x14ac:dyDescent="0.25">
      <c r="A1100" s="80">
        <v>1099</v>
      </c>
      <c r="B1100" s="80">
        <v>172</v>
      </c>
      <c r="C1100" s="80">
        <v>10</v>
      </c>
      <c r="D1100" s="80" t="s">
        <v>78</v>
      </c>
      <c r="E1100" s="80">
        <v>796</v>
      </c>
      <c r="F1100" s="80">
        <v>0.84</v>
      </c>
      <c r="G1100" s="80">
        <v>3</v>
      </c>
      <c r="H1100" s="80">
        <v>3</v>
      </c>
      <c r="I1100" s="80">
        <v>840</v>
      </c>
    </row>
    <row r="1101" spans="1:9" x14ac:dyDescent="0.25">
      <c r="A1101" s="80">
        <v>1100</v>
      </c>
      <c r="B1101" s="80">
        <v>172</v>
      </c>
      <c r="C1101" s="80">
        <v>11</v>
      </c>
      <c r="D1101" s="80" t="s">
        <v>209</v>
      </c>
      <c r="E1101" s="80">
        <v>796</v>
      </c>
      <c r="F1101" s="80">
        <v>0.84</v>
      </c>
      <c r="G1101" s="80">
        <v>2</v>
      </c>
      <c r="H1101" s="80">
        <v>2</v>
      </c>
      <c r="I1101" s="80">
        <v>840</v>
      </c>
    </row>
    <row r="1102" spans="1:9" x14ac:dyDescent="0.25">
      <c r="A1102" s="80">
        <v>1101</v>
      </c>
      <c r="B1102" s="80">
        <v>172</v>
      </c>
      <c r="C1102" s="80">
        <v>12</v>
      </c>
      <c r="D1102" s="80" t="s">
        <v>101</v>
      </c>
      <c r="E1102" s="80">
        <v>796</v>
      </c>
      <c r="F1102" s="80">
        <v>0.84</v>
      </c>
      <c r="G1102" s="80">
        <v>1</v>
      </c>
      <c r="H1102" s="80">
        <v>1</v>
      </c>
      <c r="I1102" s="80">
        <v>840</v>
      </c>
    </row>
    <row r="1103" spans="1:9" x14ac:dyDescent="0.25">
      <c r="A1103" s="80">
        <v>1102</v>
      </c>
      <c r="B1103" s="80">
        <v>172</v>
      </c>
      <c r="C1103" s="80">
        <v>13</v>
      </c>
      <c r="D1103" s="80" t="s">
        <v>209</v>
      </c>
      <c r="E1103" s="80">
        <v>796</v>
      </c>
      <c r="F1103" s="80">
        <v>0.84</v>
      </c>
      <c r="G1103" s="80">
        <v>3</v>
      </c>
      <c r="H1103" s="80">
        <v>3</v>
      </c>
      <c r="I1103" s="80">
        <v>840</v>
      </c>
    </row>
    <row r="1104" spans="1:9" x14ac:dyDescent="0.25">
      <c r="A1104" s="80">
        <v>1103</v>
      </c>
      <c r="B1104" s="80">
        <v>172</v>
      </c>
      <c r="C1104" s="80">
        <v>14</v>
      </c>
      <c r="D1104" s="80" t="s">
        <v>95</v>
      </c>
      <c r="E1104" s="80">
        <v>796</v>
      </c>
      <c r="F1104" s="80">
        <v>0.84</v>
      </c>
      <c r="G1104" s="80">
        <v>1</v>
      </c>
      <c r="H1104" s="80">
        <v>2</v>
      </c>
      <c r="I1104" s="80">
        <v>840</v>
      </c>
    </row>
    <row r="1105" spans="1:9" x14ac:dyDescent="0.25">
      <c r="A1105" s="80">
        <v>1104</v>
      </c>
      <c r="B1105" s="80">
        <v>172</v>
      </c>
      <c r="C1105" s="80">
        <v>15</v>
      </c>
      <c r="D1105" s="80" t="s">
        <v>232</v>
      </c>
      <c r="E1105" s="80">
        <v>796</v>
      </c>
      <c r="F1105" s="80">
        <v>0.84</v>
      </c>
      <c r="G1105" s="80">
        <v>1</v>
      </c>
      <c r="H1105" s="80">
        <v>2</v>
      </c>
      <c r="I1105" s="80">
        <v>840</v>
      </c>
    </row>
    <row r="1106" spans="1:9" x14ac:dyDescent="0.25">
      <c r="A1106" s="80">
        <v>1105</v>
      </c>
      <c r="B1106" s="80">
        <v>172</v>
      </c>
      <c r="C1106" s="80">
        <v>16</v>
      </c>
      <c r="D1106" s="80" t="s">
        <v>104</v>
      </c>
      <c r="E1106" s="80">
        <v>796</v>
      </c>
      <c r="F1106" s="80">
        <v>0.84</v>
      </c>
      <c r="G1106" s="80">
        <v>2</v>
      </c>
      <c r="H1106" s="80">
        <v>2</v>
      </c>
      <c r="I1106" s="80">
        <v>840</v>
      </c>
    </row>
    <row r="1107" spans="1:9" x14ac:dyDescent="0.25">
      <c r="A1107" s="80">
        <v>1106</v>
      </c>
      <c r="B1107" s="80">
        <v>172</v>
      </c>
      <c r="C1107" s="80">
        <v>17</v>
      </c>
      <c r="D1107" s="80" t="s">
        <v>88</v>
      </c>
      <c r="E1107" s="80">
        <v>796</v>
      </c>
      <c r="F1107" s="80">
        <v>0.84</v>
      </c>
      <c r="G1107" s="80">
        <v>1</v>
      </c>
      <c r="H1107" s="80">
        <v>2</v>
      </c>
      <c r="I1107" s="80">
        <v>840</v>
      </c>
    </row>
    <row r="1108" spans="1:9" x14ac:dyDescent="0.25">
      <c r="A1108" s="80">
        <v>1107</v>
      </c>
      <c r="B1108" s="80">
        <v>172</v>
      </c>
      <c r="C1108" s="80">
        <v>18</v>
      </c>
      <c r="D1108" s="80" t="s">
        <v>84</v>
      </c>
      <c r="E1108" s="80">
        <v>796</v>
      </c>
      <c r="F1108" s="80">
        <v>0.84</v>
      </c>
      <c r="G1108" s="80">
        <v>2</v>
      </c>
      <c r="H1108" s="80">
        <v>2</v>
      </c>
      <c r="I1108" s="80">
        <v>840</v>
      </c>
    </row>
    <row r="1109" spans="1:9" x14ac:dyDescent="0.25">
      <c r="A1109" s="80">
        <v>1108</v>
      </c>
      <c r="B1109" s="80">
        <v>173</v>
      </c>
      <c r="C1109" s="80">
        <v>1</v>
      </c>
      <c r="D1109" s="80" t="s">
        <v>102</v>
      </c>
      <c r="E1109" s="80">
        <v>796</v>
      </c>
      <c r="F1109" s="80">
        <v>1.1599999999999999</v>
      </c>
      <c r="G1109" s="80">
        <v>3</v>
      </c>
      <c r="H1109" s="80">
        <v>6</v>
      </c>
      <c r="I1109" s="80">
        <v>840</v>
      </c>
    </row>
    <row r="1110" spans="1:9" x14ac:dyDescent="0.25">
      <c r="A1110" s="80">
        <v>1109</v>
      </c>
      <c r="B1110" s="80">
        <v>173</v>
      </c>
      <c r="C1110" s="80">
        <v>2</v>
      </c>
      <c r="D1110" s="80" t="s">
        <v>90</v>
      </c>
      <c r="E1110" s="80">
        <v>796</v>
      </c>
      <c r="F1110" s="80">
        <v>1.1599999999999999</v>
      </c>
      <c r="G1110" s="80">
        <v>3</v>
      </c>
      <c r="H1110" s="80">
        <v>6</v>
      </c>
      <c r="I1110" s="80">
        <v>840</v>
      </c>
    </row>
    <row r="1111" spans="1:9" x14ac:dyDescent="0.25">
      <c r="A1111" s="80">
        <v>1110</v>
      </c>
      <c r="B1111" s="80">
        <v>173</v>
      </c>
      <c r="C1111" s="80">
        <v>3</v>
      </c>
      <c r="D1111" s="80" t="s">
        <v>102</v>
      </c>
      <c r="E1111" s="80">
        <v>796</v>
      </c>
      <c r="F1111" s="80">
        <v>1.1599999999999999</v>
      </c>
      <c r="G1111" s="80">
        <v>2</v>
      </c>
      <c r="H1111" s="80">
        <v>4</v>
      </c>
      <c r="I1111" s="80">
        <v>840</v>
      </c>
    </row>
    <row r="1112" spans="1:9" x14ac:dyDescent="0.25">
      <c r="A1112" s="80">
        <v>1111</v>
      </c>
      <c r="B1112" s="80">
        <v>173</v>
      </c>
      <c r="C1112" s="80">
        <v>4</v>
      </c>
      <c r="D1112" s="80" t="s">
        <v>106</v>
      </c>
      <c r="E1112" s="80">
        <v>796</v>
      </c>
      <c r="F1112" s="80">
        <v>1.1599999999999999</v>
      </c>
      <c r="G1112" s="80">
        <v>3</v>
      </c>
      <c r="H1112" s="80">
        <v>6</v>
      </c>
      <c r="I1112" s="80">
        <v>840</v>
      </c>
    </row>
    <row r="1113" spans="1:9" x14ac:dyDescent="0.25">
      <c r="A1113" s="80">
        <v>1112</v>
      </c>
      <c r="B1113" s="80">
        <v>173</v>
      </c>
      <c r="C1113" s="80">
        <v>5</v>
      </c>
      <c r="D1113" s="80" t="s">
        <v>231</v>
      </c>
      <c r="E1113" s="80">
        <v>796</v>
      </c>
      <c r="F1113" s="80">
        <v>1.1599999999999999</v>
      </c>
      <c r="G1113" s="80">
        <v>3</v>
      </c>
      <c r="H1113" s="80">
        <v>6</v>
      </c>
      <c r="I1113" s="80">
        <v>840</v>
      </c>
    </row>
    <row r="1114" spans="1:9" x14ac:dyDescent="0.25">
      <c r="A1114" s="80">
        <v>1113</v>
      </c>
      <c r="B1114" s="80">
        <v>173</v>
      </c>
      <c r="C1114" s="80">
        <v>6</v>
      </c>
      <c r="D1114" s="80" t="s">
        <v>103</v>
      </c>
      <c r="E1114" s="80">
        <v>796</v>
      </c>
      <c r="F1114" s="80">
        <v>1.1599999999999999</v>
      </c>
      <c r="G1114" s="80">
        <v>1</v>
      </c>
      <c r="H1114" s="80">
        <v>2</v>
      </c>
      <c r="I1114" s="80">
        <v>840</v>
      </c>
    </row>
    <row r="1115" spans="1:9" x14ac:dyDescent="0.25">
      <c r="A1115" s="80">
        <v>1114</v>
      </c>
      <c r="B1115" s="80">
        <v>173</v>
      </c>
      <c r="C1115" s="80">
        <v>7</v>
      </c>
      <c r="D1115" s="80" t="s">
        <v>2915</v>
      </c>
      <c r="E1115" s="80">
        <v>796</v>
      </c>
      <c r="F1115" s="80">
        <v>1.1599999999999999</v>
      </c>
      <c r="G1115" s="80">
        <v>3</v>
      </c>
      <c r="H1115" s="80">
        <v>3</v>
      </c>
      <c r="I1115" s="80">
        <v>840</v>
      </c>
    </row>
    <row r="1116" spans="1:9" x14ac:dyDescent="0.25">
      <c r="A1116" s="80">
        <v>1115</v>
      </c>
      <c r="B1116" s="80">
        <v>174</v>
      </c>
      <c r="C1116" s="80">
        <v>1</v>
      </c>
      <c r="D1116" s="80" t="s">
        <v>3021</v>
      </c>
      <c r="E1116" s="80">
        <v>796</v>
      </c>
      <c r="F1116" s="80">
        <v>0.9</v>
      </c>
      <c r="G1116" s="80">
        <v>2</v>
      </c>
      <c r="H1116" s="80">
        <v>2</v>
      </c>
      <c r="I1116" s="80">
        <v>840</v>
      </c>
    </row>
    <row r="1117" spans="1:9" x14ac:dyDescent="0.25">
      <c r="A1117" s="80">
        <v>1116</v>
      </c>
      <c r="B1117" s="80">
        <v>174</v>
      </c>
      <c r="C1117" s="80">
        <v>2</v>
      </c>
      <c r="D1117" s="80" t="s">
        <v>86</v>
      </c>
      <c r="E1117" s="80">
        <v>796</v>
      </c>
      <c r="F1117" s="80">
        <v>0.9</v>
      </c>
      <c r="G1117" s="80">
        <v>3</v>
      </c>
      <c r="H1117" s="80">
        <v>6</v>
      </c>
      <c r="I1117" s="80">
        <v>840</v>
      </c>
    </row>
    <row r="1118" spans="1:9" x14ac:dyDescent="0.25">
      <c r="A1118" s="80">
        <v>1117</v>
      </c>
      <c r="B1118" s="80">
        <v>174</v>
      </c>
      <c r="C1118" s="80">
        <v>3</v>
      </c>
      <c r="D1118" s="80" t="s">
        <v>101</v>
      </c>
      <c r="E1118" s="80">
        <v>796</v>
      </c>
      <c r="F1118" s="80">
        <v>0.9</v>
      </c>
      <c r="G1118" s="80">
        <v>3</v>
      </c>
      <c r="H1118" s="80">
        <v>3</v>
      </c>
      <c r="I1118" s="80">
        <v>840</v>
      </c>
    </row>
    <row r="1119" spans="1:9" x14ac:dyDescent="0.25">
      <c r="A1119" s="80">
        <v>1118</v>
      </c>
      <c r="B1119" s="80">
        <v>174</v>
      </c>
      <c r="C1119" s="80">
        <v>4</v>
      </c>
      <c r="D1119" s="80" t="s">
        <v>84</v>
      </c>
      <c r="E1119" s="80">
        <v>796</v>
      </c>
      <c r="F1119" s="80">
        <v>0.9</v>
      </c>
      <c r="G1119" s="80">
        <v>1</v>
      </c>
      <c r="H1119" s="80">
        <v>1</v>
      </c>
      <c r="I1119" s="80">
        <v>840</v>
      </c>
    </row>
    <row r="1120" spans="1:9" x14ac:dyDescent="0.25">
      <c r="A1120" s="80">
        <v>1119</v>
      </c>
      <c r="B1120" s="80">
        <v>174</v>
      </c>
      <c r="C1120" s="80">
        <v>5</v>
      </c>
      <c r="D1120" s="80" t="s">
        <v>359</v>
      </c>
      <c r="E1120" s="80">
        <v>796</v>
      </c>
      <c r="F1120" s="80">
        <v>0.9</v>
      </c>
      <c r="G1120" s="80">
        <v>2</v>
      </c>
      <c r="H1120" s="80">
        <v>4</v>
      </c>
      <c r="I1120" s="80">
        <v>840</v>
      </c>
    </row>
    <row r="1121" spans="1:9" x14ac:dyDescent="0.25">
      <c r="A1121" s="80">
        <v>1120</v>
      </c>
      <c r="B1121" s="80">
        <v>174</v>
      </c>
      <c r="C1121" s="80">
        <v>6</v>
      </c>
      <c r="D1121" s="80" t="s">
        <v>85</v>
      </c>
      <c r="E1121" s="80">
        <v>796</v>
      </c>
      <c r="F1121" s="80">
        <v>0.9</v>
      </c>
      <c r="G1121" s="80">
        <v>3</v>
      </c>
      <c r="H1121" s="80">
        <v>6</v>
      </c>
      <c r="I1121" s="80">
        <v>840</v>
      </c>
    </row>
    <row r="1122" spans="1:9" x14ac:dyDescent="0.25">
      <c r="A1122" s="80">
        <v>1121</v>
      </c>
      <c r="B1122" s="80">
        <v>174</v>
      </c>
      <c r="C1122" s="80">
        <v>7</v>
      </c>
      <c r="D1122" s="80" t="s">
        <v>89</v>
      </c>
      <c r="E1122" s="80">
        <v>796</v>
      </c>
      <c r="F1122" s="80">
        <v>0.9</v>
      </c>
      <c r="G1122" s="80">
        <v>1</v>
      </c>
      <c r="H1122" s="80">
        <v>1</v>
      </c>
      <c r="I1122" s="80">
        <v>840</v>
      </c>
    </row>
    <row r="1123" spans="1:9" x14ac:dyDescent="0.25">
      <c r="A1123" s="80">
        <v>1122</v>
      </c>
      <c r="B1123" s="80">
        <v>174</v>
      </c>
      <c r="C1123" s="80">
        <v>8</v>
      </c>
      <c r="D1123" s="80" t="s">
        <v>100</v>
      </c>
      <c r="E1123" s="80">
        <v>796</v>
      </c>
      <c r="F1123" s="80">
        <v>0.9</v>
      </c>
      <c r="G1123" s="80">
        <v>1</v>
      </c>
      <c r="H1123" s="80">
        <v>2</v>
      </c>
      <c r="I1123" s="80">
        <v>840</v>
      </c>
    </row>
    <row r="1124" spans="1:9" x14ac:dyDescent="0.25">
      <c r="A1124" s="80">
        <v>1123</v>
      </c>
      <c r="B1124" s="80">
        <v>174</v>
      </c>
      <c r="C1124" s="80">
        <v>9</v>
      </c>
      <c r="D1124" s="80" t="s">
        <v>83</v>
      </c>
      <c r="E1124" s="80">
        <v>796</v>
      </c>
      <c r="F1124" s="80">
        <v>0.9</v>
      </c>
      <c r="G1124" s="80">
        <v>3</v>
      </c>
      <c r="H1124" s="80">
        <v>3</v>
      </c>
      <c r="I1124" s="80">
        <v>840</v>
      </c>
    </row>
    <row r="1125" spans="1:9" x14ac:dyDescent="0.25">
      <c r="A1125" s="80">
        <v>1124</v>
      </c>
      <c r="B1125" s="80">
        <v>174</v>
      </c>
      <c r="C1125" s="80">
        <v>10</v>
      </c>
      <c r="D1125" s="80" t="s">
        <v>102</v>
      </c>
      <c r="E1125" s="80">
        <v>796</v>
      </c>
      <c r="F1125" s="80">
        <v>0.9</v>
      </c>
      <c r="G1125" s="80">
        <v>2</v>
      </c>
      <c r="H1125" s="80">
        <v>4</v>
      </c>
      <c r="I1125" s="80">
        <v>840</v>
      </c>
    </row>
    <row r="1126" spans="1:9" x14ac:dyDescent="0.25">
      <c r="A1126" s="80">
        <v>1125</v>
      </c>
      <c r="B1126" s="80">
        <v>175</v>
      </c>
      <c r="C1126" s="80">
        <v>1</v>
      </c>
      <c r="D1126" s="80" t="s">
        <v>81</v>
      </c>
      <c r="E1126" s="80">
        <v>796</v>
      </c>
      <c r="F1126" s="80">
        <v>1</v>
      </c>
      <c r="G1126" s="80">
        <v>1</v>
      </c>
      <c r="H1126" s="80">
        <v>1</v>
      </c>
      <c r="I1126" s="80">
        <v>840</v>
      </c>
    </row>
    <row r="1127" spans="1:9" x14ac:dyDescent="0.25">
      <c r="A1127" s="80">
        <v>1126</v>
      </c>
      <c r="B1127" s="80">
        <v>175</v>
      </c>
      <c r="C1127" s="80">
        <v>2</v>
      </c>
      <c r="D1127" s="80" t="s">
        <v>95</v>
      </c>
      <c r="E1127" s="80">
        <v>796</v>
      </c>
      <c r="F1127" s="80">
        <v>1</v>
      </c>
      <c r="G1127" s="80">
        <v>3</v>
      </c>
      <c r="H1127" s="80">
        <v>3</v>
      </c>
      <c r="I1127" s="80">
        <v>840</v>
      </c>
    </row>
    <row r="1128" spans="1:9" x14ac:dyDescent="0.25">
      <c r="A1128" s="80">
        <v>1127</v>
      </c>
      <c r="B1128" s="80">
        <v>175</v>
      </c>
      <c r="C1128" s="80">
        <v>3</v>
      </c>
      <c r="D1128" s="80" t="s">
        <v>89</v>
      </c>
      <c r="E1128" s="80">
        <v>796</v>
      </c>
      <c r="F1128" s="80">
        <v>1</v>
      </c>
      <c r="G1128" s="80">
        <v>2</v>
      </c>
      <c r="H1128" s="80">
        <v>4</v>
      </c>
      <c r="I1128" s="80">
        <v>840</v>
      </c>
    </row>
    <row r="1129" spans="1:9" x14ac:dyDescent="0.25">
      <c r="A1129" s="80">
        <v>1128</v>
      </c>
      <c r="B1129" s="80">
        <v>175</v>
      </c>
      <c r="C1129" s="80">
        <v>4</v>
      </c>
      <c r="D1129" s="80" t="s">
        <v>93</v>
      </c>
      <c r="E1129" s="80">
        <v>796</v>
      </c>
      <c r="F1129" s="80">
        <v>1</v>
      </c>
      <c r="G1129" s="80">
        <v>2</v>
      </c>
      <c r="H1129" s="80">
        <v>4</v>
      </c>
      <c r="I1129" s="80">
        <v>840</v>
      </c>
    </row>
    <row r="1130" spans="1:9" x14ac:dyDescent="0.25">
      <c r="A1130" s="80">
        <v>1129</v>
      </c>
      <c r="B1130" s="80">
        <v>175</v>
      </c>
      <c r="C1130" s="80">
        <v>5</v>
      </c>
      <c r="D1130" s="80" t="s">
        <v>92</v>
      </c>
      <c r="E1130" s="80">
        <v>796</v>
      </c>
      <c r="F1130" s="80">
        <v>1</v>
      </c>
      <c r="G1130" s="80">
        <v>2</v>
      </c>
      <c r="H1130" s="80">
        <v>4</v>
      </c>
      <c r="I1130" s="80">
        <v>840</v>
      </c>
    </row>
    <row r="1131" spans="1:9" x14ac:dyDescent="0.25">
      <c r="A1131" s="80">
        <v>1130</v>
      </c>
      <c r="B1131" s="80">
        <v>176</v>
      </c>
      <c r="C1131" s="80">
        <v>1</v>
      </c>
      <c r="D1131" s="80" t="s">
        <v>81</v>
      </c>
      <c r="E1131" s="80">
        <v>796</v>
      </c>
      <c r="F1131" s="80">
        <v>1</v>
      </c>
      <c r="G1131" s="80">
        <v>2</v>
      </c>
      <c r="H1131" s="80">
        <v>4</v>
      </c>
      <c r="I1131" s="80">
        <v>840</v>
      </c>
    </row>
    <row r="1132" spans="1:9" x14ac:dyDescent="0.25">
      <c r="A1132" s="80">
        <v>1131</v>
      </c>
      <c r="B1132" s="80">
        <v>176</v>
      </c>
      <c r="C1132" s="80">
        <v>2</v>
      </c>
      <c r="D1132" s="80" t="s">
        <v>95</v>
      </c>
      <c r="E1132" s="80">
        <v>796</v>
      </c>
      <c r="F1132" s="80">
        <v>1</v>
      </c>
      <c r="G1132" s="80">
        <v>1</v>
      </c>
      <c r="H1132" s="80">
        <v>1</v>
      </c>
      <c r="I1132" s="80">
        <v>840</v>
      </c>
    </row>
    <row r="1133" spans="1:9" x14ac:dyDescent="0.25">
      <c r="A1133" s="80">
        <v>1132</v>
      </c>
      <c r="B1133" s="80">
        <v>176</v>
      </c>
      <c r="C1133" s="80">
        <v>3</v>
      </c>
      <c r="D1133" s="80" t="s">
        <v>89</v>
      </c>
      <c r="E1133" s="80">
        <v>796</v>
      </c>
      <c r="F1133" s="80">
        <v>1</v>
      </c>
      <c r="G1133" s="80">
        <v>3</v>
      </c>
      <c r="H1133" s="80">
        <v>3</v>
      </c>
      <c r="I1133" s="80">
        <v>840</v>
      </c>
    </row>
    <row r="1134" spans="1:9" x14ac:dyDescent="0.25">
      <c r="A1134" s="80">
        <v>1133</v>
      </c>
      <c r="B1134" s="80">
        <v>176</v>
      </c>
      <c r="C1134" s="80">
        <v>4</v>
      </c>
      <c r="D1134" s="80" t="s">
        <v>93</v>
      </c>
      <c r="E1134" s="80">
        <v>796</v>
      </c>
      <c r="F1134" s="80">
        <v>1</v>
      </c>
      <c r="G1134" s="80">
        <v>3</v>
      </c>
      <c r="H1134" s="80">
        <v>6</v>
      </c>
      <c r="I1134" s="80">
        <v>840</v>
      </c>
    </row>
    <row r="1135" spans="1:9" x14ac:dyDescent="0.25">
      <c r="A1135" s="80">
        <v>1134</v>
      </c>
      <c r="B1135" s="80">
        <v>176</v>
      </c>
      <c r="C1135" s="80">
        <v>5</v>
      </c>
      <c r="D1135" s="80" t="s">
        <v>92</v>
      </c>
      <c r="E1135" s="80">
        <v>796</v>
      </c>
      <c r="F1135" s="80">
        <v>1</v>
      </c>
      <c r="G1135" s="80">
        <v>3</v>
      </c>
      <c r="H1135" s="80">
        <v>3</v>
      </c>
      <c r="I1135" s="80">
        <v>840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0FF20-C884-4E63-A63B-21D5D629CED4}">
  <sheetPr codeName="Sheet3"/>
  <dimension ref="A1:F815"/>
  <sheetViews>
    <sheetView topLeftCell="A2" zoomScale="130" zoomScaleNormal="130" workbookViewId="0">
      <selection activeCell="A5" sqref="A5:F363"/>
    </sheetView>
  </sheetViews>
  <sheetFormatPr defaultRowHeight="15" x14ac:dyDescent="0.25"/>
  <cols>
    <col min="1" max="1" width="5.7109375" style="63" customWidth="1"/>
    <col min="2" max="2" width="12.7109375" style="64" customWidth="1"/>
    <col min="3" max="3" width="33.85546875" style="63" customWidth="1"/>
    <col min="4" max="4" width="23.5703125" style="65" customWidth="1"/>
    <col min="5" max="5" width="15.140625" style="66" bestFit="1" customWidth="1"/>
    <col min="6" max="6" width="17.85546875" style="67" bestFit="1" customWidth="1"/>
  </cols>
  <sheetData>
    <row r="1" spans="1:6" ht="154.5" customHeight="1" x14ac:dyDescent="0.25"/>
    <row r="2" spans="1:6" ht="20.25" customHeight="1" x14ac:dyDescent="0.25">
      <c r="A2" s="118" t="s">
        <v>2917</v>
      </c>
      <c r="B2" s="118"/>
      <c r="C2" s="118"/>
      <c r="D2" s="118"/>
      <c r="E2" s="118"/>
      <c r="F2" s="118"/>
    </row>
    <row r="3" spans="1:6" ht="17.25" x14ac:dyDescent="0.25">
      <c r="A3" s="119" t="s">
        <v>2918</v>
      </c>
      <c r="B3" s="119"/>
      <c r="C3" s="119"/>
      <c r="D3" s="119"/>
      <c r="E3" s="119"/>
      <c r="F3" s="119"/>
    </row>
    <row r="4" spans="1:6" ht="60" x14ac:dyDescent="0.25">
      <c r="A4" s="68" t="s">
        <v>2919</v>
      </c>
      <c r="B4" s="69" t="s">
        <v>2920</v>
      </c>
      <c r="C4" s="68" t="s">
        <v>2921</v>
      </c>
      <c r="D4" s="69" t="s">
        <v>2922</v>
      </c>
      <c r="E4" s="70" t="s">
        <v>2923</v>
      </c>
      <c r="F4" s="71" t="s">
        <v>2924</v>
      </c>
    </row>
    <row r="5" spans="1:6" x14ac:dyDescent="0.25">
      <c r="A5" s="86"/>
      <c r="B5" s="87"/>
      <c r="C5" s="86"/>
      <c r="D5" s="88"/>
      <c r="E5" s="88"/>
      <c r="F5" s="89"/>
    </row>
    <row r="6" spans="1:6" x14ac:dyDescent="0.25">
      <c r="A6" s="86"/>
      <c r="B6" s="87"/>
      <c r="C6" s="86"/>
      <c r="D6" s="88"/>
      <c r="E6" s="88"/>
      <c r="F6" s="89"/>
    </row>
    <row r="7" spans="1:6" x14ac:dyDescent="0.25">
      <c r="A7" s="86"/>
      <c r="B7" s="87"/>
      <c r="C7" s="86"/>
      <c r="D7" s="88"/>
      <c r="E7" s="88"/>
      <c r="F7" s="89"/>
    </row>
    <row r="8" spans="1:6" x14ac:dyDescent="0.25">
      <c r="A8" s="86"/>
      <c r="B8" s="87"/>
      <c r="C8" s="86"/>
      <c r="D8" s="88"/>
      <c r="E8" s="88"/>
      <c r="F8" s="89"/>
    </row>
    <row r="9" spans="1:6" x14ac:dyDescent="0.25">
      <c r="A9" s="86"/>
      <c r="B9" s="87"/>
      <c r="C9" s="86"/>
      <c r="D9" s="88"/>
      <c r="E9" s="88"/>
      <c r="F9" s="89"/>
    </row>
    <row r="10" spans="1:6" x14ac:dyDescent="0.25">
      <c r="A10" s="86"/>
      <c r="B10" s="87"/>
      <c r="C10" s="86"/>
      <c r="D10" s="88"/>
      <c r="E10" s="88"/>
      <c r="F10" s="89"/>
    </row>
    <row r="11" spans="1:6" x14ac:dyDescent="0.25">
      <c r="A11" s="86"/>
      <c r="B11" s="87"/>
      <c r="C11" s="86"/>
      <c r="D11" s="88"/>
      <c r="E11" s="88"/>
      <c r="F11" s="89"/>
    </row>
    <row r="12" spans="1:6" x14ac:dyDescent="0.25">
      <c r="A12" s="86"/>
      <c r="B12" s="87"/>
      <c r="C12" s="86"/>
      <c r="D12" s="88"/>
      <c r="E12" s="88"/>
      <c r="F12" s="89"/>
    </row>
    <row r="13" spans="1:6" x14ac:dyDescent="0.25">
      <c r="A13" s="86"/>
      <c r="B13" s="87"/>
      <c r="C13" s="86"/>
      <c r="D13" s="88"/>
      <c r="E13" s="88"/>
      <c r="F13" s="89"/>
    </row>
    <row r="14" spans="1:6" x14ac:dyDescent="0.25">
      <c r="A14" s="86"/>
      <c r="B14" s="87"/>
      <c r="C14" s="86"/>
      <c r="D14" s="88"/>
      <c r="E14" s="88"/>
      <c r="F14" s="89"/>
    </row>
    <row r="15" spans="1:6" x14ac:dyDescent="0.25">
      <c r="A15" s="86"/>
      <c r="B15" s="87"/>
      <c r="C15" s="86"/>
      <c r="D15" s="88"/>
      <c r="E15" s="88"/>
      <c r="F15" s="89"/>
    </row>
    <row r="16" spans="1:6" x14ac:dyDescent="0.25">
      <c r="A16" s="86"/>
      <c r="B16" s="87"/>
      <c r="C16" s="86"/>
      <c r="D16" s="88"/>
      <c r="E16" s="88"/>
      <c r="F16" s="89"/>
    </row>
    <row r="17" spans="1:6" x14ac:dyDescent="0.25">
      <c r="A17" s="86"/>
      <c r="B17" s="87"/>
      <c r="C17" s="86"/>
      <c r="D17" s="88"/>
      <c r="E17" s="88"/>
      <c r="F17" s="89"/>
    </row>
    <row r="18" spans="1:6" x14ac:dyDescent="0.25">
      <c r="A18" s="86"/>
      <c r="B18" s="87"/>
      <c r="C18" s="86"/>
      <c r="D18" s="88"/>
      <c r="E18" s="88"/>
      <c r="F18" s="89"/>
    </row>
    <row r="19" spans="1:6" x14ac:dyDescent="0.25">
      <c r="A19" s="86"/>
      <c r="B19" s="87"/>
      <c r="C19" s="86"/>
      <c r="D19" s="88"/>
      <c r="E19" s="88"/>
      <c r="F19" s="89"/>
    </row>
    <row r="20" spans="1:6" x14ac:dyDescent="0.25">
      <c r="A20" s="86"/>
      <c r="B20" s="87"/>
      <c r="C20" s="86"/>
      <c r="D20" s="88"/>
      <c r="E20" s="88"/>
      <c r="F20" s="89"/>
    </row>
    <row r="21" spans="1:6" x14ac:dyDescent="0.25">
      <c r="A21" s="86"/>
      <c r="B21" s="87"/>
      <c r="C21" s="86"/>
      <c r="D21" s="88"/>
      <c r="E21" s="88"/>
      <c r="F21" s="89"/>
    </row>
    <row r="22" spans="1:6" x14ac:dyDescent="0.25">
      <c r="A22" s="86"/>
      <c r="B22" s="87"/>
      <c r="C22" s="86"/>
      <c r="D22" s="88"/>
      <c r="E22" s="88"/>
      <c r="F22" s="89"/>
    </row>
    <row r="23" spans="1:6" x14ac:dyDescent="0.25">
      <c r="A23" s="86"/>
      <c r="B23" s="87"/>
      <c r="C23" s="86"/>
      <c r="D23" s="88"/>
      <c r="E23" s="88"/>
      <c r="F23" s="89"/>
    </row>
    <row r="24" spans="1:6" x14ac:dyDescent="0.25">
      <c r="A24" s="86"/>
      <c r="B24" s="87"/>
      <c r="C24" s="86"/>
      <c r="D24" s="88"/>
      <c r="E24" s="88"/>
      <c r="F24" s="89"/>
    </row>
    <row r="25" spans="1:6" x14ac:dyDescent="0.25">
      <c r="A25" s="86"/>
      <c r="B25" s="87"/>
      <c r="C25" s="86"/>
      <c r="D25" s="88"/>
      <c r="E25" s="88"/>
      <c r="F25" s="89"/>
    </row>
    <row r="26" spans="1:6" x14ac:dyDescent="0.25">
      <c r="A26" s="86"/>
      <c r="B26" s="87"/>
      <c r="C26" s="86"/>
      <c r="D26" s="88"/>
      <c r="E26" s="88"/>
      <c r="F26" s="89"/>
    </row>
    <row r="27" spans="1:6" x14ac:dyDescent="0.25">
      <c r="A27" s="86"/>
      <c r="B27" s="87"/>
      <c r="C27" s="86"/>
      <c r="D27" s="88"/>
      <c r="E27" s="88"/>
      <c r="F27" s="89"/>
    </row>
    <row r="28" spans="1:6" x14ac:dyDescent="0.25">
      <c r="A28" s="86"/>
      <c r="B28" s="87"/>
      <c r="C28" s="86"/>
      <c r="D28" s="88"/>
      <c r="E28" s="88"/>
      <c r="F28" s="89"/>
    </row>
    <row r="29" spans="1:6" x14ac:dyDescent="0.25">
      <c r="A29" s="86"/>
      <c r="B29" s="87"/>
      <c r="C29" s="86"/>
      <c r="D29" s="88"/>
      <c r="E29" s="88"/>
      <c r="F29" s="89"/>
    </row>
    <row r="30" spans="1:6" x14ac:dyDescent="0.25">
      <c r="A30" s="86"/>
      <c r="B30" s="87"/>
      <c r="C30" s="86"/>
      <c r="D30" s="88"/>
      <c r="E30" s="88"/>
      <c r="F30" s="89"/>
    </row>
    <row r="31" spans="1:6" x14ac:dyDescent="0.25">
      <c r="A31" s="86"/>
      <c r="B31" s="87"/>
      <c r="C31" s="86"/>
      <c r="D31" s="88"/>
      <c r="E31" s="88"/>
      <c r="F31" s="89"/>
    </row>
    <row r="32" spans="1:6" x14ac:dyDescent="0.25">
      <c r="A32" s="86"/>
      <c r="B32" s="87"/>
      <c r="C32" s="86"/>
      <c r="D32" s="88"/>
      <c r="E32" s="88"/>
      <c r="F32" s="89"/>
    </row>
    <row r="33" spans="1:6" x14ac:dyDescent="0.25">
      <c r="A33" s="86"/>
      <c r="B33" s="87"/>
      <c r="C33" s="86"/>
      <c r="D33" s="88"/>
      <c r="E33" s="88"/>
      <c r="F33" s="89"/>
    </row>
    <row r="34" spans="1:6" x14ac:dyDescent="0.25">
      <c r="A34" s="86"/>
      <c r="B34" s="87"/>
      <c r="C34" s="86"/>
      <c r="D34" s="88"/>
      <c r="E34" s="88"/>
      <c r="F34" s="89"/>
    </row>
    <row r="35" spans="1:6" x14ac:dyDescent="0.25">
      <c r="A35" s="86"/>
      <c r="B35" s="87"/>
      <c r="C35" s="86"/>
      <c r="D35" s="88"/>
      <c r="E35" s="88"/>
      <c r="F35" s="89"/>
    </row>
    <row r="36" spans="1:6" x14ac:dyDescent="0.25">
      <c r="A36" s="86"/>
      <c r="B36" s="87"/>
      <c r="C36" s="86"/>
      <c r="D36" s="88"/>
      <c r="E36" s="88"/>
      <c r="F36" s="89"/>
    </row>
    <row r="37" spans="1:6" x14ac:dyDescent="0.25">
      <c r="A37" s="86"/>
      <c r="B37" s="87"/>
      <c r="C37" s="86"/>
      <c r="D37" s="88"/>
      <c r="E37" s="88"/>
      <c r="F37" s="89"/>
    </row>
    <row r="38" spans="1:6" x14ac:dyDescent="0.25">
      <c r="A38" s="86"/>
      <c r="B38" s="87"/>
      <c r="C38" s="86"/>
      <c r="D38" s="88"/>
      <c r="E38" s="88"/>
      <c r="F38" s="89"/>
    </row>
    <row r="39" spans="1:6" x14ac:dyDescent="0.25">
      <c r="A39" s="86"/>
      <c r="B39" s="87"/>
      <c r="C39" s="86"/>
      <c r="D39" s="88"/>
      <c r="E39" s="88"/>
      <c r="F39" s="89"/>
    </row>
    <row r="40" spans="1:6" x14ac:dyDescent="0.25">
      <c r="A40" s="86"/>
      <c r="B40" s="87"/>
      <c r="C40" s="86"/>
      <c r="D40" s="88"/>
      <c r="E40" s="88"/>
      <c r="F40" s="89"/>
    </row>
    <row r="41" spans="1:6" x14ac:dyDescent="0.25">
      <c r="A41" s="86"/>
      <c r="B41" s="87"/>
      <c r="C41" s="86"/>
      <c r="D41" s="88"/>
      <c r="E41" s="88"/>
      <c r="F41" s="89"/>
    </row>
    <row r="42" spans="1:6" x14ac:dyDescent="0.25">
      <c r="A42" s="86"/>
      <c r="B42" s="87"/>
      <c r="C42" s="86"/>
      <c r="D42" s="88"/>
      <c r="E42" s="88"/>
      <c r="F42" s="89"/>
    </row>
    <row r="43" spans="1:6" x14ac:dyDescent="0.25">
      <c r="A43" s="86"/>
      <c r="B43" s="87"/>
      <c r="C43" s="86"/>
      <c r="D43" s="88"/>
      <c r="E43" s="88"/>
      <c r="F43" s="89"/>
    </row>
    <row r="44" spans="1:6" x14ac:dyDescent="0.25">
      <c r="A44" s="86"/>
      <c r="B44" s="87"/>
      <c r="C44" s="86"/>
      <c r="D44" s="88"/>
      <c r="E44" s="88"/>
      <c r="F44" s="89"/>
    </row>
    <row r="45" spans="1:6" x14ac:dyDescent="0.25">
      <c r="A45" s="86"/>
      <c r="B45" s="87"/>
      <c r="C45" s="86"/>
      <c r="D45" s="88"/>
      <c r="E45" s="88"/>
      <c r="F45" s="89"/>
    </row>
    <row r="46" spans="1:6" x14ac:dyDescent="0.25">
      <c r="A46" s="86"/>
      <c r="B46" s="87"/>
      <c r="C46" s="86"/>
      <c r="D46" s="88"/>
      <c r="E46" s="88"/>
      <c r="F46" s="89"/>
    </row>
    <row r="47" spans="1:6" x14ac:dyDescent="0.25">
      <c r="A47" s="86"/>
      <c r="B47" s="87"/>
      <c r="C47" s="86"/>
      <c r="D47" s="88"/>
      <c r="E47" s="88"/>
      <c r="F47" s="89"/>
    </row>
    <row r="48" spans="1:6" x14ac:dyDescent="0.25">
      <c r="A48" s="86"/>
      <c r="B48" s="87"/>
      <c r="C48" s="86"/>
      <c r="D48" s="88"/>
      <c r="E48" s="88"/>
      <c r="F48" s="89"/>
    </row>
    <row r="49" spans="1:6" x14ac:dyDescent="0.25">
      <c r="A49" s="86"/>
      <c r="B49" s="87"/>
      <c r="C49" s="86"/>
      <c r="D49" s="88"/>
      <c r="E49" s="88"/>
      <c r="F49" s="89"/>
    </row>
    <row r="50" spans="1:6" x14ac:dyDescent="0.25">
      <c r="A50" s="86"/>
      <c r="B50" s="87"/>
      <c r="C50" s="86"/>
      <c r="D50" s="88"/>
      <c r="E50" s="88"/>
      <c r="F50" s="89"/>
    </row>
    <row r="51" spans="1:6" x14ac:dyDescent="0.25">
      <c r="A51" s="86"/>
      <c r="B51" s="87"/>
      <c r="C51" s="86"/>
      <c r="D51" s="88"/>
      <c r="E51" s="88"/>
      <c r="F51" s="89"/>
    </row>
    <row r="52" spans="1:6" x14ac:dyDescent="0.25">
      <c r="A52" s="86"/>
      <c r="B52" s="87"/>
      <c r="C52" s="86"/>
      <c r="D52" s="88"/>
      <c r="E52" s="88"/>
      <c r="F52" s="89"/>
    </row>
    <row r="53" spans="1:6" x14ac:dyDescent="0.25">
      <c r="A53" s="86"/>
      <c r="B53" s="87"/>
      <c r="C53" s="86"/>
      <c r="D53" s="88"/>
      <c r="E53" s="88"/>
      <c r="F53" s="89"/>
    </row>
    <row r="54" spans="1:6" x14ac:dyDescent="0.25">
      <c r="A54" s="86"/>
      <c r="B54" s="87"/>
      <c r="C54" s="86"/>
      <c r="D54" s="88"/>
      <c r="E54" s="88"/>
      <c r="F54" s="89"/>
    </row>
    <row r="55" spans="1:6" x14ac:dyDescent="0.25">
      <c r="A55" s="86"/>
      <c r="B55" s="87"/>
      <c r="C55" s="86"/>
      <c r="D55" s="88"/>
      <c r="E55" s="88"/>
      <c r="F55" s="89"/>
    </row>
    <row r="56" spans="1:6" x14ac:dyDescent="0.25">
      <c r="A56" s="86"/>
      <c r="B56" s="87"/>
      <c r="C56" s="86"/>
      <c r="D56" s="88"/>
      <c r="E56" s="88"/>
      <c r="F56" s="89"/>
    </row>
    <row r="57" spans="1:6" x14ac:dyDescent="0.25">
      <c r="A57" s="86"/>
      <c r="B57" s="87"/>
      <c r="C57" s="86"/>
      <c r="D57" s="88"/>
      <c r="E57" s="88"/>
      <c r="F57" s="89"/>
    </row>
    <row r="58" spans="1:6" x14ac:dyDescent="0.25">
      <c r="A58" s="86"/>
      <c r="B58" s="87"/>
      <c r="C58" s="86"/>
      <c r="D58" s="88"/>
      <c r="E58" s="88"/>
      <c r="F58" s="89"/>
    </row>
    <row r="59" spans="1:6" x14ac:dyDescent="0.25">
      <c r="A59" s="86"/>
      <c r="B59" s="87"/>
      <c r="C59" s="86"/>
      <c r="D59" s="88"/>
      <c r="E59" s="88"/>
      <c r="F59" s="89"/>
    </row>
    <row r="60" spans="1:6" x14ac:dyDescent="0.25">
      <c r="A60" s="86"/>
      <c r="B60" s="87"/>
      <c r="C60" s="86"/>
      <c r="D60" s="88"/>
      <c r="E60" s="88"/>
      <c r="F60" s="89"/>
    </row>
    <row r="61" spans="1:6" x14ac:dyDescent="0.25">
      <c r="A61" s="86"/>
      <c r="B61" s="87"/>
      <c r="C61" s="86"/>
      <c r="D61" s="88"/>
      <c r="E61" s="88"/>
      <c r="F61" s="89"/>
    </row>
    <row r="62" spans="1:6" x14ac:dyDescent="0.25">
      <c r="A62" s="86"/>
      <c r="B62" s="87"/>
      <c r="C62" s="86"/>
      <c r="D62" s="88"/>
      <c r="E62" s="88"/>
      <c r="F62" s="89"/>
    </row>
    <row r="63" spans="1:6" x14ac:dyDescent="0.25">
      <c r="A63" s="86"/>
      <c r="B63" s="87"/>
      <c r="C63" s="86"/>
      <c r="D63" s="88"/>
      <c r="E63" s="88"/>
      <c r="F63" s="89"/>
    </row>
    <row r="64" spans="1:6" x14ac:dyDescent="0.25">
      <c r="A64" s="86"/>
      <c r="B64" s="87"/>
      <c r="C64" s="86"/>
      <c r="D64" s="88"/>
      <c r="E64" s="88"/>
      <c r="F64" s="89"/>
    </row>
    <row r="65" spans="1:6" x14ac:dyDescent="0.25">
      <c r="A65" s="86"/>
      <c r="B65" s="87"/>
      <c r="C65" s="86"/>
      <c r="D65" s="88"/>
      <c r="E65" s="88"/>
      <c r="F65" s="89"/>
    </row>
    <row r="66" spans="1:6" x14ac:dyDescent="0.25">
      <c r="A66" s="86"/>
      <c r="B66" s="87"/>
      <c r="C66" s="86"/>
      <c r="D66" s="88"/>
      <c r="E66" s="88"/>
      <c r="F66" s="89"/>
    </row>
    <row r="67" spans="1:6" x14ac:dyDescent="0.25">
      <c r="A67" s="86"/>
      <c r="B67" s="87"/>
      <c r="C67" s="86"/>
      <c r="D67" s="88"/>
      <c r="E67" s="88"/>
      <c r="F67" s="89"/>
    </row>
    <row r="68" spans="1:6" x14ac:dyDescent="0.25">
      <c r="A68" s="86"/>
      <c r="B68" s="87"/>
      <c r="C68" s="86"/>
      <c r="D68" s="88"/>
      <c r="E68" s="88"/>
      <c r="F68" s="89"/>
    </row>
    <row r="69" spans="1:6" x14ac:dyDescent="0.25">
      <c r="A69" s="86"/>
      <c r="B69" s="87"/>
      <c r="C69" s="86"/>
      <c r="D69" s="88"/>
      <c r="E69" s="88"/>
      <c r="F69" s="89"/>
    </row>
    <row r="70" spans="1:6" x14ac:dyDescent="0.25">
      <c r="A70" s="86"/>
      <c r="B70" s="87"/>
      <c r="C70" s="86"/>
      <c r="D70" s="88"/>
      <c r="E70" s="88"/>
      <c r="F70" s="89"/>
    </row>
    <row r="71" spans="1:6" x14ac:dyDescent="0.25">
      <c r="A71" s="86"/>
      <c r="B71" s="87"/>
      <c r="C71" s="86"/>
      <c r="D71" s="88"/>
      <c r="E71" s="88"/>
      <c r="F71" s="89"/>
    </row>
    <row r="72" spans="1:6" x14ac:dyDescent="0.25">
      <c r="A72" s="86"/>
      <c r="B72" s="87"/>
      <c r="C72" s="86"/>
      <c r="D72" s="88"/>
      <c r="E72" s="88"/>
      <c r="F72" s="89"/>
    </row>
    <row r="73" spans="1:6" x14ac:dyDescent="0.25">
      <c r="A73" s="86"/>
      <c r="B73" s="87"/>
      <c r="C73" s="86"/>
      <c r="D73" s="88"/>
      <c r="E73" s="88"/>
      <c r="F73" s="89"/>
    </row>
    <row r="74" spans="1:6" x14ac:dyDescent="0.25">
      <c r="A74" s="86"/>
      <c r="B74" s="87"/>
      <c r="C74" s="86"/>
      <c r="D74" s="88"/>
      <c r="E74" s="88"/>
      <c r="F74" s="89"/>
    </row>
    <row r="75" spans="1:6" x14ac:dyDescent="0.25">
      <c r="A75" s="86"/>
      <c r="B75" s="87"/>
      <c r="C75" s="86"/>
      <c r="D75" s="88"/>
      <c r="E75" s="88"/>
      <c r="F75" s="89"/>
    </row>
    <row r="76" spans="1:6" x14ac:dyDescent="0.25">
      <c r="A76" s="86"/>
      <c r="B76" s="87"/>
      <c r="C76" s="86"/>
      <c r="D76" s="88"/>
      <c r="E76" s="88"/>
      <c r="F76" s="89"/>
    </row>
    <row r="77" spans="1:6" x14ac:dyDescent="0.25">
      <c r="A77" s="86"/>
      <c r="B77" s="87"/>
      <c r="C77" s="86"/>
      <c r="D77" s="88"/>
      <c r="E77" s="88"/>
      <c r="F77" s="89"/>
    </row>
    <row r="78" spans="1:6" x14ac:dyDescent="0.25">
      <c r="A78" s="86"/>
      <c r="B78" s="87"/>
      <c r="C78" s="86"/>
      <c r="D78" s="88"/>
      <c r="E78" s="88"/>
      <c r="F78" s="89"/>
    </row>
    <row r="79" spans="1:6" x14ac:dyDescent="0.25">
      <c r="A79" s="86"/>
      <c r="B79" s="87"/>
      <c r="C79" s="86"/>
      <c r="D79" s="88"/>
      <c r="E79" s="88"/>
      <c r="F79" s="89"/>
    </row>
    <row r="80" spans="1:6" x14ac:dyDescent="0.25">
      <c r="A80" s="86"/>
      <c r="B80" s="87"/>
      <c r="C80" s="86"/>
      <c r="D80" s="88"/>
      <c r="E80" s="88"/>
      <c r="F80" s="89"/>
    </row>
    <row r="81" spans="1:6" x14ac:dyDescent="0.25">
      <c r="A81" s="86"/>
      <c r="B81" s="87"/>
      <c r="C81" s="86"/>
      <c r="D81" s="88"/>
      <c r="E81" s="88"/>
      <c r="F81" s="89"/>
    </row>
    <row r="82" spans="1:6" x14ac:dyDescent="0.25">
      <c r="A82" s="86"/>
      <c r="B82" s="87"/>
      <c r="C82" s="86"/>
      <c r="D82" s="88"/>
      <c r="E82" s="88"/>
      <c r="F82" s="89"/>
    </row>
    <row r="83" spans="1:6" x14ac:dyDescent="0.25">
      <c r="A83" s="86"/>
      <c r="B83" s="87"/>
      <c r="C83" s="86"/>
      <c r="D83" s="88"/>
      <c r="E83" s="88"/>
      <c r="F83" s="89"/>
    </row>
    <row r="84" spans="1:6" x14ac:dyDescent="0.25">
      <c r="A84" s="86"/>
      <c r="B84" s="87"/>
      <c r="C84" s="86"/>
      <c r="D84" s="88"/>
      <c r="E84" s="88"/>
      <c r="F84" s="89"/>
    </row>
    <row r="85" spans="1:6" x14ac:dyDescent="0.25">
      <c r="A85" s="86"/>
      <c r="B85" s="87"/>
      <c r="C85" s="86"/>
      <c r="D85" s="88"/>
      <c r="E85" s="88"/>
      <c r="F85" s="89"/>
    </row>
    <row r="86" spans="1:6" x14ac:dyDescent="0.25">
      <c r="A86" s="86"/>
      <c r="B86" s="87"/>
      <c r="C86" s="86"/>
      <c r="D86" s="88"/>
      <c r="E86" s="88"/>
      <c r="F86" s="89"/>
    </row>
    <row r="87" spans="1:6" x14ac:dyDescent="0.25">
      <c r="A87" s="86"/>
      <c r="B87" s="87"/>
      <c r="C87" s="86"/>
      <c r="D87" s="88"/>
      <c r="E87" s="88"/>
      <c r="F87" s="89"/>
    </row>
    <row r="88" spans="1:6" x14ac:dyDescent="0.25">
      <c r="A88" s="86"/>
      <c r="B88" s="87"/>
      <c r="C88" s="86"/>
      <c r="D88" s="88"/>
      <c r="E88" s="88"/>
      <c r="F88" s="89"/>
    </row>
    <row r="89" spans="1:6" x14ac:dyDescent="0.25">
      <c r="A89" s="86"/>
      <c r="B89" s="87"/>
      <c r="C89" s="86"/>
      <c r="D89" s="88"/>
      <c r="E89" s="88"/>
      <c r="F89" s="89"/>
    </row>
    <row r="90" spans="1:6" x14ac:dyDescent="0.25">
      <c r="A90" s="86"/>
      <c r="B90" s="87"/>
      <c r="C90" s="86"/>
      <c r="D90" s="88"/>
      <c r="E90" s="88"/>
      <c r="F90" s="89"/>
    </row>
    <row r="91" spans="1:6" x14ac:dyDescent="0.25">
      <c r="A91" s="86"/>
      <c r="B91" s="87"/>
      <c r="C91" s="86"/>
      <c r="D91" s="88"/>
      <c r="E91" s="88"/>
      <c r="F91" s="89"/>
    </row>
    <row r="92" spans="1:6" x14ac:dyDescent="0.25">
      <c r="A92" s="86"/>
      <c r="B92" s="87"/>
      <c r="C92" s="86"/>
      <c r="D92" s="88"/>
      <c r="E92" s="88"/>
      <c r="F92" s="89"/>
    </row>
    <row r="93" spans="1:6" x14ac:dyDescent="0.25">
      <c r="A93" s="86"/>
      <c r="B93" s="87"/>
      <c r="C93" s="86"/>
      <c r="D93" s="88"/>
      <c r="E93" s="88"/>
      <c r="F93" s="89"/>
    </row>
    <row r="94" spans="1:6" x14ac:dyDescent="0.25">
      <c r="A94" s="86"/>
      <c r="B94" s="87"/>
      <c r="C94" s="86"/>
      <c r="D94" s="88"/>
      <c r="E94" s="88"/>
      <c r="F94" s="89"/>
    </row>
    <row r="95" spans="1:6" x14ac:dyDescent="0.25">
      <c r="A95" s="86"/>
      <c r="B95" s="87"/>
      <c r="C95" s="86"/>
      <c r="D95" s="88"/>
      <c r="E95" s="88"/>
      <c r="F95" s="89"/>
    </row>
    <row r="96" spans="1:6" x14ac:dyDescent="0.25">
      <c r="A96" s="86"/>
      <c r="B96" s="87"/>
      <c r="C96" s="86"/>
      <c r="D96" s="88"/>
      <c r="E96" s="88"/>
      <c r="F96" s="89"/>
    </row>
    <row r="97" spans="1:6" x14ac:dyDescent="0.25">
      <c r="A97" s="86"/>
      <c r="B97" s="87"/>
      <c r="C97" s="86"/>
      <c r="D97" s="88"/>
      <c r="E97" s="88"/>
      <c r="F97" s="89"/>
    </row>
    <row r="98" spans="1:6" x14ac:dyDescent="0.25">
      <c r="A98" s="86"/>
      <c r="B98" s="87"/>
      <c r="C98" s="86"/>
      <c r="D98" s="88"/>
      <c r="E98" s="88"/>
      <c r="F98" s="89"/>
    </row>
    <row r="99" spans="1:6" x14ac:dyDescent="0.25">
      <c r="A99" s="86"/>
      <c r="B99" s="87"/>
      <c r="C99" s="86"/>
      <c r="D99" s="88"/>
      <c r="E99" s="88"/>
      <c r="F99" s="89"/>
    </row>
    <row r="100" spans="1:6" x14ac:dyDescent="0.25">
      <c r="A100" s="86"/>
      <c r="B100" s="87"/>
      <c r="C100" s="86"/>
      <c r="D100" s="88"/>
      <c r="E100" s="88"/>
      <c r="F100" s="89"/>
    </row>
    <row r="101" spans="1:6" x14ac:dyDescent="0.25">
      <c r="A101" s="86"/>
      <c r="B101" s="87"/>
      <c r="C101" s="86"/>
      <c r="D101" s="88"/>
      <c r="E101" s="88"/>
      <c r="F101" s="89"/>
    </row>
    <row r="102" spans="1:6" x14ac:dyDescent="0.25">
      <c r="A102" s="86"/>
      <c r="B102" s="87"/>
      <c r="C102" s="86"/>
      <c r="D102" s="88"/>
      <c r="E102" s="88"/>
      <c r="F102" s="89"/>
    </row>
    <row r="103" spans="1:6" x14ac:dyDescent="0.25">
      <c r="A103" s="86"/>
      <c r="B103" s="87"/>
      <c r="C103" s="86"/>
      <c r="D103" s="88"/>
      <c r="E103" s="88"/>
      <c r="F103" s="89"/>
    </row>
    <row r="104" spans="1:6" x14ac:dyDescent="0.25">
      <c r="A104" s="86"/>
      <c r="B104" s="87"/>
      <c r="C104" s="86"/>
      <c r="D104" s="88"/>
      <c r="E104" s="88"/>
      <c r="F104" s="89"/>
    </row>
    <row r="105" spans="1:6" x14ac:dyDescent="0.25">
      <c r="A105" s="86"/>
      <c r="B105" s="87"/>
      <c r="C105" s="86"/>
      <c r="D105" s="88"/>
      <c r="E105" s="88"/>
      <c r="F105" s="89"/>
    </row>
    <row r="106" spans="1:6" x14ac:dyDescent="0.25">
      <c r="A106" s="86"/>
      <c r="B106" s="87"/>
      <c r="C106" s="86"/>
      <c r="D106" s="88"/>
      <c r="E106" s="88"/>
      <c r="F106" s="89"/>
    </row>
    <row r="107" spans="1:6" x14ac:dyDescent="0.25">
      <c r="A107" s="86"/>
      <c r="B107" s="87"/>
      <c r="C107" s="86"/>
      <c r="D107" s="88"/>
      <c r="E107" s="88"/>
      <c r="F107" s="89"/>
    </row>
    <row r="108" spans="1:6" x14ac:dyDescent="0.25">
      <c r="A108" s="86"/>
      <c r="B108" s="87"/>
      <c r="C108" s="86"/>
      <c r="D108" s="88"/>
      <c r="E108" s="88"/>
      <c r="F108" s="89"/>
    </row>
    <row r="109" spans="1:6" x14ac:dyDescent="0.25">
      <c r="A109" s="86"/>
      <c r="B109" s="87"/>
      <c r="C109" s="86"/>
      <c r="D109" s="88"/>
      <c r="E109" s="88"/>
      <c r="F109" s="89"/>
    </row>
    <row r="110" spans="1:6" x14ac:dyDescent="0.25">
      <c r="A110" s="86"/>
      <c r="B110" s="87"/>
      <c r="C110" s="86"/>
      <c r="D110" s="88"/>
      <c r="E110" s="88"/>
      <c r="F110" s="89"/>
    </row>
    <row r="111" spans="1:6" x14ac:dyDescent="0.25">
      <c r="A111" s="86"/>
      <c r="B111" s="87"/>
      <c r="C111" s="86"/>
      <c r="D111" s="88"/>
      <c r="E111" s="88"/>
      <c r="F111" s="89"/>
    </row>
    <row r="112" spans="1:6" x14ac:dyDescent="0.25">
      <c r="A112" s="86"/>
      <c r="B112" s="87"/>
      <c r="C112" s="86"/>
      <c r="D112" s="88"/>
      <c r="E112" s="88"/>
      <c r="F112" s="89"/>
    </row>
    <row r="113" spans="1:6" x14ac:dyDescent="0.25">
      <c r="A113" s="86"/>
      <c r="B113" s="87"/>
      <c r="C113" s="86"/>
      <c r="D113" s="88"/>
      <c r="E113" s="88"/>
      <c r="F113" s="89"/>
    </row>
    <row r="114" spans="1:6" x14ac:dyDescent="0.25">
      <c r="A114" s="86"/>
      <c r="B114" s="87"/>
      <c r="C114" s="86"/>
      <c r="D114" s="88"/>
      <c r="E114" s="88"/>
      <c r="F114" s="89"/>
    </row>
    <row r="115" spans="1:6" x14ac:dyDescent="0.25">
      <c r="A115" s="86"/>
      <c r="B115" s="87"/>
      <c r="C115" s="86"/>
      <c r="D115" s="88"/>
      <c r="E115" s="88"/>
      <c r="F115" s="89"/>
    </row>
    <row r="116" spans="1:6" x14ac:dyDescent="0.25">
      <c r="A116" s="86"/>
      <c r="B116" s="87"/>
      <c r="C116" s="86"/>
      <c r="D116" s="88"/>
      <c r="E116" s="88"/>
      <c r="F116" s="89"/>
    </row>
    <row r="117" spans="1:6" x14ac:dyDescent="0.25">
      <c r="A117" s="86"/>
      <c r="B117" s="87"/>
      <c r="C117" s="86"/>
      <c r="D117" s="88"/>
      <c r="E117" s="88"/>
      <c r="F117" s="89"/>
    </row>
    <row r="118" spans="1:6" x14ac:dyDescent="0.25">
      <c r="A118" s="86"/>
      <c r="B118" s="87"/>
      <c r="C118" s="86"/>
      <c r="D118" s="88"/>
      <c r="E118" s="88"/>
      <c r="F118" s="89"/>
    </row>
    <row r="119" spans="1:6" x14ac:dyDescent="0.25">
      <c r="A119" s="86"/>
      <c r="B119" s="87"/>
      <c r="C119" s="86"/>
      <c r="D119" s="88"/>
      <c r="E119" s="88"/>
      <c r="F119" s="89"/>
    </row>
    <row r="120" spans="1:6" x14ac:dyDescent="0.25">
      <c r="A120" s="86"/>
      <c r="B120" s="87"/>
      <c r="C120" s="86"/>
      <c r="D120" s="88"/>
      <c r="E120" s="88"/>
      <c r="F120" s="89"/>
    </row>
    <row r="121" spans="1:6" x14ac:dyDescent="0.25">
      <c r="A121" s="86"/>
      <c r="B121" s="87"/>
      <c r="C121" s="86"/>
      <c r="D121" s="88"/>
      <c r="E121" s="88"/>
      <c r="F121" s="89"/>
    </row>
    <row r="122" spans="1:6" x14ac:dyDescent="0.25">
      <c r="A122" s="86"/>
      <c r="B122" s="87"/>
      <c r="C122" s="86"/>
      <c r="D122" s="88"/>
      <c r="E122" s="88"/>
      <c r="F122" s="89"/>
    </row>
    <row r="123" spans="1:6" x14ac:dyDescent="0.25">
      <c r="A123" s="86"/>
      <c r="B123" s="87"/>
      <c r="C123" s="86"/>
      <c r="D123" s="88"/>
      <c r="E123" s="88"/>
      <c r="F123" s="89"/>
    </row>
    <row r="124" spans="1:6" x14ac:dyDescent="0.25">
      <c r="A124" s="86"/>
      <c r="B124" s="87"/>
      <c r="C124" s="86"/>
      <c r="D124" s="88"/>
      <c r="E124" s="88"/>
      <c r="F124" s="89"/>
    </row>
    <row r="125" spans="1:6" x14ac:dyDescent="0.25">
      <c r="A125" s="86"/>
      <c r="B125" s="87"/>
      <c r="C125" s="86"/>
      <c r="D125" s="88"/>
      <c r="E125" s="88"/>
      <c r="F125" s="89"/>
    </row>
    <row r="126" spans="1:6" x14ac:dyDescent="0.25">
      <c r="A126" s="86"/>
      <c r="B126" s="87"/>
      <c r="C126" s="86"/>
      <c r="D126" s="88"/>
      <c r="E126" s="88"/>
      <c r="F126" s="89"/>
    </row>
    <row r="127" spans="1:6" x14ac:dyDescent="0.25">
      <c r="A127" s="86"/>
      <c r="B127" s="87"/>
      <c r="C127" s="86"/>
      <c r="D127" s="88"/>
      <c r="E127" s="88"/>
      <c r="F127" s="89"/>
    </row>
    <row r="128" spans="1:6" x14ac:dyDescent="0.25">
      <c r="A128" s="86"/>
      <c r="B128" s="87"/>
      <c r="C128" s="86"/>
      <c r="D128" s="88"/>
      <c r="E128" s="88"/>
      <c r="F128" s="89"/>
    </row>
    <row r="129" spans="1:6" x14ac:dyDescent="0.25">
      <c r="A129" s="86"/>
      <c r="B129" s="87"/>
      <c r="C129" s="86"/>
      <c r="D129" s="88"/>
      <c r="E129" s="88"/>
      <c r="F129" s="89"/>
    </row>
    <row r="130" spans="1:6" x14ac:dyDescent="0.25">
      <c r="A130" s="86"/>
      <c r="B130" s="87"/>
      <c r="C130" s="86"/>
      <c r="D130" s="88"/>
      <c r="E130" s="88"/>
      <c r="F130" s="89"/>
    </row>
    <row r="131" spans="1:6" x14ac:dyDescent="0.25">
      <c r="A131" s="86"/>
      <c r="B131" s="87"/>
      <c r="C131" s="86"/>
      <c r="D131" s="88"/>
      <c r="E131" s="88"/>
      <c r="F131" s="89"/>
    </row>
    <row r="132" spans="1:6" x14ac:dyDescent="0.25">
      <c r="A132" s="86"/>
      <c r="B132" s="87"/>
      <c r="C132" s="86"/>
      <c r="D132" s="88"/>
      <c r="E132" s="88"/>
      <c r="F132" s="89"/>
    </row>
    <row r="133" spans="1:6" x14ac:dyDescent="0.25">
      <c r="A133" s="86"/>
      <c r="B133" s="87"/>
      <c r="C133" s="86"/>
      <c r="D133" s="88"/>
      <c r="E133" s="88"/>
      <c r="F133" s="89"/>
    </row>
    <row r="134" spans="1:6" x14ac:dyDescent="0.25">
      <c r="A134" s="86"/>
      <c r="B134" s="87"/>
      <c r="C134" s="86"/>
      <c r="D134" s="88"/>
      <c r="E134" s="88"/>
      <c r="F134" s="89"/>
    </row>
    <row r="135" spans="1:6" x14ac:dyDescent="0.25">
      <c r="A135" s="86"/>
      <c r="B135" s="87"/>
      <c r="C135" s="86"/>
      <c r="D135" s="88"/>
      <c r="E135" s="88"/>
      <c r="F135" s="89"/>
    </row>
    <row r="136" spans="1:6" x14ac:dyDescent="0.25">
      <c r="A136" s="86"/>
      <c r="B136" s="87"/>
      <c r="C136" s="86"/>
      <c r="D136" s="88"/>
      <c r="E136" s="88"/>
      <c r="F136" s="89"/>
    </row>
    <row r="137" spans="1:6" x14ac:dyDescent="0.25">
      <c r="A137" s="86"/>
      <c r="B137" s="87"/>
      <c r="C137" s="86"/>
      <c r="D137" s="88"/>
      <c r="E137" s="88"/>
      <c r="F137" s="89"/>
    </row>
    <row r="138" spans="1:6" x14ac:dyDescent="0.25">
      <c r="A138" s="86"/>
      <c r="B138" s="87"/>
      <c r="C138" s="86"/>
      <c r="D138" s="88"/>
      <c r="E138" s="88"/>
      <c r="F138" s="89"/>
    </row>
    <row r="139" spans="1:6" x14ac:dyDescent="0.25">
      <c r="A139" s="86"/>
      <c r="B139" s="87"/>
      <c r="C139" s="86"/>
      <c r="D139" s="88"/>
      <c r="E139" s="88"/>
      <c r="F139" s="89"/>
    </row>
    <row r="140" spans="1:6" x14ac:dyDescent="0.25">
      <c r="A140" s="86"/>
      <c r="B140" s="87"/>
      <c r="C140" s="86"/>
      <c r="D140" s="88"/>
      <c r="E140" s="88"/>
      <c r="F140" s="89"/>
    </row>
    <row r="141" spans="1:6" x14ac:dyDescent="0.25">
      <c r="A141" s="86"/>
      <c r="B141" s="87"/>
      <c r="C141" s="86"/>
      <c r="D141" s="88"/>
      <c r="E141" s="88"/>
      <c r="F141" s="89"/>
    </row>
    <row r="142" spans="1:6" x14ac:dyDescent="0.25">
      <c r="A142" s="86"/>
      <c r="B142" s="87"/>
      <c r="C142" s="86"/>
      <c r="D142" s="88"/>
      <c r="E142" s="88"/>
      <c r="F142" s="89"/>
    </row>
    <row r="143" spans="1:6" x14ac:dyDescent="0.25">
      <c r="A143" s="86"/>
      <c r="B143" s="87"/>
      <c r="C143" s="86"/>
      <c r="D143" s="88"/>
      <c r="E143" s="88"/>
      <c r="F143" s="89"/>
    </row>
    <row r="144" spans="1:6" x14ac:dyDescent="0.25">
      <c r="A144" s="86"/>
      <c r="B144" s="87"/>
      <c r="C144" s="86"/>
      <c r="D144" s="88"/>
      <c r="E144" s="88"/>
      <c r="F144" s="89"/>
    </row>
    <row r="145" spans="1:6" x14ac:dyDescent="0.25">
      <c r="A145" s="86"/>
      <c r="B145" s="87"/>
      <c r="C145" s="86"/>
      <c r="D145" s="88"/>
      <c r="E145" s="88"/>
      <c r="F145" s="89"/>
    </row>
    <row r="146" spans="1:6" x14ac:dyDescent="0.25">
      <c r="A146" s="86"/>
      <c r="B146" s="87"/>
      <c r="C146" s="86"/>
      <c r="D146" s="88"/>
      <c r="E146" s="88"/>
      <c r="F146" s="89"/>
    </row>
    <row r="147" spans="1:6" x14ac:dyDescent="0.25">
      <c r="A147" s="86"/>
      <c r="B147" s="87"/>
      <c r="C147" s="86"/>
      <c r="D147" s="88"/>
      <c r="E147" s="88"/>
      <c r="F147" s="89"/>
    </row>
    <row r="148" spans="1:6" x14ac:dyDescent="0.25">
      <c r="A148" s="86"/>
      <c r="B148" s="87"/>
      <c r="C148" s="86"/>
      <c r="D148" s="88"/>
      <c r="E148" s="88"/>
      <c r="F148" s="89"/>
    </row>
    <row r="149" spans="1:6" x14ac:dyDescent="0.25">
      <c r="A149" s="86"/>
      <c r="B149" s="87"/>
      <c r="C149" s="86"/>
      <c r="D149" s="88"/>
      <c r="E149" s="88"/>
      <c r="F149" s="89"/>
    </row>
    <row r="150" spans="1:6" x14ac:dyDescent="0.25">
      <c r="A150" s="86"/>
      <c r="B150" s="87"/>
      <c r="C150" s="86"/>
      <c r="D150" s="88"/>
      <c r="E150" s="88"/>
      <c r="F150" s="89"/>
    </row>
    <row r="151" spans="1:6" x14ac:dyDescent="0.25">
      <c r="A151" s="86"/>
      <c r="B151" s="87"/>
      <c r="C151" s="86"/>
      <c r="D151" s="88"/>
      <c r="E151" s="88"/>
      <c r="F151" s="89"/>
    </row>
    <row r="152" spans="1:6" x14ac:dyDescent="0.25">
      <c r="A152" s="86"/>
      <c r="B152" s="87"/>
      <c r="C152" s="86"/>
      <c r="D152" s="88"/>
      <c r="E152" s="88"/>
      <c r="F152" s="89"/>
    </row>
    <row r="153" spans="1:6" x14ac:dyDescent="0.25">
      <c r="A153" s="86"/>
      <c r="B153" s="87"/>
      <c r="C153" s="86"/>
      <c r="D153" s="88"/>
      <c r="E153" s="88"/>
      <c r="F153" s="89"/>
    </row>
    <row r="154" spans="1:6" x14ac:dyDescent="0.25">
      <c r="A154" s="86"/>
      <c r="B154" s="87"/>
      <c r="C154" s="86"/>
      <c r="D154" s="88"/>
      <c r="E154" s="88"/>
      <c r="F154" s="89"/>
    </row>
    <row r="155" spans="1:6" x14ac:dyDescent="0.25">
      <c r="A155" s="86"/>
      <c r="B155" s="87"/>
      <c r="C155" s="86"/>
      <c r="D155" s="88"/>
      <c r="E155" s="88"/>
      <c r="F155" s="89"/>
    </row>
    <row r="156" spans="1:6" x14ac:dyDescent="0.25">
      <c r="A156" s="86"/>
      <c r="B156" s="87"/>
      <c r="C156" s="86"/>
      <c r="D156" s="88"/>
      <c r="E156" s="88"/>
      <c r="F156" s="89"/>
    </row>
    <row r="157" spans="1:6" x14ac:dyDescent="0.25">
      <c r="A157" s="86"/>
      <c r="B157" s="87"/>
      <c r="C157" s="86"/>
      <c r="D157" s="88"/>
      <c r="E157" s="88"/>
      <c r="F157" s="89"/>
    </row>
    <row r="158" spans="1:6" x14ac:dyDescent="0.25">
      <c r="A158" s="86"/>
      <c r="B158" s="87"/>
      <c r="C158" s="86"/>
      <c r="D158" s="88"/>
      <c r="E158" s="88"/>
      <c r="F158" s="89"/>
    </row>
    <row r="159" spans="1:6" x14ac:dyDescent="0.25">
      <c r="A159" s="86"/>
      <c r="B159" s="87"/>
      <c r="C159" s="86"/>
      <c r="D159" s="88"/>
      <c r="E159" s="88"/>
      <c r="F159" s="89"/>
    </row>
    <row r="160" spans="1:6" x14ac:dyDescent="0.25">
      <c r="A160" s="86"/>
      <c r="B160" s="87"/>
      <c r="C160" s="86"/>
      <c r="D160" s="88"/>
      <c r="E160" s="88"/>
      <c r="F160" s="89"/>
    </row>
    <row r="161" spans="1:6" x14ac:dyDescent="0.25">
      <c r="A161" s="86"/>
      <c r="B161" s="87"/>
      <c r="C161" s="86"/>
      <c r="D161" s="88"/>
      <c r="E161" s="88"/>
      <c r="F161" s="89"/>
    </row>
    <row r="162" spans="1:6" x14ac:dyDescent="0.25">
      <c r="A162" s="86"/>
      <c r="B162" s="87"/>
      <c r="C162" s="86"/>
      <c r="D162" s="88"/>
      <c r="E162" s="88"/>
      <c r="F162" s="89"/>
    </row>
    <row r="163" spans="1:6" x14ac:dyDescent="0.25">
      <c r="A163" s="86"/>
      <c r="B163" s="87"/>
      <c r="C163" s="86"/>
      <c r="D163" s="88"/>
      <c r="E163" s="88"/>
      <c r="F163" s="89"/>
    </row>
    <row r="164" spans="1:6" x14ac:dyDescent="0.25">
      <c r="A164" s="86"/>
      <c r="B164" s="87"/>
      <c r="C164" s="86"/>
      <c r="D164" s="88"/>
      <c r="E164" s="88"/>
      <c r="F164" s="89"/>
    </row>
    <row r="165" spans="1:6" x14ac:dyDescent="0.25">
      <c r="A165" s="86"/>
      <c r="B165" s="87"/>
      <c r="C165" s="86"/>
      <c r="D165" s="88"/>
      <c r="E165" s="88"/>
      <c r="F165" s="89"/>
    </row>
    <row r="166" spans="1:6" x14ac:dyDescent="0.25">
      <c r="A166" s="86"/>
      <c r="B166" s="87"/>
      <c r="C166" s="86"/>
      <c r="D166" s="88"/>
      <c r="E166" s="88"/>
      <c r="F166" s="89"/>
    </row>
    <row r="167" spans="1:6" x14ac:dyDescent="0.25">
      <c r="A167" s="86"/>
      <c r="B167" s="87"/>
      <c r="C167" s="86"/>
      <c r="D167" s="88"/>
      <c r="E167" s="88"/>
      <c r="F167" s="89"/>
    </row>
    <row r="168" spans="1:6" x14ac:dyDescent="0.25">
      <c r="A168" s="86"/>
      <c r="B168" s="87"/>
      <c r="C168" s="86"/>
      <c r="D168" s="88"/>
      <c r="E168" s="88"/>
      <c r="F168" s="89"/>
    </row>
    <row r="169" spans="1:6" x14ac:dyDescent="0.25">
      <c r="A169" s="86"/>
      <c r="B169" s="87"/>
      <c r="C169" s="86"/>
      <c r="D169" s="88"/>
      <c r="E169" s="88"/>
      <c r="F169" s="89"/>
    </row>
    <row r="170" spans="1:6" x14ac:dyDescent="0.25">
      <c r="A170" s="86"/>
      <c r="B170" s="87"/>
      <c r="C170" s="86"/>
      <c r="D170" s="88"/>
      <c r="E170" s="88"/>
      <c r="F170" s="89"/>
    </row>
    <row r="171" spans="1:6" x14ac:dyDescent="0.25">
      <c r="A171" s="86"/>
      <c r="B171" s="87"/>
      <c r="C171" s="86"/>
      <c r="D171" s="88"/>
      <c r="E171" s="88"/>
      <c r="F171" s="89"/>
    </row>
    <row r="172" spans="1:6" x14ac:dyDescent="0.25">
      <c r="A172" s="86"/>
      <c r="B172" s="87"/>
      <c r="C172" s="86"/>
      <c r="D172" s="88"/>
      <c r="E172" s="88"/>
      <c r="F172" s="89"/>
    </row>
    <row r="173" spans="1:6" x14ac:dyDescent="0.25">
      <c r="A173" s="86"/>
      <c r="B173" s="87"/>
      <c r="C173" s="86"/>
      <c r="D173" s="88"/>
      <c r="E173" s="88"/>
      <c r="F173" s="89"/>
    </row>
    <row r="174" spans="1:6" x14ac:dyDescent="0.25">
      <c r="A174" s="86"/>
      <c r="B174" s="87"/>
      <c r="C174" s="86"/>
      <c r="D174" s="88"/>
      <c r="E174" s="88"/>
      <c r="F174" s="89"/>
    </row>
    <row r="175" spans="1:6" x14ac:dyDescent="0.25">
      <c r="A175" s="86"/>
      <c r="B175" s="87"/>
      <c r="C175" s="86"/>
      <c r="D175" s="88"/>
      <c r="E175" s="88"/>
      <c r="F175" s="89"/>
    </row>
    <row r="176" spans="1:6" x14ac:dyDescent="0.25">
      <c r="A176" s="86"/>
      <c r="B176" s="87"/>
      <c r="C176" s="86"/>
      <c r="D176" s="88"/>
      <c r="E176" s="88"/>
      <c r="F176" s="89"/>
    </row>
    <row r="177" spans="1:6" x14ac:dyDescent="0.25">
      <c r="A177" s="86"/>
      <c r="B177" s="87"/>
      <c r="C177" s="86"/>
      <c r="D177" s="88"/>
      <c r="E177" s="88"/>
      <c r="F177" s="89"/>
    </row>
    <row r="178" spans="1:6" x14ac:dyDescent="0.25">
      <c r="A178" s="86"/>
      <c r="B178" s="87"/>
      <c r="C178" s="86"/>
      <c r="D178" s="88"/>
      <c r="E178" s="88"/>
      <c r="F178" s="89"/>
    </row>
    <row r="179" spans="1:6" x14ac:dyDescent="0.25">
      <c r="A179" s="86"/>
      <c r="B179" s="87"/>
      <c r="C179" s="86"/>
      <c r="D179" s="88"/>
      <c r="E179" s="88"/>
      <c r="F179" s="89"/>
    </row>
    <row r="180" spans="1:6" x14ac:dyDescent="0.25">
      <c r="A180" s="86"/>
      <c r="B180" s="87"/>
      <c r="C180" s="86"/>
      <c r="D180" s="88"/>
      <c r="E180" s="88"/>
      <c r="F180" s="89"/>
    </row>
    <row r="181" spans="1:6" x14ac:dyDescent="0.25">
      <c r="A181" s="86"/>
      <c r="B181" s="87"/>
      <c r="C181" s="86"/>
      <c r="D181" s="88"/>
      <c r="E181" s="88"/>
      <c r="F181" s="89"/>
    </row>
    <row r="182" spans="1:6" x14ac:dyDescent="0.25">
      <c r="A182" s="86"/>
      <c r="B182" s="87"/>
      <c r="C182" s="86"/>
      <c r="D182" s="88"/>
      <c r="E182" s="88"/>
      <c r="F182" s="89"/>
    </row>
    <row r="183" spans="1:6" x14ac:dyDescent="0.25">
      <c r="A183" s="86"/>
      <c r="B183" s="87"/>
      <c r="C183" s="86"/>
      <c r="D183" s="88"/>
      <c r="E183" s="88"/>
      <c r="F183" s="89"/>
    </row>
    <row r="184" spans="1:6" x14ac:dyDescent="0.25">
      <c r="A184" s="86"/>
      <c r="B184" s="87"/>
      <c r="C184" s="86"/>
      <c r="D184" s="88"/>
      <c r="E184" s="88"/>
      <c r="F184" s="89"/>
    </row>
    <row r="185" spans="1:6" x14ac:dyDescent="0.25">
      <c r="A185" s="86"/>
      <c r="B185" s="87"/>
      <c r="C185" s="86"/>
      <c r="D185" s="88"/>
      <c r="E185" s="88"/>
      <c r="F185" s="89"/>
    </row>
    <row r="186" spans="1:6" x14ac:dyDescent="0.25">
      <c r="A186" s="86"/>
      <c r="B186" s="87"/>
      <c r="C186" s="86"/>
      <c r="D186" s="88"/>
      <c r="E186" s="88"/>
      <c r="F186" s="89"/>
    </row>
    <row r="187" spans="1:6" x14ac:dyDescent="0.25">
      <c r="A187" s="86"/>
      <c r="B187" s="87"/>
      <c r="C187" s="86"/>
      <c r="D187" s="88"/>
      <c r="E187" s="88"/>
      <c r="F187" s="89"/>
    </row>
    <row r="188" spans="1:6" x14ac:dyDescent="0.25">
      <c r="A188" s="86"/>
      <c r="B188" s="87"/>
      <c r="C188" s="86"/>
      <c r="D188" s="88"/>
      <c r="E188" s="88"/>
      <c r="F188" s="89"/>
    </row>
    <row r="189" spans="1:6" x14ac:dyDescent="0.25">
      <c r="A189" s="86"/>
      <c r="B189" s="87"/>
      <c r="C189" s="86"/>
      <c r="D189" s="88"/>
      <c r="E189" s="88"/>
      <c r="F189" s="89"/>
    </row>
    <row r="190" spans="1:6" x14ac:dyDescent="0.25">
      <c r="A190" s="86"/>
      <c r="B190" s="87"/>
      <c r="C190" s="86"/>
      <c r="D190" s="88"/>
      <c r="E190" s="88"/>
      <c r="F190" s="89"/>
    </row>
    <row r="191" spans="1:6" x14ac:dyDescent="0.25">
      <c r="A191" s="86"/>
      <c r="B191" s="87"/>
      <c r="C191" s="86"/>
      <c r="D191" s="88"/>
      <c r="E191" s="88"/>
      <c r="F191" s="89"/>
    </row>
    <row r="192" spans="1:6" x14ac:dyDescent="0.25">
      <c r="A192" s="86"/>
      <c r="B192" s="87"/>
      <c r="C192" s="86"/>
      <c r="D192" s="88"/>
      <c r="E192" s="88"/>
      <c r="F192" s="89"/>
    </row>
    <row r="193" spans="1:6" x14ac:dyDescent="0.25">
      <c r="A193" s="86"/>
      <c r="B193" s="87"/>
      <c r="C193" s="86"/>
      <c r="D193" s="88"/>
      <c r="E193" s="88"/>
      <c r="F193" s="89"/>
    </row>
    <row r="194" spans="1:6" x14ac:dyDescent="0.25">
      <c r="A194" s="86"/>
      <c r="B194" s="87"/>
      <c r="C194" s="86"/>
      <c r="D194" s="88"/>
      <c r="E194" s="88"/>
      <c r="F194" s="89"/>
    </row>
    <row r="195" spans="1:6" x14ac:dyDescent="0.25">
      <c r="A195" s="86"/>
      <c r="B195" s="87"/>
      <c r="C195" s="86"/>
      <c r="D195" s="88"/>
      <c r="E195" s="88"/>
      <c r="F195" s="89"/>
    </row>
    <row r="196" spans="1:6" x14ac:dyDescent="0.25">
      <c r="A196" s="86"/>
      <c r="B196" s="87"/>
      <c r="C196" s="86"/>
      <c r="D196" s="88"/>
      <c r="E196" s="88"/>
      <c r="F196" s="89"/>
    </row>
    <row r="197" spans="1:6" x14ac:dyDescent="0.25">
      <c r="A197" s="86"/>
      <c r="B197" s="87"/>
      <c r="C197" s="86"/>
      <c r="D197" s="88"/>
      <c r="E197" s="88"/>
      <c r="F197" s="89"/>
    </row>
    <row r="198" spans="1:6" x14ac:dyDescent="0.25">
      <c r="A198" s="86"/>
      <c r="B198" s="87"/>
      <c r="C198" s="86"/>
      <c r="D198" s="88"/>
      <c r="E198" s="88"/>
      <c r="F198" s="89"/>
    </row>
    <row r="199" spans="1:6" x14ac:dyDescent="0.25">
      <c r="A199" s="86"/>
      <c r="B199" s="87"/>
      <c r="C199" s="86"/>
      <c r="D199" s="88"/>
      <c r="E199" s="88"/>
      <c r="F199" s="89"/>
    </row>
    <row r="200" spans="1:6" x14ac:dyDescent="0.25">
      <c r="A200" s="86"/>
      <c r="B200" s="87"/>
      <c r="C200" s="86"/>
      <c r="D200" s="88"/>
      <c r="E200" s="88"/>
      <c r="F200" s="89"/>
    </row>
    <row r="201" spans="1:6" x14ac:dyDescent="0.25">
      <c r="A201" s="86"/>
      <c r="B201" s="87"/>
      <c r="C201" s="86"/>
      <c r="D201" s="88"/>
      <c r="E201" s="88"/>
      <c r="F201" s="89"/>
    </row>
    <row r="202" spans="1:6" x14ac:dyDescent="0.25">
      <c r="A202" s="86"/>
      <c r="B202" s="87"/>
      <c r="C202" s="86"/>
      <c r="D202" s="88"/>
      <c r="E202" s="88"/>
      <c r="F202" s="89"/>
    </row>
    <row r="203" spans="1:6" x14ac:dyDescent="0.25">
      <c r="A203" s="86"/>
      <c r="B203" s="87"/>
      <c r="C203" s="86"/>
      <c r="D203" s="88"/>
      <c r="E203" s="88"/>
      <c r="F203" s="89"/>
    </row>
    <row r="204" spans="1:6" x14ac:dyDescent="0.25">
      <c r="A204" s="86"/>
      <c r="B204" s="87"/>
      <c r="C204" s="86"/>
      <c r="D204" s="88"/>
      <c r="E204" s="88"/>
      <c r="F204" s="89"/>
    </row>
    <row r="205" spans="1:6" x14ac:dyDescent="0.25">
      <c r="A205" s="86"/>
      <c r="B205" s="87"/>
      <c r="C205" s="86"/>
      <c r="D205" s="88"/>
      <c r="E205" s="88"/>
      <c r="F205" s="89"/>
    </row>
    <row r="206" spans="1:6" x14ac:dyDescent="0.25">
      <c r="A206" s="86"/>
      <c r="B206" s="87"/>
      <c r="C206" s="86"/>
      <c r="D206" s="88"/>
      <c r="E206" s="88"/>
      <c r="F206" s="89"/>
    </row>
    <row r="207" spans="1:6" x14ac:dyDescent="0.25">
      <c r="A207" s="86"/>
      <c r="B207" s="87"/>
      <c r="C207" s="86"/>
      <c r="D207" s="88"/>
      <c r="E207" s="88"/>
      <c r="F207" s="89"/>
    </row>
    <row r="208" spans="1:6" x14ac:dyDescent="0.25">
      <c r="A208" s="86"/>
      <c r="B208" s="87"/>
      <c r="C208" s="86"/>
      <c r="D208" s="88"/>
      <c r="E208" s="88"/>
      <c r="F208" s="89"/>
    </row>
    <row r="209" spans="1:6" x14ac:dyDescent="0.25">
      <c r="A209" s="86"/>
      <c r="B209" s="87"/>
      <c r="C209" s="86"/>
      <c r="D209" s="88"/>
      <c r="E209" s="88"/>
      <c r="F209" s="89"/>
    </row>
    <row r="210" spans="1:6" x14ac:dyDescent="0.25">
      <c r="A210" s="86"/>
      <c r="B210" s="87"/>
      <c r="C210" s="86"/>
      <c r="D210" s="88"/>
      <c r="E210" s="88"/>
      <c r="F210" s="89"/>
    </row>
    <row r="211" spans="1:6" x14ac:dyDescent="0.25">
      <c r="A211" s="86"/>
      <c r="B211" s="87"/>
      <c r="C211" s="86"/>
      <c r="D211" s="88"/>
      <c r="E211" s="88"/>
      <c r="F211" s="89"/>
    </row>
    <row r="212" spans="1:6" x14ac:dyDescent="0.25">
      <c r="A212" s="86"/>
      <c r="B212" s="87"/>
      <c r="C212" s="86"/>
      <c r="D212" s="88"/>
      <c r="E212" s="88"/>
      <c r="F212" s="89"/>
    </row>
    <row r="213" spans="1:6" x14ac:dyDescent="0.25">
      <c r="A213" s="86"/>
      <c r="B213" s="87"/>
      <c r="C213" s="86"/>
      <c r="D213" s="88"/>
      <c r="E213" s="88"/>
      <c r="F213" s="89"/>
    </row>
    <row r="214" spans="1:6" x14ac:dyDescent="0.25">
      <c r="A214" s="86"/>
      <c r="B214" s="87"/>
      <c r="C214" s="86"/>
      <c r="D214" s="88"/>
      <c r="E214" s="88"/>
      <c r="F214" s="89"/>
    </row>
    <row r="215" spans="1:6" x14ac:dyDescent="0.25">
      <c r="A215" s="86"/>
      <c r="B215" s="87"/>
      <c r="C215" s="86"/>
      <c r="D215" s="88"/>
      <c r="E215" s="88"/>
      <c r="F215" s="89"/>
    </row>
    <row r="216" spans="1:6" x14ac:dyDescent="0.25">
      <c r="A216" s="86"/>
      <c r="B216" s="87"/>
      <c r="C216" s="86"/>
      <c r="D216" s="88"/>
      <c r="E216" s="88"/>
      <c r="F216" s="89"/>
    </row>
    <row r="217" spans="1:6" x14ac:dyDescent="0.25">
      <c r="A217" s="86"/>
      <c r="B217" s="87"/>
      <c r="C217" s="86"/>
      <c r="D217" s="88"/>
      <c r="E217" s="88"/>
      <c r="F217" s="89"/>
    </row>
    <row r="218" spans="1:6" x14ac:dyDescent="0.25">
      <c r="A218" s="86"/>
      <c r="B218" s="87"/>
      <c r="C218" s="86"/>
      <c r="D218" s="88"/>
      <c r="E218" s="88"/>
      <c r="F218" s="89"/>
    </row>
    <row r="219" spans="1:6" x14ac:dyDescent="0.25">
      <c r="A219" s="86"/>
      <c r="B219" s="87"/>
      <c r="C219" s="86"/>
      <c r="D219" s="88"/>
      <c r="E219" s="88"/>
      <c r="F219" s="89"/>
    </row>
    <row r="220" spans="1:6" x14ac:dyDescent="0.25">
      <c r="A220" s="86"/>
      <c r="B220" s="87"/>
      <c r="C220" s="86"/>
      <c r="D220" s="88"/>
      <c r="E220" s="88"/>
      <c r="F220" s="89"/>
    </row>
    <row r="221" spans="1:6" x14ac:dyDescent="0.25">
      <c r="A221" s="86"/>
      <c r="B221" s="87"/>
      <c r="C221" s="86"/>
      <c r="D221" s="88"/>
      <c r="E221" s="88"/>
      <c r="F221" s="89"/>
    </row>
    <row r="222" spans="1:6" x14ac:dyDescent="0.25">
      <c r="A222" s="86"/>
      <c r="B222" s="87"/>
      <c r="C222" s="86"/>
      <c r="D222" s="88"/>
      <c r="E222" s="88"/>
      <c r="F222" s="89"/>
    </row>
    <row r="223" spans="1:6" x14ac:dyDescent="0.25">
      <c r="A223" s="86"/>
      <c r="B223" s="87"/>
      <c r="C223" s="86"/>
      <c r="D223" s="88"/>
      <c r="E223" s="88"/>
      <c r="F223" s="89"/>
    </row>
    <row r="224" spans="1:6" x14ac:dyDescent="0.25">
      <c r="A224" s="86"/>
      <c r="B224" s="87"/>
      <c r="C224" s="86"/>
      <c r="D224" s="88"/>
      <c r="E224" s="88"/>
      <c r="F224" s="89"/>
    </row>
    <row r="225" spans="1:6" x14ac:dyDescent="0.25">
      <c r="A225" s="86"/>
      <c r="B225" s="87"/>
      <c r="C225" s="86"/>
      <c r="D225" s="88"/>
      <c r="E225" s="88"/>
      <c r="F225" s="89"/>
    </row>
    <row r="226" spans="1:6" x14ac:dyDescent="0.25">
      <c r="A226" s="86"/>
      <c r="B226" s="87"/>
      <c r="C226" s="86"/>
      <c r="D226" s="88"/>
      <c r="E226" s="88"/>
      <c r="F226" s="89"/>
    </row>
    <row r="227" spans="1:6" x14ac:dyDescent="0.25">
      <c r="A227" s="86"/>
      <c r="B227" s="87"/>
      <c r="C227" s="86"/>
      <c r="D227" s="88"/>
      <c r="E227" s="88"/>
      <c r="F227" s="89"/>
    </row>
    <row r="228" spans="1:6" x14ac:dyDescent="0.25">
      <c r="A228" s="86"/>
      <c r="B228" s="87"/>
      <c r="C228" s="86"/>
      <c r="D228" s="88"/>
      <c r="E228" s="88"/>
      <c r="F228" s="89"/>
    </row>
    <row r="229" spans="1:6" x14ac:dyDescent="0.25">
      <c r="A229" s="86"/>
      <c r="B229" s="87"/>
      <c r="C229" s="86"/>
      <c r="D229" s="88"/>
      <c r="E229" s="88"/>
      <c r="F229" s="89"/>
    </row>
    <row r="230" spans="1:6" x14ac:dyDescent="0.25">
      <c r="A230" s="86"/>
      <c r="B230" s="87"/>
      <c r="C230" s="86"/>
      <c r="D230" s="88"/>
      <c r="E230" s="88"/>
      <c r="F230" s="89"/>
    </row>
    <row r="231" spans="1:6" x14ac:dyDescent="0.25">
      <c r="A231" s="86"/>
      <c r="B231" s="87"/>
      <c r="C231" s="86"/>
      <c r="D231" s="88"/>
      <c r="E231" s="88"/>
      <c r="F231" s="89"/>
    </row>
    <row r="232" spans="1:6" x14ac:dyDescent="0.25">
      <c r="A232" s="86"/>
      <c r="B232" s="87"/>
      <c r="C232" s="86"/>
      <c r="D232" s="88"/>
      <c r="E232" s="88"/>
      <c r="F232" s="89"/>
    </row>
    <row r="233" spans="1:6" x14ac:dyDescent="0.25">
      <c r="A233" s="86"/>
      <c r="B233" s="87"/>
      <c r="C233" s="86"/>
      <c r="D233" s="88"/>
      <c r="E233" s="88"/>
      <c r="F233" s="89"/>
    </row>
    <row r="234" spans="1:6" x14ac:dyDescent="0.25">
      <c r="A234" s="86"/>
      <c r="B234" s="87"/>
      <c r="C234" s="86"/>
      <c r="D234" s="88"/>
      <c r="E234" s="88"/>
      <c r="F234" s="89"/>
    </row>
    <row r="235" spans="1:6" x14ac:dyDescent="0.25">
      <c r="A235" s="86"/>
      <c r="B235" s="87"/>
      <c r="C235" s="86"/>
      <c r="D235" s="88"/>
      <c r="E235" s="88"/>
      <c r="F235" s="89"/>
    </row>
    <row r="236" spans="1:6" x14ac:dyDescent="0.25">
      <c r="A236" s="86"/>
      <c r="B236" s="87"/>
      <c r="C236" s="86"/>
      <c r="D236" s="88"/>
      <c r="E236" s="88"/>
      <c r="F236" s="89"/>
    </row>
    <row r="237" spans="1:6" x14ac:dyDescent="0.25">
      <c r="A237" s="86"/>
      <c r="B237" s="87"/>
      <c r="C237" s="86"/>
      <c r="D237" s="88"/>
      <c r="E237" s="88"/>
      <c r="F237" s="89"/>
    </row>
    <row r="238" spans="1:6" x14ac:dyDescent="0.25">
      <c r="A238" s="86"/>
      <c r="B238" s="87"/>
      <c r="C238" s="86"/>
      <c r="D238" s="88"/>
      <c r="E238" s="88"/>
      <c r="F238" s="89"/>
    </row>
    <row r="239" spans="1:6" x14ac:dyDescent="0.25">
      <c r="A239" s="86"/>
      <c r="B239" s="87"/>
      <c r="C239" s="86"/>
      <c r="D239" s="88"/>
      <c r="E239" s="88"/>
      <c r="F239" s="89"/>
    </row>
    <row r="240" spans="1:6" x14ac:dyDescent="0.25">
      <c r="A240" s="86"/>
      <c r="B240" s="87"/>
      <c r="C240" s="86"/>
      <c r="D240" s="88"/>
      <c r="E240" s="88"/>
      <c r="F240" s="89"/>
    </row>
    <row r="241" spans="1:6" x14ac:dyDescent="0.25">
      <c r="A241" s="86"/>
      <c r="B241" s="87"/>
      <c r="C241" s="86"/>
      <c r="D241" s="88"/>
      <c r="E241" s="88"/>
      <c r="F241" s="89"/>
    </row>
    <row r="242" spans="1:6" x14ac:dyDescent="0.25">
      <c r="A242" s="86"/>
      <c r="B242" s="87"/>
      <c r="C242" s="86"/>
      <c r="D242" s="88"/>
      <c r="E242" s="88"/>
      <c r="F242" s="89"/>
    </row>
    <row r="243" spans="1:6" x14ac:dyDescent="0.25">
      <c r="A243" s="86"/>
      <c r="B243" s="87"/>
      <c r="C243" s="86"/>
      <c r="D243" s="88"/>
      <c r="E243" s="88"/>
      <c r="F243" s="89"/>
    </row>
    <row r="244" spans="1:6" x14ac:dyDescent="0.25">
      <c r="A244" s="86"/>
      <c r="B244" s="87"/>
      <c r="C244" s="86"/>
      <c r="D244" s="88"/>
      <c r="E244" s="88"/>
      <c r="F244" s="89"/>
    </row>
    <row r="245" spans="1:6" x14ac:dyDescent="0.25">
      <c r="A245" s="86"/>
      <c r="B245" s="87"/>
      <c r="C245" s="86"/>
      <c r="D245" s="88"/>
      <c r="E245" s="88"/>
      <c r="F245" s="89"/>
    </row>
    <row r="246" spans="1:6" x14ac:dyDescent="0.25">
      <c r="A246" s="86"/>
      <c r="B246" s="87"/>
      <c r="C246" s="86"/>
      <c r="D246" s="88"/>
      <c r="E246" s="88"/>
      <c r="F246" s="89"/>
    </row>
    <row r="247" spans="1:6" x14ac:dyDescent="0.25">
      <c r="A247" s="86"/>
      <c r="B247" s="87"/>
      <c r="C247" s="86"/>
      <c r="D247" s="88"/>
      <c r="E247" s="88"/>
      <c r="F247" s="89"/>
    </row>
    <row r="248" spans="1:6" x14ac:dyDescent="0.25">
      <c r="A248" s="86"/>
      <c r="B248" s="87"/>
      <c r="C248" s="86"/>
      <c r="D248" s="88"/>
      <c r="E248" s="88"/>
      <c r="F248" s="89"/>
    </row>
    <row r="249" spans="1:6" x14ac:dyDescent="0.25">
      <c r="A249" s="86"/>
      <c r="B249" s="87"/>
      <c r="C249" s="86"/>
      <c r="D249" s="88"/>
      <c r="E249" s="88"/>
      <c r="F249" s="89"/>
    </row>
    <row r="250" spans="1:6" x14ac:dyDescent="0.25">
      <c r="A250" s="86"/>
      <c r="B250" s="87"/>
      <c r="C250" s="86"/>
      <c r="D250" s="88"/>
      <c r="E250" s="88"/>
      <c r="F250" s="89"/>
    </row>
    <row r="251" spans="1:6" x14ac:dyDescent="0.25">
      <c r="A251" s="86"/>
      <c r="B251" s="87"/>
      <c r="C251" s="86"/>
      <c r="D251" s="88"/>
      <c r="E251" s="88"/>
      <c r="F251" s="89"/>
    </row>
    <row r="252" spans="1:6" x14ac:dyDescent="0.25">
      <c r="A252" s="86"/>
      <c r="B252" s="87"/>
      <c r="C252" s="86"/>
      <c r="D252" s="88"/>
      <c r="E252" s="88"/>
      <c r="F252" s="89"/>
    </row>
    <row r="253" spans="1:6" x14ac:dyDescent="0.25">
      <c r="A253" s="86"/>
      <c r="B253" s="87"/>
      <c r="C253" s="86"/>
      <c r="D253" s="88"/>
      <c r="E253" s="88"/>
      <c r="F253" s="89"/>
    </row>
    <row r="254" spans="1:6" x14ac:dyDescent="0.25">
      <c r="A254" s="86"/>
      <c r="B254" s="87"/>
      <c r="C254" s="86"/>
      <c r="D254" s="88"/>
      <c r="E254" s="88"/>
      <c r="F254" s="89"/>
    </row>
    <row r="255" spans="1:6" x14ac:dyDescent="0.25">
      <c r="A255" s="86"/>
      <c r="B255" s="87"/>
      <c r="C255" s="86"/>
      <c r="D255" s="88"/>
      <c r="E255" s="88"/>
      <c r="F255" s="89"/>
    </row>
    <row r="256" spans="1:6" x14ac:dyDescent="0.25">
      <c r="A256" s="86"/>
      <c r="B256" s="87"/>
      <c r="C256" s="86"/>
      <c r="D256" s="88"/>
      <c r="E256" s="88"/>
      <c r="F256" s="89"/>
    </row>
    <row r="257" spans="1:6" x14ac:dyDescent="0.25">
      <c r="A257" s="86"/>
      <c r="B257" s="87"/>
      <c r="C257" s="86"/>
      <c r="D257" s="88"/>
      <c r="E257" s="88"/>
      <c r="F257" s="89"/>
    </row>
    <row r="258" spans="1:6" x14ac:dyDescent="0.25">
      <c r="A258" s="86"/>
      <c r="B258" s="87"/>
      <c r="C258" s="86"/>
      <c r="D258" s="88"/>
      <c r="E258" s="88"/>
      <c r="F258" s="89"/>
    </row>
    <row r="259" spans="1:6" x14ac:dyDescent="0.25">
      <c r="A259" s="86"/>
      <c r="B259" s="87"/>
      <c r="C259" s="86"/>
      <c r="D259" s="88"/>
      <c r="E259" s="88"/>
      <c r="F259" s="89"/>
    </row>
    <row r="260" spans="1:6" x14ac:dyDescent="0.25">
      <c r="A260" s="86"/>
      <c r="B260" s="87"/>
      <c r="C260" s="86"/>
      <c r="D260" s="88"/>
      <c r="E260" s="88"/>
      <c r="F260" s="89"/>
    </row>
    <row r="261" spans="1:6" x14ac:dyDescent="0.25">
      <c r="A261" s="86"/>
      <c r="B261" s="87"/>
      <c r="C261" s="86"/>
      <c r="D261" s="88"/>
      <c r="E261" s="88"/>
      <c r="F261" s="89"/>
    </row>
    <row r="262" spans="1:6" x14ac:dyDescent="0.25">
      <c r="A262" s="86"/>
      <c r="B262" s="87"/>
      <c r="C262" s="86"/>
      <c r="D262" s="88"/>
      <c r="E262" s="88"/>
      <c r="F262" s="89"/>
    </row>
    <row r="263" spans="1:6" x14ac:dyDescent="0.25">
      <c r="A263" s="86"/>
      <c r="B263" s="87"/>
      <c r="C263" s="86"/>
      <c r="D263" s="88"/>
      <c r="E263" s="88"/>
      <c r="F263" s="89"/>
    </row>
    <row r="264" spans="1:6" x14ac:dyDescent="0.25">
      <c r="A264" s="86"/>
      <c r="B264" s="87"/>
      <c r="C264" s="86"/>
      <c r="D264" s="88"/>
      <c r="E264" s="88"/>
      <c r="F264" s="89"/>
    </row>
    <row r="265" spans="1:6" x14ac:dyDescent="0.25">
      <c r="A265" s="86"/>
      <c r="B265" s="87"/>
      <c r="C265" s="86"/>
      <c r="D265" s="88"/>
      <c r="E265" s="88"/>
      <c r="F265" s="89"/>
    </row>
    <row r="266" spans="1:6" x14ac:dyDescent="0.25">
      <c r="A266" s="86"/>
      <c r="B266" s="87"/>
      <c r="C266" s="86"/>
      <c r="D266" s="88"/>
      <c r="E266" s="88"/>
      <c r="F266" s="89"/>
    </row>
    <row r="267" spans="1:6" x14ac:dyDescent="0.25">
      <c r="A267" s="86"/>
      <c r="B267" s="87"/>
      <c r="C267" s="86"/>
      <c r="D267" s="88"/>
      <c r="E267" s="88"/>
      <c r="F267" s="89"/>
    </row>
    <row r="268" spans="1:6" x14ac:dyDescent="0.25">
      <c r="A268" s="86"/>
      <c r="B268" s="87"/>
      <c r="C268" s="86"/>
      <c r="D268" s="88"/>
      <c r="E268" s="88"/>
      <c r="F268" s="89"/>
    </row>
    <row r="269" spans="1:6" x14ac:dyDescent="0.25">
      <c r="A269" s="86"/>
      <c r="B269" s="87"/>
      <c r="C269" s="86"/>
      <c r="D269" s="88"/>
      <c r="E269" s="88"/>
      <c r="F269" s="89"/>
    </row>
    <row r="270" spans="1:6" x14ac:dyDescent="0.25">
      <c r="A270" s="86"/>
      <c r="B270" s="87"/>
      <c r="C270" s="86"/>
      <c r="D270" s="88"/>
      <c r="E270" s="88"/>
      <c r="F270" s="89"/>
    </row>
    <row r="271" spans="1:6" x14ac:dyDescent="0.25">
      <c r="A271" s="86"/>
      <c r="B271" s="87"/>
      <c r="C271" s="86"/>
      <c r="D271" s="88"/>
      <c r="E271" s="88"/>
      <c r="F271" s="89"/>
    </row>
    <row r="272" spans="1:6" x14ac:dyDescent="0.25">
      <c r="A272" s="86"/>
      <c r="B272" s="87"/>
      <c r="C272" s="86"/>
      <c r="D272" s="88"/>
      <c r="E272" s="88"/>
      <c r="F272" s="89"/>
    </row>
    <row r="273" spans="1:6" x14ac:dyDescent="0.25">
      <c r="A273" s="86"/>
      <c r="B273" s="87"/>
      <c r="C273" s="86"/>
      <c r="D273" s="88"/>
      <c r="E273" s="88"/>
      <c r="F273" s="89"/>
    </row>
    <row r="274" spans="1:6" x14ac:dyDescent="0.25">
      <c r="A274" s="86"/>
      <c r="B274" s="87"/>
      <c r="C274" s="86"/>
      <c r="D274" s="88"/>
      <c r="E274" s="88"/>
      <c r="F274" s="89"/>
    </row>
    <row r="275" spans="1:6" x14ac:dyDescent="0.25">
      <c r="A275" s="86"/>
      <c r="B275" s="87"/>
      <c r="C275" s="86"/>
      <c r="D275" s="88"/>
      <c r="E275" s="88"/>
      <c r="F275" s="89"/>
    </row>
    <row r="276" spans="1:6" x14ac:dyDescent="0.25">
      <c r="A276" s="86"/>
      <c r="B276" s="87"/>
      <c r="C276" s="86"/>
      <c r="D276" s="88"/>
      <c r="E276" s="88"/>
      <c r="F276" s="89"/>
    </row>
    <row r="277" spans="1:6" x14ac:dyDescent="0.25">
      <c r="A277" s="86"/>
      <c r="B277" s="87"/>
      <c r="C277" s="86"/>
      <c r="D277" s="88"/>
      <c r="E277" s="88"/>
      <c r="F277" s="89"/>
    </row>
    <row r="278" spans="1:6" x14ac:dyDescent="0.25">
      <c r="A278" s="86"/>
      <c r="B278" s="87"/>
      <c r="C278" s="86"/>
      <c r="D278" s="88"/>
      <c r="E278" s="88"/>
      <c r="F278" s="89"/>
    </row>
    <row r="279" spans="1:6" x14ac:dyDescent="0.25">
      <c r="A279" s="86"/>
      <c r="B279" s="87"/>
      <c r="C279" s="86"/>
      <c r="D279" s="88"/>
      <c r="E279" s="88"/>
      <c r="F279" s="89"/>
    </row>
    <row r="280" spans="1:6" x14ac:dyDescent="0.25">
      <c r="A280" s="86"/>
      <c r="B280" s="87"/>
      <c r="C280" s="86"/>
      <c r="D280" s="88"/>
      <c r="E280" s="88"/>
      <c r="F280" s="89"/>
    </row>
    <row r="281" spans="1:6" x14ac:dyDescent="0.25">
      <c r="A281" s="86"/>
      <c r="B281" s="87"/>
      <c r="C281" s="86"/>
      <c r="D281" s="88"/>
      <c r="E281" s="88"/>
      <c r="F281" s="89"/>
    </row>
    <row r="282" spans="1:6" x14ac:dyDescent="0.25">
      <c r="A282" s="86"/>
      <c r="B282" s="87"/>
      <c r="C282" s="86"/>
      <c r="D282" s="88"/>
      <c r="E282" s="88"/>
      <c r="F282" s="89"/>
    </row>
    <row r="283" spans="1:6" x14ac:dyDescent="0.25">
      <c r="A283" s="86"/>
      <c r="B283" s="87"/>
      <c r="C283" s="86"/>
      <c r="D283" s="88"/>
      <c r="E283" s="88"/>
      <c r="F283" s="89"/>
    </row>
    <row r="284" spans="1:6" x14ac:dyDescent="0.25">
      <c r="A284" s="86"/>
      <c r="B284" s="87"/>
      <c r="C284" s="86"/>
      <c r="D284" s="88"/>
      <c r="E284" s="88"/>
      <c r="F284" s="89"/>
    </row>
    <row r="285" spans="1:6" x14ac:dyDescent="0.25">
      <c r="A285" s="86"/>
      <c r="B285" s="87"/>
      <c r="C285" s="86"/>
      <c r="D285" s="88"/>
      <c r="E285" s="88"/>
      <c r="F285" s="89"/>
    </row>
    <row r="286" spans="1:6" x14ac:dyDescent="0.25">
      <c r="A286" s="86"/>
      <c r="B286" s="87"/>
      <c r="C286" s="86"/>
      <c r="D286" s="88"/>
      <c r="E286" s="88"/>
      <c r="F286" s="89"/>
    </row>
    <row r="287" spans="1:6" x14ac:dyDescent="0.25">
      <c r="A287" s="86"/>
      <c r="B287" s="87"/>
      <c r="C287" s="86"/>
      <c r="D287" s="88"/>
      <c r="E287" s="88"/>
      <c r="F287" s="89"/>
    </row>
    <row r="288" spans="1:6" x14ac:dyDescent="0.25">
      <c r="A288" s="86"/>
      <c r="B288" s="87"/>
      <c r="C288" s="86"/>
      <c r="D288" s="88"/>
      <c r="E288" s="88"/>
      <c r="F288" s="89"/>
    </row>
    <row r="289" spans="1:6" x14ac:dyDescent="0.25">
      <c r="A289" s="86"/>
      <c r="B289" s="87"/>
      <c r="C289" s="86"/>
      <c r="D289" s="88"/>
      <c r="E289" s="88"/>
      <c r="F289" s="89"/>
    </row>
    <row r="290" spans="1:6" x14ac:dyDescent="0.25">
      <c r="A290" s="86"/>
      <c r="B290" s="87"/>
      <c r="C290" s="86"/>
      <c r="D290" s="88"/>
      <c r="E290" s="88"/>
      <c r="F290" s="89"/>
    </row>
    <row r="291" spans="1:6" x14ac:dyDescent="0.25">
      <c r="A291" s="86"/>
      <c r="B291" s="87"/>
      <c r="C291" s="86"/>
      <c r="D291" s="88"/>
      <c r="E291" s="88"/>
      <c r="F291" s="89"/>
    </row>
    <row r="292" spans="1:6" x14ac:dyDescent="0.25">
      <c r="A292" s="86"/>
      <c r="B292" s="87"/>
      <c r="C292" s="86"/>
      <c r="D292" s="88"/>
      <c r="E292" s="88"/>
      <c r="F292" s="89"/>
    </row>
    <row r="293" spans="1:6" x14ac:dyDescent="0.25">
      <c r="A293" s="86"/>
      <c r="B293" s="87"/>
      <c r="C293" s="86"/>
      <c r="D293" s="88"/>
      <c r="E293" s="88"/>
      <c r="F293" s="89"/>
    </row>
    <row r="294" spans="1:6" x14ac:dyDescent="0.25">
      <c r="A294" s="86"/>
      <c r="B294" s="87"/>
      <c r="C294" s="86"/>
      <c r="D294" s="88"/>
      <c r="E294" s="88"/>
      <c r="F294" s="89"/>
    </row>
    <row r="295" spans="1:6" x14ac:dyDescent="0.25">
      <c r="A295" s="86"/>
      <c r="B295" s="87"/>
      <c r="C295" s="86"/>
      <c r="D295" s="88"/>
      <c r="E295" s="88"/>
      <c r="F295" s="89"/>
    </row>
    <row r="296" spans="1:6" x14ac:dyDescent="0.25">
      <c r="A296" s="86"/>
      <c r="B296" s="87"/>
      <c r="C296" s="86"/>
      <c r="D296" s="88"/>
      <c r="E296" s="88"/>
      <c r="F296" s="89"/>
    </row>
    <row r="297" spans="1:6" x14ac:dyDescent="0.25">
      <c r="A297" s="86"/>
      <c r="B297" s="87"/>
      <c r="C297" s="86"/>
      <c r="D297" s="88"/>
      <c r="E297" s="88"/>
      <c r="F297" s="89"/>
    </row>
    <row r="298" spans="1:6" x14ac:dyDescent="0.25">
      <c r="A298" s="86"/>
      <c r="B298" s="87"/>
      <c r="C298" s="86"/>
      <c r="D298" s="88"/>
      <c r="E298" s="88"/>
      <c r="F298" s="89"/>
    </row>
    <row r="299" spans="1:6" x14ac:dyDescent="0.25">
      <c r="A299" s="86"/>
      <c r="B299" s="87"/>
      <c r="C299" s="86"/>
      <c r="D299" s="88"/>
      <c r="E299" s="88"/>
      <c r="F299" s="89"/>
    </row>
    <row r="300" spans="1:6" x14ac:dyDescent="0.25">
      <c r="A300" s="86"/>
      <c r="B300" s="87"/>
      <c r="C300" s="86"/>
      <c r="D300" s="88"/>
      <c r="E300" s="88"/>
      <c r="F300" s="89"/>
    </row>
    <row r="301" spans="1:6" x14ac:dyDescent="0.25">
      <c r="A301" s="86"/>
      <c r="B301" s="87"/>
      <c r="C301" s="86"/>
      <c r="D301" s="88"/>
      <c r="E301" s="88"/>
      <c r="F301" s="89"/>
    </row>
    <row r="302" spans="1:6" x14ac:dyDescent="0.25">
      <c r="A302" s="86"/>
      <c r="B302" s="87"/>
      <c r="C302" s="86"/>
      <c r="D302" s="88"/>
      <c r="E302" s="88"/>
      <c r="F302" s="89"/>
    </row>
    <row r="303" spans="1:6" x14ac:dyDescent="0.25">
      <c r="A303" s="86"/>
      <c r="B303" s="87"/>
      <c r="C303" s="86"/>
      <c r="D303" s="88"/>
      <c r="E303" s="88"/>
      <c r="F303" s="89"/>
    </row>
    <row r="304" spans="1:6" x14ac:dyDescent="0.25">
      <c r="A304" s="86"/>
      <c r="B304" s="87"/>
      <c r="C304" s="86"/>
      <c r="D304" s="88"/>
      <c r="E304" s="88"/>
      <c r="F304" s="89"/>
    </row>
    <row r="305" spans="1:6" x14ac:dyDescent="0.25">
      <c r="A305" s="86"/>
      <c r="B305" s="87"/>
      <c r="C305" s="86"/>
      <c r="D305" s="88"/>
      <c r="E305" s="88"/>
      <c r="F305" s="89"/>
    </row>
    <row r="306" spans="1:6" x14ac:dyDescent="0.25">
      <c r="A306" s="86"/>
      <c r="B306" s="87"/>
      <c r="C306" s="86"/>
      <c r="D306" s="88"/>
      <c r="E306" s="88"/>
      <c r="F306" s="89"/>
    </row>
    <row r="307" spans="1:6" x14ac:dyDescent="0.25">
      <c r="A307" s="86"/>
      <c r="B307" s="87"/>
      <c r="C307" s="86"/>
      <c r="D307" s="88"/>
      <c r="E307" s="88"/>
      <c r="F307" s="89"/>
    </row>
    <row r="308" spans="1:6" x14ac:dyDescent="0.25">
      <c r="A308" s="86"/>
      <c r="B308" s="87"/>
      <c r="C308" s="86"/>
      <c r="D308" s="88"/>
      <c r="E308" s="88"/>
      <c r="F308" s="89"/>
    </row>
    <row r="309" spans="1:6" x14ac:dyDescent="0.25">
      <c r="A309" s="86"/>
      <c r="B309" s="87"/>
      <c r="C309" s="86"/>
      <c r="D309" s="88"/>
      <c r="E309" s="88"/>
      <c r="F309" s="89"/>
    </row>
    <row r="310" spans="1:6" x14ac:dyDescent="0.25">
      <c r="A310" s="86"/>
      <c r="B310" s="87"/>
      <c r="C310" s="86"/>
      <c r="D310" s="88"/>
      <c r="E310" s="88"/>
      <c r="F310" s="89"/>
    </row>
    <row r="311" spans="1:6" x14ac:dyDescent="0.25">
      <c r="A311" s="86"/>
      <c r="B311" s="87"/>
      <c r="C311" s="86"/>
      <c r="D311" s="88"/>
      <c r="E311" s="88"/>
      <c r="F311" s="89"/>
    </row>
    <row r="312" spans="1:6" x14ac:dyDescent="0.25">
      <c r="A312" s="86"/>
      <c r="B312" s="87"/>
      <c r="C312" s="86"/>
      <c r="D312" s="88"/>
      <c r="E312" s="88"/>
      <c r="F312" s="89"/>
    </row>
    <row r="313" spans="1:6" x14ac:dyDescent="0.25">
      <c r="A313" s="86"/>
      <c r="B313" s="87"/>
      <c r="C313" s="86"/>
      <c r="D313" s="88"/>
      <c r="E313" s="88"/>
      <c r="F313" s="89"/>
    </row>
    <row r="314" spans="1:6" x14ac:dyDescent="0.25">
      <c r="A314" s="86"/>
      <c r="B314" s="87"/>
      <c r="C314" s="86"/>
      <c r="D314" s="88"/>
      <c r="E314" s="88"/>
      <c r="F314" s="89"/>
    </row>
    <row r="315" spans="1:6" x14ac:dyDescent="0.25">
      <c r="A315" s="86"/>
      <c r="B315" s="87"/>
      <c r="C315" s="86"/>
      <c r="D315" s="88"/>
      <c r="E315" s="88"/>
      <c r="F315" s="89"/>
    </row>
    <row r="316" spans="1:6" x14ac:dyDescent="0.25">
      <c r="A316" s="86"/>
      <c r="B316" s="87"/>
      <c r="C316" s="86"/>
      <c r="D316" s="88"/>
      <c r="E316" s="88"/>
      <c r="F316" s="89"/>
    </row>
    <row r="317" spans="1:6" x14ac:dyDescent="0.25">
      <c r="A317" s="86"/>
      <c r="B317" s="87"/>
      <c r="C317" s="86"/>
      <c r="D317" s="88"/>
      <c r="E317" s="88"/>
      <c r="F317" s="89"/>
    </row>
    <row r="318" spans="1:6" x14ac:dyDescent="0.25">
      <c r="A318" s="86"/>
      <c r="B318" s="87"/>
      <c r="C318" s="86"/>
      <c r="D318" s="88"/>
      <c r="E318" s="88"/>
      <c r="F318" s="89"/>
    </row>
    <row r="319" spans="1:6" x14ac:dyDescent="0.25">
      <c r="A319" s="86"/>
      <c r="B319" s="87"/>
      <c r="C319" s="86"/>
      <c r="D319" s="88"/>
      <c r="E319" s="88"/>
      <c r="F319" s="89"/>
    </row>
    <row r="320" spans="1:6" x14ac:dyDescent="0.25">
      <c r="A320" s="86"/>
      <c r="B320" s="87"/>
      <c r="C320" s="86"/>
      <c r="D320" s="88"/>
      <c r="E320" s="88"/>
      <c r="F320" s="89"/>
    </row>
    <row r="321" spans="1:6" x14ac:dyDescent="0.25">
      <c r="A321" s="86"/>
      <c r="B321" s="87"/>
      <c r="C321" s="86"/>
      <c r="D321" s="88"/>
      <c r="E321" s="88"/>
      <c r="F321" s="89"/>
    </row>
    <row r="322" spans="1:6" x14ac:dyDescent="0.25">
      <c r="A322" s="86"/>
      <c r="B322" s="87"/>
      <c r="C322" s="86"/>
      <c r="D322" s="88"/>
      <c r="E322" s="88"/>
      <c r="F322" s="89"/>
    </row>
    <row r="323" spans="1:6" x14ac:dyDescent="0.25">
      <c r="A323" s="86"/>
      <c r="B323" s="87"/>
      <c r="C323" s="86"/>
      <c r="D323" s="88"/>
      <c r="E323" s="88"/>
      <c r="F323" s="89"/>
    </row>
    <row r="324" spans="1:6" x14ac:dyDescent="0.25">
      <c r="A324" s="86"/>
      <c r="B324" s="87"/>
      <c r="C324" s="86"/>
      <c r="D324" s="88"/>
      <c r="E324" s="88"/>
      <c r="F324" s="89"/>
    </row>
    <row r="325" spans="1:6" x14ac:dyDescent="0.25">
      <c r="A325" s="86"/>
      <c r="B325" s="87"/>
      <c r="C325" s="86"/>
      <c r="D325" s="88"/>
      <c r="E325" s="88"/>
      <c r="F325" s="89"/>
    </row>
    <row r="326" spans="1:6" x14ac:dyDescent="0.25">
      <c r="A326" s="86"/>
      <c r="B326" s="87"/>
      <c r="C326" s="86"/>
      <c r="D326" s="88"/>
      <c r="E326" s="88"/>
      <c r="F326" s="89"/>
    </row>
    <row r="327" spans="1:6" x14ac:dyDescent="0.25">
      <c r="A327" s="86"/>
      <c r="B327" s="87"/>
      <c r="C327" s="86"/>
      <c r="D327" s="88"/>
      <c r="E327" s="88"/>
      <c r="F327" s="89"/>
    </row>
    <row r="328" spans="1:6" x14ac:dyDescent="0.25">
      <c r="A328" s="86"/>
      <c r="B328" s="87"/>
      <c r="C328" s="86"/>
      <c r="D328" s="88"/>
      <c r="E328" s="88"/>
      <c r="F328" s="89"/>
    </row>
    <row r="329" spans="1:6" x14ac:dyDescent="0.25">
      <c r="A329" s="86"/>
      <c r="B329" s="87"/>
      <c r="C329" s="86"/>
      <c r="D329" s="88"/>
      <c r="E329" s="88"/>
      <c r="F329" s="89"/>
    </row>
    <row r="330" spans="1:6" x14ac:dyDescent="0.25">
      <c r="A330" s="86"/>
      <c r="B330" s="87"/>
      <c r="C330" s="86"/>
      <c r="D330" s="88"/>
      <c r="E330" s="88"/>
      <c r="F330" s="89"/>
    </row>
    <row r="331" spans="1:6" x14ac:dyDescent="0.25">
      <c r="A331" s="86"/>
      <c r="B331" s="87"/>
      <c r="C331" s="86"/>
      <c r="D331" s="88"/>
      <c r="E331" s="88"/>
      <c r="F331" s="89"/>
    </row>
    <row r="332" spans="1:6" x14ac:dyDescent="0.25">
      <c r="A332" s="86"/>
      <c r="B332" s="87"/>
      <c r="C332" s="86"/>
      <c r="D332" s="88"/>
      <c r="E332" s="88"/>
      <c r="F332" s="89"/>
    </row>
    <row r="333" spans="1:6" x14ac:dyDescent="0.25">
      <c r="A333" s="86"/>
      <c r="B333" s="87"/>
      <c r="C333" s="86"/>
      <c r="D333" s="88"/>
      <c r="E333" s="88"/>
      <c r="F333" s="89"/>
    </row>
    <row r="334" spans="1:6" x14ac:dyDescent="0.25">
      <c r="A334" s="86"/>
      <c r="B334" s="87"/>
      <c r="C334" s="86"/>
      <c r="D334" s="88"/>
      <c r="E334" s="88"/>
      <c r="F334" s="89"/>
    </row>
    <row r="335" spans="1:6" x14ac:dyDescent="0.25">
      <c r="A335" s="86"/>
      <c r="B335" s="87"/>
      <c r="C335" s="86"/>
      <c r="D335" s="88"/>
      <c r="E335" s="88"/>
      <c r="F335" s="89"/>
    </row>
    <row r="336" spans="1:6" x14ac:dyDescent="0.25">
      <c r="A336" s="86"/>
      <c r="B336" s="87"/>
      <c r="C336" s="86"/>
      <c r="D336" s="88"/>
      <c r="E336" s="88"/>
      <c r="F336" s="89"/>
    </row>
    <row r="337" spans="1:6" x14ac:dyDescent="0.25">
      <c r="A337" s="86"/>
      <c r="B337" s="87"/>
      <c r="C337" s="86"/>
      <c r="D337" s="88"/>
      <c r="E337" s="88"/>
      <c r="F337" s="89"/>
    </row>
    <row r="338" spans="1:6" x14ac:dyDescent="0.25">
      <c r="A338" s="86"/>
      <c r="B338" s="87"/>
      <c r="C338" s="86"/>
      <c r="D338" s="88"/>
      <c r="E338" s="88"/>
      <c r="F338" s="89"/>
    </row>
    <row r="339" spans="1:6" x14ac:dyDescent="0.25">
      <c r="A339" s="86"/>
      <c r="B339" s="87"/>
      <c r="C339" s="86"/>
      <c r="D339" s="88"/>
      <c r="E339" s="88"/>
      <c r="F339" s="89"/>
    </row>
    <row r="340" spans="1:6" x14ac:dyDescent="0.25">
      <c r="A340" s="86"/>
      <c r="B340" s="87"/>
      <c r="C340" s="86"/>
      <c r="D340" s="88"/>
      <c r="E340" s="88"/>
      <c r="F340" s="89"/>
    </row>
    <row r="341" spans="1:6" x14ac:dyDescent="0.25">
      <c r="A341" s="86"/>
      <c r="B341" s="87"/>
      <c r="C341" s="86"/>
      <c r="D341" s="88"/>
      <c r="E341" s="88"/>
      <c r="F341" s="89"/>
    </row>
    <row r="342" spans="1:6" x14ac:dyDescent="0.25">
      <c r="A342" s="86"/>
      <c r="B342" s="87"/>
      <c r="C342" s="86"/>
      <c r="D342" s="88"/>
      <c r="E342" s="88"/>
      <c r="F342" s="89"/>
    </row>
    <row r="343" spans="1:6" x14ac:dyDescent="0.25">
      <c r="A343" s="86"/>
      <c r="B343" s="87"/>
      <c r="C343" s="86"/>
      <c r="D343" s="88"/>
      <c r="E343" s="88"/>
      <c r="F343" s="89"/>
    </row>
    <row r="344" spans="1:6" x14ac:dyDescent="0.25">
      <c r="A344" s="86"/>
      <c r="B344" s="87"/>
      <c r="C344" s="86"/>
      <c r="D344" s="88"/>
      <c r="E344" s="88"/>
      <c r="F344" s="89"/>
    </row>
    <row r="345" spans="1:6" x14ac:dyDescent="0.25">
      <c r="A345" s="86"/>
      <c r="B345" s="87"/>
      <c r="C345" s="86"/>
      <c r="D345" s="88"/>
      <c r="E345" s="88"/>
      <c r="F345" s="89"/>
    </row>
    <row r="346" spans="1:6" x14ac:dyDescent="0.25">
      <c r="A346" s="86"/>
      <c r="B346" s="87"/>
      <c r="C346" s="86"/>
      <c r="D346" s="88"/>
      <c r="E346" s="88"/>
      <c r="F346" s="89"/>
    </row>
    <row r="347" spans="1:6" x14ac:dyDescent="0.25">
      <c r="A347" s="86"/>
      <c r="B347" s="87"/>
      <c r="C347" s="86"/>
      <c r="D347" s="88"/>
      <c r="E347" s="88"/>
      <c r="F347" s="89"/>
    </row>
    <row r="348" spans="1:6" x14ac:dyDescent="0.25">
      <c r="A348" s="86"/>
      <c r="B348" s="87"/>
      <c r="C348" s="86"/>
      <c r="D348" s="88"/>
      <c r="E348" s="88"/>
      <c r="F348" s="89"/>
    </row>
    <row r="349" spans="1:6" x14ac:dyDescent="0.25">
      <c r="A349" s="86"/>
      <c r="B349" s="87"/>
      <c r="C349" s="86"/>
      <c r="D349" s="88"/>
      <c r="E349" s="88"/>
      <c r="F349" s="89"/>
    </row>
    <row r="350" spans="1:6" x14ac:dyDescent="0.25">
      <c r="A350" s="86"/>
      <c r="B350" s="87"/>
      <c r="C350" s="86"/>
      <c r="D350" s="88"/>
      <c r="E350" s="88"/>
      <c r="F350" s="89"/>
    </row>
    <row r="351" spans="1:6" x14ac:dyDescent="0.25">
      <c r="A351" s="86"/>
      <c r="B351" s="87"/>
      <c r="C351" s="86"/>
      <c r="D351" s="88"/>
      <c r="E351" s="88"/>
      <c r="F351" s="89"/>
    </row>
    <row r="352" spans="1:6" x14ac:dyDescent="0.25">
      <c r="A352" s="86"/>
      <c r="B352" s="87"/>
      <c r="C352" s="86"/>
      <c r="D352" s="88"/>
      <c r="E352" s="88"/>
      <c r="F352" s="89"/>
    </row>
    <row r="353" spans="1:6" x14ac:dyDescent="0.25">
      <c r="A353" s="86"/>
      <c r="B353" s="87"/>
      <c r="C353" s="86"/>
      <c r="D353" s="88"/>
      <c r="E353" s="88"/>
      <c r="F353" s="89"/>
    </row>
    <row r="354" spans="1:6" x14ac:dyDescent="0.25">
      <c r="A354" s="86"/>
      <c r="B354" s="87"/>
      <c r="C354" s="86"/>
      <c r="D354" s="88"/>
      <c r="E354" s="88"/>
      <c r="F354" s="89"/>
    </row>
    <row r="355" spans="1:6" x14ac:dyDescent="0.25">
      <c r="A355" s="86"/>
      <c r="B355" s="87"/>
      <c r="C355" s="86"/>
      <c r="D355" s="88"/>
      <c r="E355" s="88"/>
      <c r="F355" s="89"/>
    </row>
    <row r="356" spans="1:6" x14ac:dyDescent="0.25">
      <c r="A356" s="86"/>
      <c r="B356" s="87"/>
      <c r="C356" s="86"/>
      <c r="D356" s="88"/>
      <c r="E356" s="88"/>
      <c r="F356" s="89"/>
    </row>
    <row r="357" spans="1:6" x14ac:dyDescent="0.25">
      <c r="A357" s="86"/>
      <c r="B357" s="87"/>
      <c r="C357" s="86"/>
      <c r="D357" s="88"/>
      <c r="E357" s="88"/>
      <c r="F357" s="89"/>
    </row>
    <row r="358" spans="1:6" x14ac:dyDescent="0.25">
      <c r="A358" s="86"/>
      <c r="B358" s="87"/>
      <c r="C358" s="86"/>
      <c r="D358" s="88"/>
      <c r="E358" s="88"/>
      <c r="F358" s="89"/>
    </row>
    <row r="359" spans="1:6" x14ac:dyDescent="0.25">
      <c r="A359" s="92"/>
      <c r="B359" s="93"/>
      <c r="C359" s="92"/>
      <c r="D359" s="94"/>
      <c r="E359" s="94"/>
      <c r="F359" s="89"/>
    </row>
    <row r="360" spans="1:6" x14ac:dyDescent="0.25">
      <c r="A360" s="86"/>
      <c r="B360" s="87"/>
      <c r="C360" s="86"/>
      <c r="D360" s="88"/>
      <c r="E360" s="88"/>
      <c r="F360" s="89"/>
    </row>
    <row r="361" spans="1:6" x14ac:dyDescent="0.25">
      <c r="A361" s="86"/>
      <c r="B361" s="87"/>
      <c r="C361" s="86"/>
      <c r="D361" s="88"/>
      <c r="E361" s="88"/>
      <c r="F361" s="89"/>
    </row>
    <row r="362" spans="1:6" x14ac:dyDescent="0.25">
      <c r="A362" s="86"/>
      <c r="B362" s="87"/>
      <c r="C362" s="86"/>
      <c r="D362" s="88"/>
      <c r="E362" s="88"/>
      <c r="F362" s="89"/>
    </row>
    <row r="363" spans="1:6" ht="18.75" x14ac:dyDescent="0.3">
      <c r="A363" s="95"/>
      <c r="B363" s="96"/>
      <c r="C363" s="95"/>
      <c r="D363" s="97"/>
      <c r="E363" s="90"/>
      <c r="F363" s="91"/>
    </row>
    <row r="364" spans="1:6" x14ac:dyDescent="0.25">
      <c r="E364" s="65"/>
    </row>
    <row r="365" spans="1:6" x14ac:dyDescent="0.25">
      <c r="E365" s="65"/>
    </row>
    <row r="366" spans="1:6" x14ac:dyDescent="0.25">
      <c r="E366" s="65"/>
    </row>
    <row r="367" spans="1:6" x14ac:dyDescent="0.25">
      <c r="E367" s="65"/>
    </row>
    <row r="368" spans="1:6" x14ac:dyDescent="0.25">
      <c r="E368" s="65"/>
    </row>
    <row r="369" spans="5:5" x14ac:dyDescent="0.25">
      <c r="E369" s="65"/>
    </row>
    <row r="370" spans="5:5" x14ac:dyDescent="0.25">
      <c r="E370" s="65"/>
    </row>
    <row r="371" spans="5:5" x14ac:dyDescent="0.25">
      <c r="E371" s="65"/>
    </row>
    <row r="372" spans="5:5" x14ac:dyDescent="0.25">
      <c r="E372" s="65"/>
    </row>
    <row r="373" spans="5:5" x14ac:dyDescent="0.25">
      <c r="E373" s="65"/>
    </row>
    <row r="374" spans="5:5" x14ac:dyDescent="0.25">
      <c r="E374" s="65"/>
    </row>
    <row r="375" spans="5:5" x14ac:dyDescent="0.25">
      <c r="E375" s="65"/>
    </row>
    <row r="376" spans="5:5" x14ac:dyDescent="0.25">
      <c r="E376" s="65"/>
    </row>
    <row r="377" spans="5:5" x14ac:dyDescent="0.25">
      <c r="E377" s="65"/>
    </row>
    <row r="378" spans="5:5" x14ac:dyDescent="0.25">
      <c r="E378" s="65"/>
    </row>
    <row r="379" spans="5:5" x14ac:dyDescent="0.25">
      <c r="E379" s="65"/>
    </row>
    <row r="380" spans="5:5" x14ac:dyDescent="0.25">
      <c r="E380" s="65"/>
    </row>
    <row r="381" spans="5:5" x14ac:dyDescent="0.25">
      <c r="E381" s="65"/>
    </row>
    <row r="382" spans="5:5" x14ac:dyDescent="0.25">
      <c r="E382" s="65"/>
    </row>
    <row r="383" spans="5:5" x14ac:dyDescent="0.25">
      <c r="E383" s="65"/>
    </row>
    <row r="384" spans="5:5" x14ac:dyDescent="0.25">
      <c r="E384" s="65"/>
    </row>
    <row r="385" spans="5:5" x14ac:dyDescent="0.25">
      <c r="E385" s="65"/>
    </row>
    <row r="386" spans="5:5" x14ac:dyDescent="0.25">
      <c r="E386" s="65"/>
    </row>
    <row r="387" spans="5:5" x14ac:dyDescent="0.25">
      <c r="E387" s="65"/>
    </row>
    <row r="388" spans="5:5" x14ac:dyDescent="0.25">
      <c r="E388" s="65"/>
    </row>
    <row r="389" spans="5:5" x14ac:dyDescent="0.25">
      <c r="E389" s="65"/>
    </row>
    <row r="390" spans="5:5" x14ac:dyDescent="0.25">
      <c r="E390" s="65"/>
    </row>
    <row r="391" spans="5:5" x14ac:dyDescent="0.25">
      <c r="E391" s="65"/>
    </row>
    <row r="392" spans="5:5" x14ac:dyDescent="0.25">
      <c r="E392" s="65"/>
    </row>
    <row r="393" spans="5:5" x14ac:dyDescent="0.25">
      <c r="E393" s="65"/>
    </row>
    <row r="394" spans="5:5" x14ac:dyDescent="0.25">
      <c r="E394" s="65"/>
    </row>
    <row r="395" spans="5:5" x14ac:dyDescent="0.25">
      <c r="E395" s="65"/>
    </row>
    <row r="396" spans="5:5" x14ac:dyDescent="0.25">
      <c r="E396" s="65"/>
    </row>
    <row r="397" spans="5:5" x14ac:dyDescent="0.25">
      <c r="E397" s="65"/>
    </row>
    <row r="398" spans="5:5" x14ac:dyDescent="0.25">
      <c r="E398" s="65"/>
    </row>
    <row r="399" spans="5:5" x14ac:dyDescent="0.25">
      <c r="E399" s="65"/>
    </row>
    <row r="400" spans="5:5" x14ac:dyDescent="0.25">
      <c r="E400" s="65"/>
    </row>
    <row r="401" spans="5:5" x14ac:dyDescent="0.25">
      <c r="E401" s="65"/>
    </row>
    <row r="402" spans="5:5" x14ac:dyDescent="0.25">
      <c r="E402" s="65"/>
    </row>
    <row r="403" spans="5:5" x14ac:dyDescent="0.25">
      <c r="E403" s="65"/>
    </row>
    <row r="404" spans="5:5" x14ac:dyDescent="0.25">
      <c r="E404" s="65"/>
    </row>
    <row r="405" spans="5:5" x14ac:dyDescent="0.25">
      <c r="E405" s="65"/>
    </row>
    <row r="406" spans="5:5" x14ac:dyDescent="0.25">
      <c r="E406" s="65"/>
    </row>
    <row r="407" spans="5:5" x14ac:dyDescent="0.25">
      <c r="E407" s="65"/>
    </row>
    <row r="408" spans="5:5" x14ac:dyDescent="0.25">
      <c r="E408" s="65"/>
    </row>
    <row r="409" spans="5:5" x14ac:dyDescent="0.25">
      <c r="E409" s="65"/>
    </row>
    <row r="410" spans="5:5" x14ac:dyDescent="0.25">
      <c r="E410" s="65"/>
    </row>
    <row r="411" spans="5:5" x14ac:dyDescent="0.25">
      <c r="E411" s="65"/>
    </row>
    <row r="412" spans="5:5" x14ac:dyDescent="0.25">
      <c r="E412" s="65"/>
    </row>
    <row r="413" spans="5:5" x14ac:dyDescent="0.25">
      <c r="E413" s="65"/>
    </row>
    <row r="414" spans="5:5" x14ac:dyDescent="0.25">
      <c r="E414" s="65"/>
    </row>
    <row r="415" spans="5:5" x14ac:dyDescent="0.25">
      <c r="E415" s="65"/>
    </row>
    <row r="416" spans="5:5" x14ac:dyDescent="0.25">
      <c r="E416" s="65"/>
    </row>
    <row r="417" spans="5:5" x14ac:dyDescent="0.25">
      <c r="E417" s="65"/>
    </row>
    <row r="418" spans="5:5" x14ac:dyDescent="0.25">
      <c r="E418" s="65"/>
    </row>
    <row r="419" spans="5:5" x14ac:dyDescent="0.25">
      <c r="E419" s="65"/>
    </row>
    <row r="420" spans="5:5" x14ac:dyDescent="0.25">
      <c r="E420" s="65"/>
    </row>
    <row r="421" spans="5:5" x14ac:dyDescent="0.25">
      <c r="E421" s="65"/>
    </row>
    <row r="422" spans="5:5" x14ac:dyDescent="0.25">
      <c r="E422" s="65"/>
    </row>
    <row r="423" spans="5:5" x14ac:dyDescent="0.25">
      <c r="E423" s="65"/>
    </row>
    <row r="424" spans="5:5" x14ac:dyDescent="0.25">
      <c r="E424" s="65"/>
    </row>
    <row r="425" spans="5:5" x14ac:dyDescent="0.25">
      <c r="E425" s="65"/>
    </row>
    <row r="426" spans="5:5" x14ac:dyDescent="0.25">
      <c r="E426" s="65"/>
    </row>
    <row r="427" spans="5:5" x14ac:dyDescent="0.25">
      <c r="E427" s="65"/>
    </row>
    <row r="428" spans="5:5" x14ac:dyDescent="0.25">
      <c r="E428" s="65"/>
    </row>
    <row r="429" spans="5:5" x14ac:dyDescent="0.25">
      <c r="E429" s="65"/>
    </row>
    <row r="430" spans="5:5" x14ac:dyDescent="0.25">
      <c r="E430" s="65"/>
    </row>
    <row r="431" spans="5:5" x14ac:dyDescent="0.25">
      <c r="E431" s="65"/>
    </row>
    <row r="432" spans="5:5" x14ac:dyDescent="0.25">
      <c r="E432" s="65"/>
    </row>
    <row r="433" spans="5:5" x14ac:dyDescent="0.25">
      <c r="E433" s="65"/>
    </row>
    <row r="434" spans="5:5" x14ac:dyDescent="0.25">
      <c r="E434" s="65"/>
    </row>
    <row r="435" spans="5:5" x14ac:dyDescent="0.25">
      <c r="E435" s="65"/>
    </row>
    <row r="436" spans="5:5" x14ac:dyDescent="0.25">
      <c r="E436" s="65"/>
    </row>
    <row r="437" spans="5:5" x14ac:dyDescent="0.25">
      <c r="E437" s="65"/>
    </row>
    <row r="438" spans="5:5" x14ac:dyDescent="0.25">
      <c r="E438" s="65"/>
    </row>
    <row r="439" spans="5:5" x14ac:dyDescent="0.25">
      <c r="E439" s="65"/>
    </row>
    <row r="440" spans="5:5" x14ac:dyDescent="0.25">
      <c r="E440" s="65"/>
    </row>
    <row r="441" spans="5:5" x14ac:dyDescent="0.25">
      <c r="E441" s="65"/>
    </row>
    <row r="442" spans="5:5" x14ac:dyDescent="0.25">
      <c r="E442" s="65"/>
    </row>
    <row r="443" spans="5:5" x14ac:dyDescent="0.25">
      <c r="E443" s="65"/>
    </row>
    <row r="444" spans="5:5" x14ac:dyDescent="0.25">
      <c r="E444" s="65"/>
    </row>
    <row r="445" spans="5:5" x14ac:dyDescent="0.25">
      <c r="E445" s="65"/>
    </row>
    <row r="446" spans="5:5" x14ac:dyDescent="0.25">
      <c r="E446" s="65"/>
    </row>
    <row r="447" spans="5:5" x14ac:dyDescent="0.25">
      <c r="E447" s="65"/>
    </row>
    <row r="448" spans="5:5" x14ac:dyDescent="0.25">
      <c r="E448" s="65"/>
    </row>
    <row r="449" spans="5:5" x14ac:dyDescent="0.25">
      <c r="E449" s="65"/>
    </row>
    <row r="450" spans="5:5" x14ac:dyDescent="0.25">
      <c r="E450" s="65"/>
    </row>
    <row r="451" spans="5:5" x14ac:dyDescent="0.25">
      <c r="E451" s="65"/>
    </row>
    <row r="452" spans="5:5" x14ac:dyDescent="0.25">
      <c r="E452" s="65"/>
    </row>
    <row r="453" spans="5:5" x14ac:dyDescent="0.25">
      <c r="E453" s="65"/>
    </row>
    <row r="454" spans="5:5" x14ac:dyDescent="0.25">
      <c r="E454" s="65"/>
    </row>
    <row r="455" spans="5:5" x14ac:dyDescent="0.25">
      <c r="E455" s="65"/>
    </row>
    <row r="456" spans="5:5" x14ac:dyDescent="0.25">
      <c r="E456" s="65"/>
    </row>
    <row r="457" spans="5:5" x14ac:dyDescent="0.25">
      <c r="E457" s="65"/>
    </row>
    <row r="458" spans="5:5" x14ac:dyDescent="0.25">
      <c r="E458" s="65"/>
    </row>
    <row r="459" spans="5:5" x14ac:dyDescent="0.25">
      <c r="E459" s="65"/>
    </row>
    <row r="460" spans="5:5" x14ac:dyDescent="0.25">
      <c r="E460" s="65"/>
    </row>
    <row r="461" spans="5:5" x14ac:dyDescent="0.25">
      <c r="E461" s="65"/>
    </row>
    <row r="462" spans="5:5" x14ac:dyDescent="0.25">
      <c r="E462" s="65"/>
    </row>
    <row r="463" spans="5:5" x14ac:dyDescent="0.25">
      <c r="E463" s="65"/>
    </row>
    <row r="464" spans="5:5" x14ac:dyDescent="0.25">
      <c r="E464" s="65"/>
    </row>
    <row r="465" spans="5:5" x14ac:dyDescent="0.25">
      <c r="E465" s="65"/>
    </row>
    <row r="466" spans="5:5" x14ac:dyDescent="0.25">
      <c r="E466" s="65"/>
    </row>
    <row r="467" spans="5:5" x14ac:dyDescent="0.25">
      <c r="E467" s="65"/>
    </row>
    <row r="468" spans="5:5" x14ac:dyDescent="0.25">
      <c r="E468" s="65"/>
    </row>
    <row r="469" spans="5:5" x14ac:dyDescent="0.25">
      <c r="E469" s="65"/>
    </row>
    <row r="470" spans="5:5" x14ac:dyDescent="0.25">
      <c r="E470" s="65"/>
    </row>
    <row r="471" spans="5:5" x14ac:dyDescent="0.25">
      <c r="E471" s="65"/>
    </row>
    <row r="472" spans="5:5" x14ac:dyDescent="0.25">
      <c r="E472" s="65"/>
    </row>
    <row r="473" spans="5:5" x14ac:dyDescent="0.25">
      <c r="E473" s="65"/>
    </row>
    <row r="474" spans="5:5" x14ac:dyDescent="0.25">
      <c r="E474" s="65"/>
    </row>
    <row r="475" spans="5:5" x14ac:dyDescent="0.25">
      <c r="E475" s="65"/>
    </row>
    <row r="476" spans="5:5" x14ac:dyDescent="0.25">
      <c r="E476" s="65"/>
    </row>
    <row r="477" spans="5:5" x14ac:dyDescent="0.25">
      <c r="E477" s="65"/>
    </row>
    <row r="478" spans="5:5" x14ac:dyDescent="0.25">
      <c r="E478" s="65"/>
    </row>
    <row r="479" spans="5:5" x14ac:dyDescent="0.25">
      <c r="E479" s="65"/>
    </row>
    <row r="480" spans="5:5" x14ac:dyDescent="0.25">
      <c r="E480" s="65"/>
    </row>
    <row r="481" spans="5:5" x14ac:dyDescent="0.25">
      <c r="E481" s="65"/>
    </row>
    <row r="482" spans="5:5" x14ac:dyDescent="0.25">
      <c r="E482" s="65"/>
    </row>
    <row r="483" spans="5:5" x14ac:dyDescent="0.25">
      <c r="E483" s="65"/>
    </row>
    <row r="484" spans="5:5" x14ac:dyDescent="0.25">
      <c r="E484" s="65"/>
    </row>
    <row r="485" spans="5:5" x14ac:dyDescent="0.25">
      <c r="E485" s="65"/>
    </row>
    <row r="486" spans="5:5" x14ac:dyDescent="0.25">
      <c r="E486" s="65"/>
    </row>
    <row r="487" spans="5:5" x14ac:dyDescent="0.25">
      <c r="E487" s="65"/>
    </row>
    <row r="488" spans="5:5" x14ac:dyDescent="0.25">
      <c r="E488" s="65"/>
    </row>
    <row r="489" spans="5:5" x14ac:dyDescent="0.25">
      <c r="E489" s="65"/>
    </row>
    <row r="490" spans="5:5" x14ac:dyDescent="0.25">
      <c r="E490" s="65"/>
    </row>
    <row r="491" spans="5:5" x14ac:dyDescent="0.25">
      <c r="E491" s="65"/>
    </row>
    <row r="492" spans="5:5" x14ac:dyDescent="0.25">
      <c r="E492" s="65"/>
    </row>
    <row r="493" spans="5:5" x14ac:dyDescent="0.25">
      <c r="E493" s="65"/>
    </row>
    <row r="494" spans="5:5" x14ac:dyDescent="0.25">
      <c r="E494" s="65"/>
    </row>
    <row r="495" spans="5:5" x14ac:dyDescent="0.25">
      <c r="E495" s="65"/>
    </row>
    <row r="496" spans="5:5" x14ac:dyDescent="0.25">
      <c r="E496" s="65"/>
    </row>
    <row r="497" spans="5:5" x14ac:dyDescent="0.25">
      <c r="E497" s="65"/>
    </row>
    <row r="498" spans="5:5" x14ac:dyDescent="0.25">
      <c r="E498" s="65"/>
    </row>
    <row r="499" spans="5:5" x14ac:dyDescent="0.25">
      <c r="E499" s="65"/>
    </row>
    <row r="500" spans="5:5" x14ac:dyDescent="0.25">
      <c r="E500" s="65"/>
    </row>
    <row r="501" spans="5:5" x14ac:dyDescent="0.25">
      <c r="E501" s="65"/>
    </row>
    <row r="502" spans="5:5" x14ac:dyDescent="0.25">
      <c r="E502" s="65"/>
    </row>
    <row r="503" spans="5:5" x14ac:dyDescent="0.25">
      <c r="E503" s="65"/>
    </row>
    <row r="504" spans="5:5" x14ac:dyDescent="0.25">
      <c r="E504" s="65"/>
    </row>
    <row r="505" spans="5:5" x14ac:dyDescent="0.25">
      <c r="E505" s="65"/>
    </row>
    <row r="506" spans="5:5" x14ac:dyDescent="0.25">
      <c r="E506" s="65"/>
    </row>
    <row r="507" spans="5:5" x14ac:dyDescent="0.25">
      <c r="E507" s="65"/>
    </row>
    <row r="508" spans="5:5" x14ac:dyDescent="0.25">
      <c r="E508" s="65"/>
    </row>
    <row r="509" spans="5:5" x14ac:dyDescent="0.25">
      <c r="E509" s="65"/>
    </row>
    <row r="510" spans="5:5" x14ac:dyDescent="0.25">
      <c r="E510" s="65"/>
    </row>
    <row r="511" spans="5:5" x14ac:dyDescent="0.25">
      <c r="E511" s="65"/>
    </row>
    <row r="512" spans="5:5" x14ac:dyDescent="0.25">
      <c r="E512" s="65"/>
    </row>
    <row r="513" spans="5:5" x14ac:dyDescent="0.25">
      <c r="E513" s="65"/>
    </row>
    <row r="514" spans="5:5" x14ac:dyDescent="0.25">
      <c r="E514" s="65"/>
    </row>
    <row r="515" spans="5:5" x14ac:dyDescent="0.25">
      <c r="E515" s="65"/>
    </row>
    <row r="516" spans="5:5" x14ac:dyDescent="0.25">
      <c r="E516" s="65"/>
    </row>
    <row r="517" spans="5:5" x14ac:dyDescent="0.25">
      <c r="E517" s="65"/>
    </row>
    <row r="518" spans="5:5" x14ac:dyDescent="0.25">
      <c r="E518" s="65"/>
    </row>
    <row r="519" spans="5:5" x14ac:dyDescent="0.25">
      <c r="E519" s="65"/>
    </row>
    <row r="520" spans="5:5" x14ac:dyDescent="0.25">
      <c r="E520" s="65"/>
    </row>
    <row r="521" spans="5:5" x14ac:dyDescent="0.25">
      <c r="E521" s="65"/>
    </row>
    <row r="522" spans="5:5" x14ac:dyDescent="0.25">
      <c r="E522" s="65"/>
    </row>
    <row r="523" spans="5:5" x14ac:dyDescent="0.25">
      <c r="E523" s="65"/>
    </row>
    <row r="524" spans="5:5" x14ac:dyDescent="0.25">
      <c r="E524" s="65"/>
    </row>
    <row r="525" spans="5:5" x14ac:dyDescent="0.25">
      <c r="E525" s="65"/>
    </row>
    <row r="526" spans="5:5" x14ac:dyDescent="0.25">
      <c r="E526" s="65"/>
    </row>
    <row r="527" spans="5:5" x14ac:dyDescent="0.25">
      <c r="E527" s="65"/>
    </row>
    <row r="528" spans="5:5" x14ac:dyDescent="0.25">
      <c r="E528" s="65"/>
    </row>
    <row r="529" spans="5:5" x14ac:dyDescent="0.25">
      <c r="E529" s="65"/>
    </row>
    <row r="530" spans="5:5" x14ac:dyDescent="0.25">
      <c r="E530" s="65"/>
    </row>
    <row r="531" spans="5:5" x14ac:dyDescent="0.25">
      <c r="E531" s="65"/>
    </row>
    <row r="532" spans="5:5" x14ac:dyDescent="0.25">
      <c r="E532" s="65"/>
    </row>
    <row r="533" spans="5:5" x14ac:dyDescent="0.25">
      <c r="E533" s="65"/>
    </row>
    <row r="534" spans="5:5" x14ac:dyDescent="0.25">
      <c r="E534" s="65"/>
    </row>
    <row r="535" spans="5:5" x14ac:dyDescent="0.25">
      <c r="E535" s="65"/>
    </row>
    <row r="536" spans="5:5" x14ac:dyDescent="0.25">
      <c r="E536" s="65"/>
    </row>
    <row r="537" spans="5:5" x14ac:dyDescent="0.25">
      <c r="E537" s="65"/>
    </row>
    <row r="538" spans="5:5" x14ac:dyDescent="0.25">
      <c r="E538" s="65"/>
    </row>
    <row r="539" spans="5:5" x14ac:dyDescent="0.25">
      <c r="E539" s="65"/>
    </row>
    <row r="540" spans="5:5" x14ac:dyDescent="0.25">
      <c r="E540" s="65"/>
    </row>
    <row r="541" spans="5:5" x14ac:dyDescent="0.25">
      <c r="E541" s="65"/>
    </row>
    <row r="542" spans="5:5" x14ac:dyDescent="0.25">
      <c r="E542" s="65"/>
    </row>
    <row r="543" spans="5:5" x14ac:dyDescent="0.25">
      <c r="E543" s="65"/>
    </row>
    <row r="544" spans="5:5" x14ac:dyDescent="0.25">
      <c r="E544" s="65"/>
    </row>
    <row r="545" spans="5:5" x14ac:dyDescent="0.25">
      <c r="E545" s="65"/>
    </row>
    <row r="546" spans="5:5" x14ac:dyDescent="0.25">
      <c r="E546" s="65"/>
    </row>
    <row r="547" spans="5:5" x14ac:dyDescent="0.25">
      <c r="E547" s="65"/>
    </row>
    <row r="548" spans="5:5" x14ac:dyDescent="0.25">
      <c r="E548" s="65"/>
    </row>
    <row r="549" spans="5:5" x14ac:dyDescent="0.25">
      <c r="E549" s="65"/>
    </row>
    <row r="550" spans="5:5" x14ac:dyDescent="0.25">
      <c r="E550" s="65"/>
    </row>
    <row r="551" spans="5:5" x14ac:dyDescent="0.25">
      <c r="E551" s="65"/>
    </row>
    <row r="552" spans="5:5" x14ac:dyDescent="0.25">
      <c r="E552" s="65"/>
    </row>
    <row r="553" spans="5:5" x14ac:dyDescent="0.25">
      <c r="E553" s="65"/>
    </row>
    <row r="554" spans="5:5" x14ac:dyDescent="0.25">
      <c r="E554" s="65"/>
    </row>
    <row r="555" spans="5:5" x14ac:dyDescent="0.25">
      <c r="E555" s="65"/>
    </row>
    <row r="556" spans="5:5" x14ac:dyDescent="0.25">
      <c r="E556" s="65"/>
    </row>
    <row r="557" spans="5:5" x14ac:dyDescent="0.25">
      <c r="E557" s="65"/>
    </row>
    <row r="558" spans="5:5" x14ac:dyDescent="0.25">
      <c r="E558" s="65"/>
    </row>
    <row r="559" spans="5:5" x14ac:dyDescent="0.25">
      <c r="E559" s="65"/>
    </row>
    <row r="560" spans="5:5" x14ac:dyDescent="0.25">
      <c r="E560" s="65"/>
    </row>
    <row r="561" spans="5:5" x14ac:dyDescent="0.25">
      <c r="E561" s="65"/>
    </row>
    <row r="562" spans="5:5" x14ac:dyDescent="0.25">
      <c r="E562" s="65"/>
    </row>
    <row r="563" spans="5:5" x14ac:dyDescent="0.25">
      <c r="E563" s="65"/>
    </row>
    <row r="564" spans="5:5" x14ac:dyDescent="0.25">
      <c r="E564" s="65"/>
    </row>
    <row r="565" spans="5:5" x14ac:dyDescent="0.25">
      <c r="E565" s="65"/>
    </row>
    <row r="566" spans="5:5" x14ac:dyDescent="0.25">
      <c r="E566" s="65"/>
    </row>
    <row r="567" spans="5:5" x14ac:dyDescent="0.25">
      <c r="E567" s="65"/>
    </row>
    <row r="568" spans="5:5" x14ac:dyDescent="0.25">
      <c r="E568" s="65"/>
    </row>
    <row r="569" spans="5:5" x14ac:dyDescent="0.25">
      <c r="E569" s="65"/>
    </row>
    <row r="570" spans="5:5" x14ac:dyDescent="0.25">
      <c r="E570" s="65"/>
    </row>
    <row r="571" spans="5:5" x14ac:dyDescent="0.25">
      <c r="E571" s="65"/>
    </row>
    <row r="572" spans="5:5" x14ac:dyDescent="0.25">
      <c r="E572" s="65"/>
    </row>
    <row r="573" spans="5:5" x14ac:dyDescent="0.25">
      <c r="E573" s="65"/>
    </row>
    <row r="574" spans="5:5" x14ac:dyDescent="0.25">
      <c r="E574" s="65"/>
    </row>
    <row r="575" spans="5:5" x14ac:dyDescent="0.25">
      <c r="E575" s="65"/>
    </row>
    <row r="576" spans="5:5" x14ac:dyDescent="0.25">
      <c r="E576" s="65"/>
    </row>
    <row r="577" spans="5:5" x14ac:dyDescent="0.25">
      <c r="E577" s="65"/>
    </row>
    <row r="578" spans="5:5" x14ac:dyDescent="0.25">
      <c r="E578" s="65"/>
    </row>
    <row r="579" spans="5:5" x14ac:dyDescent="0.25">
      <c r="E579" s="65"/>
    </row>
    <row r="580" spans="5:5" x14ac:dyDescent="0.25">
      <c r="E580" s="65"/>
    </row>
    <row r="581" spans="5:5" x14ac:dyDescent="0.25">
      <c r="E581" s="65"/>
    </row>
    <row r="582" spans="5:5" x14ac:dyDescent="0.25">
      <c r="E582" s="65"/>
    </row>
    <row r="583" spans="5:5" x14ac:dyDescent="0.25">
      <c r="E583" s="65"/>
    </row>
    <row r="584" spans="5:5" x14ac:dyDescent="0.25">
      <c r="E584" s="65"/>
    </row>
    <row r="585" spans="5:5" x14ac:dyDescent="0.25">
      <c r="E585" s="65"/>
    </row>
    <row r="586" spans="5:5" x14ac:dyDescent="0.25">
      <c r="E586" s="65"/>
    </row>
    <row r="587" spans="5:5" x14ac:dyDescent="0.25">
      <c r="E587" s="65"/>
    </row>
    <row r="588" spans="5:5" x14ac:dyDescent="0.25">
      <c r="E588" s="65"/>
    </row>
    <row r="589" spans="5:5" x14ac:dyDescent="0.25">
      <c r="E589" s="65"/>
    </row>
    <row r="590" spans="5:5" x14ac:dyDescent="0.25">
      <c r="E590" s="65"/>
    </row>
    <row r="591" spans="5:5" x14ac:dyDescent="0.25">
      <c r="E591" s="65"/>
    </row>
    <row r="592" spans="5:5" x14ac:dyDescent="0.25">
      <c r="E592" s="65"/>
    </row>
    <row r="593" spans="5:5" x14ac:dyDescent="0.25">
      <c r="E593" s="65"/>
    </row>
    <row r="594" spans="5:5" x14ac:dyDescent="0.25">
      <c r="E594" s="65"/>
    </row>
    <row r="595" spans="5:5" x14ac:dyDescent="0.25">
      <c r="E595" s="65"/>
    </row>
    <row r="596" spans="5:5" x14ac:dyDescent="0.25">
      <c r="E596" s="65"/>
    </row>
    <row r="597" spans="5:5" x14ac:dyDescent="0.25">
      <c r="E597" s="65"/>
    </row>
    <row r="598" spans="5:5" x14ac:dyDescent="0.25">
      <c r="E598" s="65"/>
    </row>
    <row r="599" spans="5:5" x14ac:dyDescent="0.25">
      <c r="E599" s="65"/>
    </row>
    <row r="600" spans="5:5" x14ac:dyDescent="0.25">
      <c r="E600" s="65"/>
    </row>
    <row r="601" spans="5:5" x14ac:dyDescent="0.25">
      <c r="E601" s="65"/>
    </row>
    <row r="602" spans="5:5" x14ac:dyDescent="0.25">
      <c r="E602" s="65"/>
    </row>
    <row r="603" spans="5:5" x14ac:dyDescent="0.25">
      <c r="E603" s="65"/>
    </row>
    <row r="604" spans="5:5" x14ac:dyDescent="0.25">
      <c r="E604" s="65"/>
    </row>
    <row r="605" spans="5:5" x14ac:dyDescent="0.25">
      <c r="E605" s="65"/>
    </row>
    <row r="606" spans="5:5" x14ac:dyDescent="0.25">
      <c r="E606" s="65"/>
    </row>
    <row r="607" spans="5:5" x14ac:dyDescent="0.25">
      <c r="E607" s="65"/>
    </row>
    <row r="608" spans="5:5" x14ac:dyDescent="0.25">
      <c r="E608" s="65"/>
    </row>
    <row r="609" spans="5:5" x14ac:dyDescent="0.25">
      <c r="E609" s="65"/>
    </row>
    <row r="610" spans="5:5" x14ac:dyDescent="0.25">
      <c r="E610" s="65"/>
    </row>
    <row r="611" spans="5:5" x14ac:dyDescent="0.25">
      <c r="E611" s="65"/>
    </row>
    <row r="612" spans="5:5" x14ac:dyDescent="0.25">
      <c r="E612" s="65"/>
    </row>
    <row r="613" spans="5:5" x14ac:dyDescent="0.25">
      <c r="E613" s="65"/>
    </row>
    <row r="614" spans="5:5" x14ac:dyDescent="0.25">
      <c r="E614" s="65"/>
    </row>
    <row r="615" spans="5:5" x14ac:dyDescent="0.25">
      <c r="E615" s="65"/>
    </row>
    <row r="616" spans="5:5" x14ac:dyDescent="0.25">
      <c r="E616" s="65"/>
    </row>
    <row r="617" spans="5:5" x14ac:dyDescent="0.25">
      <c r="E617" s="65"/>
    </row>
    <row r="618" spans="5:5" x14ac:dyDescent="0.25">
      <c r="E618" s="65"/>
    </row>
    <row r="619" spans="5:5" x14ac:dyDescent="0.25">
      <c r="E619" s="65"/>
    </row>
    <row r="620" spans="5:5" x14ac:dyDescent="0.25">
      <c r="E620" s="65"/>
    </row>
    <row r="621" spans="5:5" x14ac:dyDescent="0.25">
      <c r="E621" s="65"/>
    </row>
    <row r="622" spans="5:5" x14ac:dyDescent="0.25">
      <c r="E622" s="65"/>
    </row>
    <row r="623" spans="5:5" x14ac:dyDescent="0.25">
      <c r="E623" s="65"/>
    </row>
    <row r="624" spans="5:5" x14ac:dyDescent="0.25">
      <c r="E624" s="65"/>
    </row>
    <row r="625" spans="5:5" x14ac:dyDescent="0.25">
      <c r="E625" s="65"/>
    </row>
    <row r="626" spans="5:5" x14ac:dyDescent="0.25">
      <c r="E626" s="65"/>
    </row>
    <row r="627" spans="5:5" x14ac:dyDescent="0.25">
      <c r="E627" s="65"/>
    </row>
    <row r="628" spans="5:5" x14ac:dyDescent="0.25">
      <c r="E628" s="65"/>
    </row>
    <row r="629" spans="5:5" x14ac:dyDescent="0.25">
      <c r="E629" s="65"/>
    </row>
    <row r="630" spans="5:5" x14ac:dyDescent="0.25">
      <c r="E630" s="65"/>
    </row>
    <row r="631" spans="5:5" x14ac:dyDescent="0.25">
      <c r="E631" s="65"/>
    </row>
    <row r="632" spans="5:5" x14ac:dyDescent="0.25">
      <c r="E632" s="65"/>
    </row>
    <row r="633" spans="5:5" x14ac:dyDescent="0.25">
      <c r="E633" s="65"/>
    </row>
    <row r="634" spans="5:5" x14ac:dyDescent="0.25">
      <c r="E634" s="65"/>
    </row>
    <row r="635" spans="5:5" x14ac:dyDescent="0.25">
      <c r="E635" s="65"/>
    </row>
    <row r="636" spans="5:5" x14ac:dyDescent="0.25">
      <c r="E636" s="65"/>
    </row>
    <row r="637" spans="5:5" x14ac:dyDescent="0.25">
      <c r="E637" s="65"/>
    </row>
    <row r="638" spans="5:5" x14ac:dyDescent="0.25">
      <c r="E638" s="65"/>
    </row>
    <row r="639" spans="5:5" x14ac:dyDescent="0.25">
      <c r="E639" s="65"/>
    </row>
    <row r="640" spans="5:5" x14ac:dyDescent="0.25">
      <c r="E640" s="65"/>
    </row>
    <row r="641" spans="5:5" x14ac:dyDescent="0.25">
      <c r="E641" s="65"/>
    </row>
    <row r="642" spans="5:5" x14ac:dyDescent="0.25">
      <c r="E642" s="65"/>
    </row>
    <row r="643" spans="5:5" x14ac:dyDescent="0.25">
      <c r="E643" s="65"/>
    </row>
    <row r="644" spans="5:5" x14ac:dyDescent="0.25">
      <c r="E644" s="65"/>
    </row>
    <row r="645" spans="5:5" x14ac:dyDescent="0.25">
      <c r="E645" s="65"/>
    </row>
    <row r="646" spans="5:5" x14ac:dyDescent="0.25">
      <c r="E646" s="65"/>
    </row>
    <row r="647" spans="5:5" x14ac:dyDescent="0.25">
      <c r="E647" s="65"/>
    </row>
    <row r="648" spans="5:5" x14ac:dyDescent="0.25">
      <c r="E648" s="65"/>
    </row>
    <row r="649" spans="5:5" x14ac:dyDescent="0.25">
      <c r="E649" s="65"/>
    </row>
    <row r="650" spans="5:5" x14ac:dyDescent="0.25">
      <c r="E650" s="65"/>
    </row>
    <row r="651" spans="5:5" x14ac:dyDescent="0.25">
      <c r="E651" s="65"/>
    </row>
    <row r="652" spans="5:5" x14ac:dyDescent="0.25">
      <c r="E652" s="65"/>
    </row>
    <row r="653" spans="5:5" x14ac:dyDescent="0.25">
      <c r="E653" s="65"/>
    </row>
    <row r="654" spans="5:5" x14ac:dyDescent="0.25">
      <c r="E654" s="65"/>
    </row>
    <row r="655" spans="5:5" x14ac:dyDescent="0.25">
      <c r="E655" s="65"/>
    </row>
    <row r="656" spans="5:5" x14ac:dyDescent="0.25">
      <c r="E656" s="65"/>
    </row>
    <row r="657" spans="5:5" x14ac:dyDescent="0.25">
      <c r="E657" s="65"/>
    </row>
    <row r="658" spans="5:5" x14ac:dyDescent="0.25">
      <c r="E658" s="65"/>
    </row>
    <row r="659" spans="5:5" x14ac:dyDescent="0.25">
      <c r="E659" s="65"/>
    </row>
    <row r="660" spans="5:5" x14ac:dyDescent="0.25">
      <c r="E660" s="65"/>
    </row>
    <row r="661" spans="5:5" x14ac:dyDescent="0.25">
      <c r="E661" s="65"/>
    </row>
    <row r="662" spans="5:5" x14ac:dyDescent="0.25">
      <c r="E662" s="65"/>
    </row>
    <row r="663" spans="5:5" x14ac:dyDescent="0.25">
      <c r="E663" s="65"/>
    </row>
    <row r="664" spans="5:5" x14ac:dyDescent="0.25">
      <c r="E664" s="65"/>
    </row>
    <row r="665" spans="5:5" x14ac:dyDescent="0.25">
      <c r="E665" s="65"/>
    </row>
    <row r="666" spans="5:5" x14ac:dyDescent="0.25">
      <c r="E666" s="65"/>
    </row>
    <row r="667" spans="5:5" x14ac:dyDescent="0.25">
      <c r="E667" s="65"/>
    </row>
    <row r="668" spans="5:5" x14ac:dyDescent="0.25">
      <c r="E668" s="65"/>
    </row>
    <row r="669" spans="5:5" x14ac:dyDescent="0.25">
      <c r="E669" s="65"/>
    </row>
    <row r="670" spans="5:5" x14ac:dyDescent="0.25">
      <c r="E670" s="65"/>
    </row>
    <row r="671" spans="5:5" x14ac:dyDescent="0.25">
      <c r="E671" s="65"/>
    </row>
    <row r="672" spans="5:5" x14ac:dyDescent="0.25">
      <c r="E672" s="65"/>
    </row>
    <row r="673" spans="5:5" x14ac:dyDescent="0.25">
      <c r="E673" s="65"/>
    </row>
    <row r="674" spans="5:5" x14ac:dyDescent="0.25">
      <c r="E674" s="65"/>
    </row>
    <row r="675" spans="5:5" x14ac:dyDescent="0.25">
      <c r="E675" s="65"/>
    </row>
    <row r="676" spans="5:5" x14ac:dyDescent="0.25">
      <c r="E676" s="65"/>
    </row>
    <row r="677" spans="5:5" x14ac:dyDescent="0.25">
      <c r="E677" s="65"/>
    </row>
    <row r="678" spans="5:5" x14ac:dyDescent="0.25">
      <c r="E678" s="65"/>
    </row>
    <row r="679" spans="5:5" x14ac:dyDescent="0.25">
      <c r="E679" s="65"/>
    </row>
    <row r="680" spans="5:5" x14ac:dyDescent="0.25">
      <c r="E680" s="65"/>
    </row>
    <row r="681" spans="5:5" x14ac:dyDescent="0.25">
      <c r="E681" s="65"/>
    </row>
    <row r="682" spans="5:5" x14ac:dyDescent="0.25">
      <c r="E682" s="65"/>
    </row>
    <row r="683" spans="5:5" x14ac:dyDescent="0.25">
      <c r="E683" s="65"/>
    </row>
    <row r="684" spans="5:5" x14ac:dyDescent="0.25">
      <c r="E684" s="65"/>
    </row>
    <row r="685" spans="5:5" x14ac:dyDescent="0.25">
      <c r="E685" s="65"/>
    </row>
    <row r="686" spans="5:5" x14ac:dyDescent="0.25">
      <c r="E686" s="65"/>
    </row>
    <row r="687" spans="5:5" x14ac:dyDescent="0.25">
      <c r="E687" s="65"/>
    </row>
    <row r="688" spans="5:5" x14ac:dyDescent="0.25">
      <c r="E688" s="65"/>
    </row>
    <row r="689" spans="5:5" x14ac:dyDescent="0.25">
      <c r="E689" s="65"/>
    </row>
    <row r="690" spans="5:5" x14ac:dyDescent="0.25">
      <c r="E690" s="65"/>
    </row>
    <row r="691" spans="5:5" x14ac:dyDescent="0.25">
      <c r="E691" s="65"/>
    </row>
    <row r="692" spans="5:5" x14ac:dyDescent="0.25">
      <c r="E692" s="65"/>
    </row>
    <row r="693" spans="5:5" x14ac:dyDescent="0.25">
      <c r="E693" s="65"/>
    </row>
    <row r="694" spans="5:5" x14ac:dyDescent="0.25">
      <c r="E694" s="65"/>
    </row>
    <row r="695" spans="5:5" x14ac:dyDescent="0.25">
      <c r="E695" s="65"/>
    </row>
    <row r="696" spans="5:5" x14ac:dyDescent="0.25">
      <c r="E696" s="65"/>
    </row>
    <row r="697" spans="5:5" x14ac:dyDescent="0.25">
      <c r="E697" s="65"/>
    </row>
    <row r="698" spans="5:5" x14ac:dyDescent="0.25">
      <c r="E698" s="65"/>
    </row>
    <row r="699" spans="5:5" x14ac:dyDescent="0.25">
      <c r="E699" s="65"/>
    </row>
    <row r="700" spans="5:5" x14ac:dyDescent="0.25">
      <c r="E700" s="65"/>
    </row>
    <row r="701" spans="5:5" x14ac:dyDescent="0.25">
      <c r="E701" s="65"/>
    </row>
    <row r="702" spans="5:5" x14ac:dyDescent="0.25">
      <c r="E702" s="65"/>
    </row>
    <row r="703" spans="5:5" x14ac:dyDescent="0.25">
      <c r="E703" s="65"/>
    </row>
    <row r="704" spans="5:5" x14ac:dyDescent="0.25">
      <c r="E704" s="65"/>
    </row>
    <row r="705" spans="5:5" x14ac:dyDescent="0.25">
      <c r="E705" s="65"/>
    </row>
    <row r="706" spans="5:5" x14ac:dyDescent="0.25">
      <c r="E706" s="65"/>
    </row>
    <row r="707" spans="5:5" x14ac:dyDescent="0.25">
      <c r="E707" s="65"/>
    </row>
    <row r="708" spans="5:5" x14ac:dyDescent="0.25">
      <c r="E708" s="65"/>
    </row>
    <row r="709" spans="5:5" x14ac:dyDescent="0.25">
      <c r="E709" s="65"/>
    </row>
    <row r="710" spans="5:5" x14ac:dyDescent="0.25">
      <c r="E710" s="65"/>
    </row>
    <row r="711" spans="5:5" x14ac:dyDescent="0.25">
      <c r="E711" s="65"/>
    </row>
    <row r="712" spans="5:5" x14ac:dyDescent="0.25">
      <c r="E712" s="65"/>
    </row>
    <row r="713" spans="5:5" x14ac:dyDescent="0.25">
      <c r="E713" s="65"/>
    </row>
    <row r="714" spans="5:5" x14ac:dyDescent="0.25">
      <c r="E714" s="65"/>
    </row>
    <row r="715" spans="5:5" x14ac:dyDescent="0.25">
      <c r="E715" s="65"/>
    </row>
    <row r="716" spans="5:5" x14ac:dyDescent="0.25">
      <c r="E716" s="65"/>
    </row>
    <row r="717" spans="5:5" x14ac:dyDescent="0.25">
      <c r="E717" s="65"/>
    </row>
    <row r="718" spans="5:5" x14ac:dyDescent="0.25">
      <c r="E718" s="65"/>
    </row>
    <row r="719" spans="5:5" x14ac:dyDescent="0.25">
      <c r="E719" s="65"/>
    </row>
    <row r="720" spans="5:5" x14ac:dyDescent="0.25">
      <c r="E720" s="65"/>
    </row>
    <row r="721" spans="5:5" x14ac:dyDescent="0.25">
      <c r="E721" s="65"/>
    </row>
    <row r="722" spans="5:5" x14ac:dyDescent="0.25">
      <c r="E722" s="65"/>
    </row>
    <row r="723" spans="5:5" x14ac:dyDescent="0.25">
      <c r="E723" s="65"/>
    </row>
    <row r="724" spans="5:5" x14ac:dyDescent="0.25">
      <c r="E724" s="65"/>
    </row>
    <row r="725" spans="5:5" x14ac:dyDescent="0.25">
      <c r="E725" s="65"/>
    </row>
    <row r="726" spans="5:5" x14ac:dyDescent="0.25">
      <c r="E726" s="65"/>
    </row>
    <row r="727" spans="5:5" x14ac:dyDescent="0.25">
      <c r="E727" s="65"/>
    </row>
    <row r="728" spans="5:5" x14ac:dyDescent="0.25">
      <c r="E728" s="65"/>
    </row>
    <row r="729" spans="5:5" x14ac:dyDescent="0.25">
      <c r="E729" s="65"/>
    </row>
    <row r="730" spans="5:5" x14ac:dyDescent="0.25">
      <c r="E730" s="65"/>
    </row>
    <row r="731" spans="5:5" x14ac:dyDescent="0.25">
      <c r="E731" s="65"/>
    </row>
    <row r="732" spans="5:5" x14ac:dyDescent="0.25">
      <c r="E732" s="65"/>
    </row>
    <row r="733" spans="5:5" x14ac:dyDescent="0.25">
      <c r="E733" s="65"/>
    </row>
    <row r="734" spans="5:5" x14ac:dyDescent="0.25">
      <c r="E734" s="65"/>
    </row>
    <row r="735" spans="5:5" x14ac:dyDescent="0.25">
      <c r="E735" s="65"/>
    </row>
    <row r="736" spans="5:5" x14ac:dyDescent="0.25">
      <c r="E736" s="65"/>
    </row>
    <row r="737" spans="5:5" x14ac:dyDescent="0.25">
      <c r="E737" s="65"/>
    </row>
    <row r="738" spans="5:5" x14ac:dyDescent="0.25">
      <c r="E738" s="65"/>
    </row>
    <row r="739" spans="5:5" x14ac:dyDescent="0.25">
      <c r="E739" s="65"/>
    </row>
    <row r="740" spans="5:5" x14ac:dyDescent="0.25">
      <c r="E740" s="65"/>
    </row>
    <row r="741" spans="5:5" x14ac:dyDescent="0.25">
      <c r="E741" s="65"/>
    </row>
    <row r="742" spans="5:5" x14ac:dyDescent="0.25">
      <c r="E742" s="65"/>
    </row>
    <row r="743" spans="5:5" x14ac:dyDescent="0.25">
      <c r="E743" s="65"/>
    </row>
    <row r="744" spans="5:5" x14ac:dyDescent="0.25">
      <c r="E744" s="65"/>
    </row>
    <row r="745" spans="5:5" x14ac:dyDescent="0.25">
      <c r="E745" s="65"/>
    </row>
    <row r="746" spans="5:5" x14ac:dyDescent="0.25">
      <c r="E746" s="65"/>
    </row>
    <row r="747" spans="5:5" x14ac:dyDescent="0.25">
      <c r="E747" s="65"/>
    </row>
    <row r="748" spans="5:5" x14ac:dyDescent="0.25">
      <c r="E748" s="65"/>
    </row>
    <row r="749" spans="5:5" x14ac:dyDescent="0.25">
      <c r="E749" s="65"/>
    </row>
    <row r="750" spans="5:5" x14ac:dyDescent="0.25">
      <c r="E750" s="65"/>
    </row>
    <row r="751" spans="5:5" x14ac:dyDescent="0.25">
      <c r="E751" s="65"/>
    </row>
    <row r="752" spans="5:5" x14ac:dyDescent="0.25">
      <c r="E752" s="65"/>
    </row>
    <row r="753" spans="5:5" x14ac:dyDescent="0.25">
      <c r="E753" s="65"/>
    </row>
    <row r="754" spans="5:5" x14ac:dyDescent="0.25">
      <c r="E754" s="65"/>
    </row>
    <row r="755" spans="5:5" x14ac:dyDescent="0.25">
      <c r="E755" s="65"/>
    </row>
    <row r="756" spans="5:5" x14ac:dyDescent="0.25">
      <c r="E756" s="65"/>
    </row>
    <row r="757" spans="5:5" x14ac:dyDescent="0.25">
      <c r="E757" s="65"/>
    </row>
    <row r="758" spans="5:5" x14ac:dyDescent="0.25">
      <c r="E758" s="65"/>
    </row>
    <row r="759" spans="5:5" x14ac:dyDescent="0.25">
      <c r="E759" s="65"/>
    </row>
    <row r="760" spans="5:5" x14ac:dyDescent="0.25">
      <c r="E760" s="65"/>
    </row>
    <row r="761" spans="5:5" x14ac:dyDescent="0.25">
      <c r="E761" s="65"/>
    </row>
    <row r="762" spans="5:5" x14ac:dyDescent="0.25">
      <c r="E762" s="65"/>
    </row>
    <row r="763" spans="5:5" x14ac:dyDescent="0.25">
      <c r="E763" s="65"/>
    </row>
    <row r="764" spans="5:5" x14ac:dyDescent="0.25">
      <c r="E764" s="65"/>
    </row>
    <row r="765" spans="5:5" x14ac:dyDescent="0.25">
      <c r="E765" s="65"/>
    </row>
    <row r="766" spans="5:5" x14ac:dyDescent="0.25">
      <c r="E766" s="65"/>
    </row>
    <row r="767" spans="5:5" x14ac:dyDescent="0.25">
      <c r="E767" s="65"/>
    </row>
    <row r="768" spans="5:5" x14ac:dyDescent="0.25">
      <c r="E768" s="65"/>
    </row>
    <row r="769" spans="5:5" x14ac:dyDescent="0.25">
      <c r="E769" s="65"/>
    </row>
    <row r="770" spans="5:5" x14ac:dyDescent="0.25">
      <c r="E770" s="65"/>
    </row>
    <row r="771" spans="5:5" x14ac:dyDescent="0.25">
      <c r="E771" s="65"/>
    </row>
    <row r="772" spans="5:5" x14ac:dyDescent="0.25">
      <c r="E772" s="65"/>
    </row>
    <row r="773" spans="5:5" x14ac:dyDescent="0.25">
      <c r="E773" s="65"/>
    </row>
    <row r="774" spans="5:5" x14ac:dyDescent="0.25">
      <c r="E774" s="65"/>
    </row>
    <row r="775" spans="5:5" x14ac:dyDescent="0.25">
      <c r="E775" s="65"/>
    </row>
    <row r="776" spans="5:5" x14ac:dyDescent="0.25">
      <c r="E776" s="65"/>
    </row>
    <row r="777" spans="5:5" x14ac:dyDescent="0.25">
      <c r="E777" s="65"/>
    </row>
    <row r="778" spans="5:5" x14ac:dyDescent="0.25">
      <c r="E778" s="65"/>
    </row>
    <row r="779" spans="5:5" x14ac:dyDescent="0.25">
      <c r="E779" s="65"/>
    </row>
    <row r="780" spans="5:5" x14ac:dyDescent="0.25">
      <c r="E780" s="65"/>
    </row>
    <row r="781" spans="5:5" x14ac:dyDescent="0.25">
      <c r="E781" s="65"/>
    </row>
    <row r="782" spans="5:5" x14ac:dyDescent="0.25">
      <c r="E782" s="65"/>
    </row>
    <row r="783" spans="5:5" x14ac:dyDescent="0.25">
      <c r="E783" s="65"/>
    </row>
    <row r="784" spans="5:5" x14ac:dyDescent="0.25">
      <c r="E784" s="65"/>
    </row>
    <row r="785" spans="5:5" x14ac:dyDescent="0.25">
      <c r="E785" s="65"/>
    </row>
    <row r="786" spans="5:5" x14ac:dyDescent="0.25">
      <c r="E786" s="65"/>
    </row>
    <row r="787" spans="5:5" x14ac:dyDescent="0.25">
      <c r="E787" s="65"/>
    </row>
    <row r="788" spans="5:5" x14ac:dyDescent="0.25">
      <c r="E788" s="65"/>
    </row>
    <row r="789" spans="5:5" x14ac:dyDescent="0.25">
      <c r="E789" s="65"/>
    </row>
    <row r="790" spans="5:5" x14ac:dyDescent="0.25">
      <c r="E790" s="65"/>
    </row>
    <row r="791" spans="5:5" x14ac:dyDescent="0.25">
      <c r="E791" s="65"/>
    </row>
    <row r="792" spans="5:5" x14ac:dyDescent="0.25">
      <c r="E792" s="65"/>
    </row>
    <row r="793" spans="5:5" x14ac:dyDescent="0.25">
      <c r="E793" s="65"/>
    </row>
    <row r="794" spans="5:5" x14ac:dyDescent="0.25">
      <c r="E794" s="65"/>
    </row>
    <row r="795" spans="5:5" x14ac:dyDescent="0.25">
      <c r="E795" s="65"/>
    </row>
    <row r="796" spans="5:5" x14ac:dyDescent="0.25">
      <c r="E796" s="65"/>
    </row>
    <row r="797" spans="5:5" x14ac:dyDescent="0.25">
      <c r="E797" s="65"/>
    </row>
    <row r="798" spans="5:5" x14ac:dyDescent="0.25">
      <c r="E798" s="65"/>
    </row>
    <row r="799" spans="5:5" x14ac:dyDescent="0.25">
      <c r="E799" s="65"/>
    </row>
    <row r="800" spans="5:5" x14ac:dyDescent="0.25">
      <c r="E800" s="65"/>
    </row>
    <row r="801" spans="5:5" x14ac:dyDescent="0.25">
      <c r="E801" s="65"/>
    </row>
    <row r="802" spans="5:5" x14ac:dyDescent="0.25">
      <c r="E802" s="65"/>
    </row>
    <row r="803" spans="5:5" x14ac:dyDescent="0.25">
      <c r="E803" s="65"/>
    </row>
    <row r="804" spans="5:5" x14ac:dyDescent="0.25">
      <c r="E804" s="65"/>
    </row>
    <row r="805" spans="5:5" x14ac:dyDescent="0.25">
      <c r="E805" s="65"/>
    </row>
    <row r="806" spans="5:5" x14ac:dyDescent="0.25">
      <c r="E806" s="65"/>
    </row>
    <row r="807" spans="5:5" x14ac:dyDescent="0.25">
      <c r="E807" s="65"/>
    </row>
    <row r="808" spans="5:5" x14ac:dyDescent="0.25">
      <c r="E808" s="65"/>
    </row>
    <row r="809" spans="5:5" x14ac:dyDescent="0.25">
      <c r="E809" s="65"/>
    </row>
    <row r="810" spans="5:5" x14ac:dyDescent="0.25">
      <c r="E810" s="65"/>
    </row>
    <row r="811" spans="5:5" x14ac:dyDescent="0.25">
      <c r="E811" s="65"/>
    </row>
    <row r="812" spans="5:5" x14ac:dyDescent="0.25">
      <c r="E812" s="65"/>
    </row>
    <row r="813" spans="5:5" x14ac:dyDescent="0.25">
      <c r="E813" s="65"/>
    </row>
    <row r="814" spans="5:5" x14ac:dyDescent="0.25">
      <c r="E814" s="65"/>
    </row>
    <row r="815" spans="5:5" x14ac:dyDescent="0.25">
      <c r="E815" s="65"/>
    </row>
  </sheetData>
  <mergeCells count="2">
    <mergeCell ref="A2:F2"/>
    <mergeCell ref="A3:F3"/>
  </mergeCells>
  <phoneticPr fontId="5" type="noConversion"/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7AF28-389B-430C-B4D8-4F62DF5DF656}">
  <sheetPr codeName="Sheet8"/>
  <dimension ref="A1:G1543"/>
  <sheetViews>
    <sheetView zoomScale="115" zoomScaleNormal="115" workbookViewId="0">
      <selection activeCell="A6" sqref="A6:C6"/>
    </sheetView>
  </sheetViews>
  <sheetFormatPr defaultRowHeight="15" x14ac:dyDescent="0.25"/>
  <cols>
    <col min="1" max="1" width="18" style="37" customWidth="1"/>
    <col min="2" max="2" width="20.5703125" style="37" bestFit="1" customWidth="1"/>
    <col min="3" max="3" width="18.42578125" style="37" bestFit="1" customWidth="1"/>
    <col min="4" max="4" width="9.140625" style="37"/>
    <col min="5" max="5" width="25.5703125" bestFit="1" customWidth="1"/>
    <col min="7" max="7" width="9.140625" style="63"/>
  </cols>
  <sheetData>
    <row r="1" spans="1:5" ht="23.25" x14ac:dyDescent="0.25">
      <c r="A1" s="37" t="s">
        <v>459</v>
      </c>
      <c r="B1" s="37" t="s">
        <v>460</v>
      </c>
      <c r="C1" s="37" t="s">
        <v>461</v>
      </c>
      <c r="D1" s="37" t="s">
        <v>462</v>
      </c>
      <c r="E1" s="38" t="s">
        <v>2914</v>
      </c>
    </row>
    <row r="2" spans="1:5" ht="21" x14ac:dyDescent="0.35">
      <c r="A2" s="37" t="s">
        <v>463</v>
      </c>
      <c r="B2" s="37" t="s">
        <v>464</v>
      </c>
      <c r="C2" s="37" t="s">
        <v>465</v>
      </c>
      <c r="D2" s="37" t="s">
        <v>71</v>
      </c>
      <c r="E2" s="39">
        <f>COUNTA(A:A)</f>
        <v>1543</v>
      </c>
    </row>
    <row r="3" spans="1:5" x14ac:dyDescent="0.25">
      <c r="A3" s="37">
        <v>1017378</v>
      </c>
      <c r="B3" s="37" t="s">
        <v>466</v>
      </c>
      <c r="C3" s="37" t="s">
        <v>467</v>
      </c>
      <c r="D3" s="37" t="s">
        <v>71</v>
      </c>
    </row>
    <row r="4" spans="1:5" x14ac:dyDescent="0.25">
      <c r="A4" s="37">
        <v>1024291</v>
      </c>
      <c r="B4" s="37" t="s">
        <v>468</v>
      </c>
      <c r="C4" s="37" t="s">
        <v>469</v>
      </c>
      <c r="D4" s="37" t="s">
        <v>71</v>
      </c>
    </row>
    <row r="5" spans="1:5" x14ac:dyDescent="0.25">
      <c r="A5" s="37">
        <v>1094949</v>
      </c>
      <c r="B5" s="37" t="s">
        <v>470</v>
      </c>
      <c r="C5" s="37" t="s">
        <v>471</v>
      </c>
      <c r="D5" s="37" t="s">
        <v>71</v>
      </c>
    </row>
    <row r="6" spans="1:5" x14ac:dyDescent="0.25">
      <c r="A6" s="37">
        <v>1126021</v>
      </c>
      <c r="B6" s="37" t="s">
        <v>472</v>
      </c>
      <c r="C6" s="37" t="s">
        <v>473</v>
      </c>
      <c r="D6" s="37" t="s">
        <v>71</v>
      </c>
    </row>
    <row r="7" spans="1:5" x14ac:dyDescent="0.25">
      <c r="A7" s="37">
        <v>1154717</v>
      </c>
      <c r="B7" s="37" t="s">
        <v>474</v>
      </c>
      <c r="C7" s="37" t="s">
        <v>475</v>
      </c>
      <c r="D7" s="37" t="s">
        <v>71</v>
      </c>
    </row>
    <row r="8" spans="1:5" x14ac:dyDescent="0.25">
      <c r="A8" s="37">
        <v>1367208</v>
      </c>
      <c r="B8" s="37" t="s">
        <v>476</v>
      </c>
      <c r="C8" s="37" t="s">
        <v>477</v>
      </c>
      <c r="D8" s="37" t="s">
        <v>71</v>
      </c>
    </row>
    <row r="9" spans="1:5" x14ac:dyDescent="0.25">
      <c r="A9" s="37">
        <v>1389700</v>
      </c>
      <c r="B9" s="37" t="s">
        <v>478</v>
      </c>
      <c r="C9" s="37" t="s">
        <v>479</v>
      </c>
      <c r="D9" s="37" t="s">
        <v>71</v>
      </c>
    </row>
    <row r="10" spans="1:5" x14ac:dyDescent="0.25">
      <c r="A10" s="37">
        <v>1405917</v>
      </c>
      <c r="B10" s="37" t="s">
        <v>480</v>
      </c>
      <c r="C10" s="37" t="s">
        <v>481</v>
      </c>
      <c r="D10" s="37" t="s">
        <v>71</v>
      </c>
    </row>
    <row r="11" spans="1:5" x14ac:dyDescent="0.25">
      <c r="A11" s="37">
        <v>1445585</v>
      </c>
      <c r="B11" s="37" t="s">
        <v>482</v>
      </c>
      <c r="C11" s="37" t="s">
        <v>483</v>
      </c>
      <c r="D11" s="37" t="s">
        <v>71</v>
      </c>
    </row>
    <row r="12" spans="1:5" x14ac:dyDescent="0.25">
      <c r="A12" s="37">
        <v>1476319</v>
      </c>
      <c r="B12" s="37" t="s">
        <v>484</v>
      </c>
      <c r="C12" s="37" t="s">
        <v>485</v>
      </c>
      <c r="D12" s="37" t="s">
        <v>71</v>
      </c>
    </row>
    <row r="13" spans="1:5" x14ac:dyDescent="0.25">
      <c r="A13" s="37">
        <v>1476331</v>
      </c>
      <c r="B13" s="37" t="s">
        <v>486</v>
      </c>
      <c r="C13" s="37" t="s">
        <v>487</v>
      </c>
      <c r="D13" s="37" t="s">
        <v>71</v>
      </c>
    </row>
    <row r="14" spans="1:5" x14ac:dyDescent="0.25">
      <c r="A14" s="37">
        <v>1572896</v>
      </c>
      <c r="B14" s="37" t="s">
        <v>488</v>
      </c>
      <c r="C14" s="37" t="s">
        <v>489</v>
      </c>
      <c r="D14" s="37" t="s">
        <v>71</v>
      </c>
    </row>
    <row r="15" spans="1:5" x14ac:dyDescent="0.25">
      <c r="A15" s="37">
        <v>1616080</v>
      </c>
      <c r="B15" s="37" t="s">
        <v>343</v>
      </c>
      <c r="C15" s="37" t="s">
        <v>490</v>
      </c>
      <c r="D15" s="37" t="s">
        <v>71</v>
      </c>
    </row>
    <row r="16" spans="1:5" x14ac:dyDescent="0.25">
      <c r="A16" s="37">
        <v>1664951</v>
      </c>
      <c r="B16" s="37" t="s">
        <v>491</v>
      </c>
      <c r="C16" s="37" t="s">
        <v>492</v>
      </c>
      <c r="D16" s="37" t="s">
        <v>71</v>
      </c>
    </row>
    <row r="17" spans="1:4" x14ac:dyDescent="0.25">
      <c r="A17" s="37">
        <v>1683224</v>
      </c>
      <c r="B17" s="37" t="s">
        <v>493</v>
      </c>
      <c r="C17" s="37" t="s">
        <v>494</v>
      </c>
      <c r="D17" s="37" t="s">
        <v>71</v>
      </c>
    </row>
    <row r="18" spans="1:4" x14ac:dyDescent="0.25">
      <c r="A18" s="37">
        <v>1688208</v>
      </c>
      <c r="B18" s="37" t="s">
        <v>495</v>
      </c>
      <c r="C18" s="37" t="s">
        <v>496</v>
      </c>
      <c r="D18" s="37" t="s">
        <v>71</v>
      </c>
    </row>
    <row r="19" spans="1:4" x14ac:dyDescent="0.25">
      <c r="A19" s="37">
        <v>1841820</v>
      </c>
      <c r="B19" s="37" t="s">
        <v>301</v>
      </c>
      <c r="C19" s="37" t="s">
        <v>497</v>
      </c>
      <c r="D19" s="37" t="s">
        <v>71</v>
      </c>
    </row>
    <row r="20" spans="1:4" x14ac:dyDescent="0.25">
      <c r="A20" s="37">
        <v>1910823</v>
      </c>
      <c r="B20" s="37" t="s">
        <v>498</v>
      </c>
      <c r="C20" s="37" t="s">
        <v>387</v>
      </c>
      <c r="D20" s="37" t="s">
        <v>71</v>
      </c>
    </row>
    <row r="21" spans="1:4" x14ac:dyDescent="0.25">
      <c r="A21" s="37">
        <v>1916228</v>
      </c>
      <c r="B21" s="37" t="s">
        <v>499</v>
      </c>
      <c r="C21" s="37" t="s">
        <v>500</v>
      </c>
      <c r="D21" s="37" t="s">
        <v>71</v>
      </c>
    </row>
    <row r="22" spans="1:4" x14ac:dyDescent="0.25">
      <c r="A22" s="37">
        <v>1977192</v>
      </c>
      <c r="B22" s="37" t="s">
        <v>484</v>
      </c>
      <c r="C22" s="37" t="s">
        <v>501</v>
      </c>
      <c r="D22" s="37" t="s">
        <v>71</v>
      </c>
    </row>
    <row r="23" spans="1:4" x14ac:dyDescent="0.25">
      <c r="A23" s="37">
        <v>1995362</v>
      </c>
      <c r="B23" s="37" t="s">
        <v>502</v>
      </c>
      <c r="C23" s="37" t="s">
        <v>503</v>
      </c>
      <c r="D23" s="37" t="s">
        <v>71</v>
      </c>
    </row>
    <row r="24" spans="1:4" x14ac:dyDescent="0.25">
      <c r="A24" s="37">
        <v>2066299</v>
      </c>
      <c r="B24" s="37" t="s">
        <v>504</v>
      </c>
      <c r="C24" s="37" t="s">
        <v>157</v>
      </c>
      <c r="D24" s="37" t="s">
        <v>71</v>
      </c>
    </row>
    <row r="25" spans="1:4" x14ac:dyDescent="0.25">
      <c r="A25" s="37">
        <v>2069193</v>
      </c>
      <c r="B25" s="37" t="s">
        <v>504</v>
      </c>
      <c r="C25" s="37" t="s">
        <v>157</v>
      </c>
      <c r="D25" s="37" t="s">
        <v>71</v>
      </c>
    </row>
    <row r="26" spans="1:4" x14ac:dyDescent="0.25">
      <c r="A26" s="37">
        <v>2076643</v>
      </c>
      <c r="B26" s="37" t="s">
        <v>234</v>
      </c>
      <c r="C26" s="37" t="s">
        <v>235</v>
      </c>
      <c r="D26" s="37" t="s">
        <v>71</v>
      </c>
    </row>
    <row r="27" spans="1:4" x14ac:dyDescent="0.25">
      <c r="A27" s="37">
        <v>2086361</v>
      </c>
      <c r="B27" s="37" t="s">
        <v>505</v>
      </c>
      <c r="C27" s="37" t="s">
        <v>506</v>
      </c>
      <c r="D27" s="37" t="s">
        <v>71</v>
      </c>
    </row>
    <row r="28" spans="1:4" x14ac:dyDescent="0.25">
      <c r="A28" s="37">
        <v>2307565</v>
      </c>
      <c r="B28" s="37" t="s">
        <v>408</v>
      </c>
      <c r="C28" s="37" t="s">
        <v>507</v>
      </c>
      <c r="D28" s="37" t="s">
        <v>71</v>
      </c>
    </row>
    <row r="29" spans="1:4" x14ac:dyDescent="0.25">
      <c r="A29" s="37">
        <v>2372310</v>
      </c>
      <c r="B29" s="37" t="s">
        <v>508</v>
      </c>
      <c r="C29" s="37" t="s">
        <v>509</v>
      </c>
      <c r="D29" s="37" t="s">
        <v>71</v>
      </c>
    </row>
    <row r="30" spans="1:4" x14ac:dyDescent="0.25">
      <c r="A30" s="37">
        <v>2400364</v>
      </c>
      <c r="B30" s="37" t="s">
        <v>510</v>
      </c>
      <c r="C30" s="37" t="s">
        <v>511</v>
      </c>
      <c r="D30" s="37" t="s">
        <v>71</v>
      </c>
    </row>
    <row r="31" spans="1:4" x14ac:dyDescent="0.25">
      <c r="A31" s="37">
        <v>2401356</v>
      </c>
      <c r="B31" s="37" t="s">
        <v>502</v>
      </c>
      <c r="C31" s="37" t="s">
        <v>512</v>
      </c>
      <c r="D31" s="37" t="s">
        <v>71</v>
      </c>
    </row>
    <row r="32" spans="1:4" x14ac:dyDescent="0.25">
      <c r="A32" s="37">
        <v>2499737</v>
      </c>
      <c r="B32" s="37" t="s">
        <v>301</v>
      </c>
      <c r="C32" s="37" t="s">
        <v>497</v>
      </c>
      <c r="D32" s="37" t="s">
        <v>71</v>
      </c>
    </row>
    <row r="33" spans="1:4" x14ac:dyDescent="0.25">
      <c r="A33" s="37">
        <v>2531885</v>
      </c>
      <c r="B33" s="37" t="s">
        <v>513</v>
      </c>
      <c r="C33" s="37" t="s">
        <v>514</v>
      </c>
      <c r="D33" s="37" t="s">
        <v>71</v>
      </c>
    </row>
    <row r="34" spans="1:4" x14ac:dyDescent="0.25">
      <c r="A34" s="37">
        <v>2656648</v>
      </c>
      <c r="B34" s="37" t="s">
        <v>515</v>
      </c>
      <c r="C34" s="37" t="s">
        <v>516</v>
      </c>
      <c r="D34" s="37" t="s">
        <v>71</v>
      </c>
    </row>
    <row r="35" spans="1:4" x14ac:dyDescent="0.25">
      <c r="A35" s="37">
        <v>2713795</v>
      </c>
      <c r="B35" s="37" t="s">
        <v>517</v>
      </c>
      <c r="C35" s="37" t="s">
        <v>518</v>
      </c>
      <c r="D35" s="37" t="s">
        <v>71</v>
      </c>
    </row>
    <row r="36" spans="1:4" x14ac:dyDescent="0.25">
      <c r="A36" s="37">
        <v>2740506</v>
      </c>
      <c r="B36" s="37" t="s">
        <v>519</v>
      </c>
      <c r="C36" s="37" t="s">
        <v>520</v>
      </c>
      <c r="D36" s="37" t="s">
        <v>71</v>
      </c>
    </row>
    <row r="37" spans="1:4" x14ac:dyDescent="0.25">
      <c r="A37" s="37">
        <v>2854658</v>
      </c>
      <c r="B37" s="37" t="s">
        <v>521</v>
      </c>
      <c r="C37" s="37" t="s">
        <v>522</v>
      </c>
      <c r="D37" s="37" t="s">
        <v>71</v>
      </c>
    </row>
    <row r="38" spans="1:4" x14ac:dyDescent="0.25">
      <c r="A38" s="37">
        <v>2870275</v>
      </c>
      <c r="B38" s="37" t="s">
        <v>523</v>
      </c>
      <c r="C38" s="37" t="s">
        <v>524</v>
      </c>
      <c r="D38" s="37" t="s">
        <v>71</v>
      </c>
    </row>
    <row r="39" spans="1:4" x14ac:dyDescent="0.25">
      <c r="A39" s="37">
        <v>3013695</v>
      </c>
      <c r="B39" s="37" t="s">
        <v>3224</v>
      </c>
      <c r="C39" s="37" t="s">
        <v>3225</v>
      </c>
      <c r="D39" s="37" t="s">
        <v>71</v>
      </c>
    </row>
    <row r="40" spans="1:4" x14ac:dyDescent="0.25">
      <c r="A40" s="37">
        <v>3074982</v>
      </c>
      <c r="B40" s="37" t="s">
        <v>525</v>
      </c>
      <c r="C40" s="37" t="s">
        <v>316</v>
      </c>
      <c r="D40" s="37" t="s">
        <v>71</v>
      </c>
    </row>
    <row r="41" spans="1:4" x14ac:dyDescent="0.25">
      <c r="A41" s="37">
        <v>3202845</v>
      </c>
      <c r="B41" s="37" t="s">
        <v>526</v>
      </c>
      <c r="C41" s="37" t="s">
        <v>130</v>
      </c>
      <c r="D41" s="37" t="s">
        <v>71</v>
      </c>
    </row>
    <row r="42" spans="1:4" x14ac:dyDescent="0.25">
      <c r="A42" s="37">
        <v>3325067</v>
      </c>
      <c r="B42" s="37" t="s">
        <v>527</v>
      </c>
      <c r="C42" s="37" t="s">
        <v>528</v>
      </c>
      <c r="D42" s="37" t="s">
        <v>71</v>
      </c>
    </row>
    <row r="43" spans="1:4" x14ac:dyDescent="0.25">
      <c r="A43" s="37">
        <v>3438062</v>
      </c>
      <c r="B43" s="37" t="s">
        <v>529</v>
      </c>
      <c r="C43" s="37" t="s">
        <v>530</v>
      </c>
      <c r="D43" s="37" t="s">
        <v>71</v>
      </c>
    </row>
    <row r="44" spans="1:4" x14ac:dyDescent="0.25">
      <c r="A44" s="37">
        <v>3504612</v>
      </c>
      <c r="B44" s="37" t="s">
        <v>3223</v>
      </c>
      <c r="C44" s="37" t="s">
        <v>531</v>
      </c>
      <c r="D44" s="37" t="s">
        <v>71</v>
      </c>
    </row>
    <row r="45" spans="1:4" x14ac:dyDescent="0.25">
      <c r="A45" s="37">
        <v>3565970</v>
      </c>
      <c r="B45" s="37" t="s">
        <v>532</v>
      </c>
      <c r="C45" s="37" t="s">
        <v>533</v>
      </c>
      <c r="D45" s="37" t="s">
        <v>71</v>
      </c>
    </row>
    <row r="46" spans="1:4" x14ac:dyDescent="0.25">
      <c r="A46" s="37">
        <v>3586194</v>
      </c>
      <c r="B46" s="37" t="s">
        <v>534</v>
      </c>
      <c r="C46" s="37" t="s">
        <v>535</v>
      </c>
      <c r="D46" s="37" t="s">
        <v>71</v>
      </c>
    </row>
    <row r="47" spans="1:4" x14ac:dyDescent="0.25">
      <c r="A47" s="37">
        <v>3592970</v>
      </c>
      <c r="B47" s="37" t="s">
        <v>536</v>
      </c>
      <c r="C47" s="37" t="s">
        <v>537</v>
      </c>
      <c r="D47" s="37" t="s">
        <v>71</v>
      </c>
    </row>
    <row r="48" spans="1:4" x14ac:dyDescent="0.25">
      <c r="A48" s="37">
        <v>3893361</v>
      </c>
      <c r="B48" s="37" t="s">
        <v>538</v>
      </c>
      <c r="C48" s="37" t="s">
        <v>539</v>
      </c>
      <c r="D48" s="37" t="s">
        <v>71</v>
      </c>
    </row>
    <row r="49" spans="1:4" x14ac:dyDescent="0.25">
      <c r="A49" s="37">
        <v>4048905</v>
      </c>
      <c r="B49" s="37" t="s">
        <v>540</v>
      </c>
      <c r="C49" s="37" t="s">
        <v>541</v>
      </c>
      <c r="D49" s="37" t="s">
        <v>71</v>
      </c>
    </row>
    <row r="50" spans="1:4" x14ac:dyDescent="0.25">
      <c r="A50" s="37">
        <v>4061443</v>
      </c>
      <c r="B50" s="37" t="s">
        <v>542</v>
      </c>
      <c r="C50" s="37" t="s">
        <v>543</v>
      </c>
      <c r="D50" s="37" t="s">
        <v>71</v>
      </c>
    </row>
    <row r="51" spans="1:4" x14ac:dyDescent="0.25">
      <c r="A51" s="37">
        <v>4092173</v>
      </c>
      <c r="B51" s="37" t="s">
        <v>544</v>
      </c>
      <c r="C51" s="37" t="s">
        <v>545</v>
      </c>
      <c r="D51" s="37" t="s">
        <v>71</v>
      </c>
    </row>
    <row r="52" spans="1:4" x14ac:dyDescent="0.25">
      <c r="A52" s="37">
        <v>4173879</v>
      </c>
      <c r="B52" s="37" t="s">
        <v>2150</v>
      </c>
      <c r="C52" s="37" t="s">
        <v>3184</v>
      </c>
      <c r="D52" s="37" t="s">
        <v>71</v>
      </c>
    </row>
    <row r="53" spans="1:4" x14ac:dyDescent="0.25">
      <c r="A53" s="37">
        <v>4173880</v>
      </c>
      <c r="B53" s="37" t="s">
        <v>546</v>
      </c>
      <c r="C53" s="37" t="s">
        <v>547</v>
      </c>
      <c r="D53" s="37" t="s">
        <v>71</v>
      </c>
    </row>
    <row r="54" spans="1:4" x14ac:dyDescent="0.25">
      <c r="A54" s="37">
        <v>4187585</v>
      </c>
      <c r="B54" s="37" t="s">
        <v>548</v>
      </c>
      <c r="C54" s="37" t="s">
        <v>149</v>
      </c>
      <c r="D54" s="37" t="s">
        <v>71</v>
      </c>
    </row>
    <row r="55" spans="1:4" x14ac:dyDescent="0.25">
      <c r="A55" s="37">
        <v>4196605</v>
      </c>
      <c r="B55" s="37" t="s">
        <v>1265</v>
      </c>
      <c r="C55" s="37" t="s">
        <v>550</v>
      </c>
      <c r="D55" s="37" t="s">
        <v>71</v>
      </c>
    </row>
    <row r="56" spans="1:4" x14ac:dyDescent="0.25">
      <c r="A56" s="37">
        <v>4240294</v>
      </c>
      <c r="B56" s="37" t="s">
        <v>551</v>
      </c>
      <c r="C56" s="37" t="s">
        <v>552</v>
      </c>
      <c r="D56" s="37" t="s">
        <v>71</v>
      </c>
    </row>
    <row r="57" spans="1:4" x14ac:dyDescent="0.25">
      <c r="A57" s="37">
        <v>4306098</v>
      </c>
      <c r="B57" s="37" t="s">
        <v>2179</v>
      </c>
      <c r="C57" s="37" t="s">
        <v>553</v>
      </c>
      <c r="D57" s="37" t="s">
        <v>71</v>
      </c>
    </row>
    <row r="58" spans="1:4" x14ac:dyDescent="0.25">
      <c r="A58" s="37">
        <v>4362163</v>
      </c>
      <c r="B58" s="37" t="s">
        <v>554</v>
      </c>
      <c r="C58" s="37" t="s">
        <v>555</v>
      </c>
      <c r="D58" s="37" t="s">
        <v>71</v>
      </c>
    </row>
    <row r="59" spans="1:4" x14ac:dyDescent="0.25">
      <c r="A59" s="37">
        <v>4387390</v>
      </c>
      <c r="B59" s="37" t="s">
        <v>556</v>
      </c>
      <c r="C59" s="37" t="s">
        <v>557</v>
      </c>
      <c r="D59" s="37" t="s">
        <v>71</v>
      </c>
    </row>
    <row r="60" spans="1:4" x14ac:dyDescent="0.25">
      <c r="A60" s="37">
        <v>4474720</v>
      </c>
      <c r="B60" s="37" t="s">
        <v>558</v>
      </c>
      <c r="C60" s="37" t="s">
        <v>559</v>
      </c>
      <c r="D60" s="37" t="s">
        <v>71</v>
      </c>
    </row>
    <row r="61" spans="1:4" x14ac:dyDescent="0.25">
      <c r="A61" s="37">
        <v>4674313</v>
      </c>
      <c r="B61" s="37" t="s">
        <v>560</v>
      </c>
      <c r="C61" s="37" t="s">
        <v>316</v>
      </c>
      <c r="D61" s="37" t="s">
        <v>71</v>
      </c>
    </row>
    <row r="62" spans="1:4" x14ac:dyDescent="0.25">
      <c r="A62" s="37">
        <v>4699798</v>
      </c>
      <c r="B62" s="37" t="s">
        <v>464</v>
      </c>
      <c r="C62" s="37" t="s">
        <v>465</v>
      </c>
      <c r="D62" s="37" t="s">
        <v>71</v>
      </c>
    </row>
    <row r="63" spans="1:4" x14ac:dyDescent="0.25">
      <c r="A63" s="37">
        <v>5070590</v>
      </c>
      <c r="B63" s="37" t="s">
        <v>493</v>
      </c>
      <c r="C63" s="37" t="s">
        <v>561</v>
      </c>
      <c r="D63" s="37" t="s">
        <v>71</v>
      </c>
    </row>
    <row r="64" spans="1:4" x14ac:dyDescent="0.25">
      <c r="A64" s="37">
        <v>5112076</v>
      </c>
      <c r="B64" s="37" t="s">
        <v>562</v>
      </c>
      <c r="C64" s="37" t="s">
        <v>563</v>
      </c>
      <c r="D64" s="37" t="s">
        <v>71</v>
      </c>
    </row>
    <row r="65" spans="1:4" x14ac:dyDescent="0.25">
      <c r="A65" s="37">
        <v>5147204</v>
      </c>
      <c r="B65" s="37" t="s">
        <v>3221</v>
      </c>
      <c r="C65" s="37" t="s">
        <v>3222</v>
      </c>
      <c r="D65" s="37" t="s">
        <v>71</v>
      </c>
    </row>
    <row r="66" spans="1:4" x14ac:dyDescent="0.25">
      <c r="A66" s="37">
        <v>5176240</v>
      </c>
      <c r="B66" s="37" t="s">
        <v>564</v>
      </c>
      <c r="C66" s="37" t="s">
        <v>565</v>
      </c>
      <c r="D66" s="37" t="s">
        <v>71</v>
      </c>
    </row>
    <row r="67" spans="1:4" x14ac:dyDescent="0.25">
      <c r="A67" s="37">
        <v>5257250</v>
      </c>
      <c r="B67" s="37" t="s">
        <v>566</v>
      </c>
      <c r="C67" s="37" t="s">
        <v>567</v>
      </c>
      <c r="D67" s="37" t="s">
        <v>71</v>
      </c>
    </row>
    <row r="68" spans="1:4" x14ac:dyDescent="0.25">
      <c r="A68" s="37">
        <v>5486533</v>
      </c>
      <c r="B68" s="37" t="s">
        <v>3121</v>
      </c>
      <c r="C68" s="37" t="s">
        <v>3122</v>
      </c>
      <c r="D68" s="37" t="s">
        <v>71</v>
      </c>
    </row>
    <row r="69" spans="1:4" x14ac:dyDescent="0.25">
      <c r="A69" s="37">
        <v>5494538</v>
      </c>
      <c r="B69" s="37" t="s">
        <v>568</v>
      </c>
      <c r="C69" s="37" t="s">
        <v>569</v>
      </c>
      <c r="D69" s="37" t="s">
        <v>71</v>
      </c>
    </row>
    <row r="70" spans="1:4" x14ac:dyDescent="0.25">
      <c r="A70" s="37">
        <v>5550221</v>
      </c>
      <c r="B70" s="37" t="s">
        <v>570</v>
      </c>
      <c r="C70" s="37" t="s">
        <v>571</v>
      </c>
      <c r="D70" s="37" t="s">
        <v>71</v>
      </c>
    </row>
    <row r="71" spans="1:4" x14ac:dyDescent="0.25">
      <c r="A71" s="37">
        <v>5844386</v>
      </c>
      <c r="B71" s="37" t="s">
        <v>396</v>
      </c>
      <c r="C71" s="37" t="s">
        <v>572</v>
      </c>
      <c r="D71" s="37" t="s">
        <v>71</v>
      </c>
    </row>
    <row r="72" spans="1:4" x14ac:dyDescent="0.25">
      <c r="A72" s="37">
        <v>5885759</v>
      </c>
      <c r="B72" s="37" t="s">
        <v>573</v>
      </c>
      <c r="C72" s="37" t="s">
        <v>574</v>
      </c>
      <c r="D72" s="37" t="s">
        <v>71</v>
      </c>
    </row>
    <row r="73" spans="1:4" x14ac:dyDescent="0.25">
      <c r="A73" s="37">
        <v>5892596</v>
      </c>
      <c r="B73" s="37" t="s">
        <v>575</v>
      </c>
      <c r="C73" s="37" t="s">
        <v>576</v>
      </c>
      <c r="D73" s="37" t="s">
        <v>71</v>
      </c>
    </row>
    <row r="74" spans="1:4" x14ac:dyDescent="0.25">
      <c r="A74" s="37">
        <v>5895561</v>
      </c>
      <c r="B74" s="37" t="s">
        <v>577</v>
      </c>
      <c r="C74" s="37" t="s">
        <v>574</v>
      </c>
      <c r="D74" s="37" t="s">
        <v>71</v>
      </c>
    </row>
    <row r="75" spans="1:4" x14ac:dyDescent="0.25">
      <c r="A75" s="37">
        <v>6017577</v>
      </c>
      <c r="B75" s="37" t="s">
        <v>578</v>
      </c>
      <c r="C75" s="37" t="s">
        <v>579</v>
      </c>
      <c r="D75" s="37" t="s">
        <v>71</v>
      </c>
    </row>
    <row r="76" spans="1:4" x14ac:dyDescent="0.25">
      <c r="A76" s="37">
        <v>6026758</v>
      </c>
      <c r="B76" s="37" t="s">
        <v>580</v>
      </c>
      <c r="C76" s="37" t="s">
        <v>581</v>
      </c>
      <c r="D76" s="37" t="s">
        <v>71</v>
      </c>
    </row>
    <row r="77" spans="1:4" x14ac:dyDescent="0.25">
      <c r="A77" s="37">
        <v>6071972</v>
      </c>
      <c r="B77" s="37" t="s">
        <v>582</v>
      </c>
      <c r="C77" s="37" t="s">
        <v>219</v>
      </c>
      <c r="D77" s="37" t="s">
        <v>71</v>
      </c>
    </row>
    <row r="78" spans="1:4" x14ac:dyDescent="0.25">
      <c r="A78" s="37">
        <v>6072355</v>
      </c>
      <c r="B78" s="37" t="s">
        <v>447</v>
      </c>
      <c r="C78" s="37" t="s">
        <v>583</v>
      </c>
      <c r="D78" s="37" t="s">
        <v>71</v>
      </c>
    </row>
    <row r="79" spans="1:4" x14ac:dyDescent="0.25">
      <c r="A79" s="37">
        <v>6077708</v>
      </c>
      <c r="B79" s="37" t="s">
        <v>584</v>
      </c>
      <c r="C79" s="37" t="s">
        <v>585</v>
      </c>
      <c r="D79" s="37" t="s">
        <v>71</v>
      </c>
    </row>
    <row r="80" spans="1:4" x14ac:dyDescent="0.25">
      <c r="A80" s="37">
        <v>6091336</v>
      </c>
      <c r="B80" s="37" t="s">
        <v>1004</v>
      </c>
      <c r="C80" s="37" t="s">
        <v>586</v>
      </c>
      <c r="D80" s="37" t="s">
        <v>71</v>
      </c>
    </row>
    <row r="81" spans="1:4" x14ac:dyDescent="0.25">
      <c r="A81" s="37">
        <v>6143382</v>
      </c>
      <c r="B81" s="37" t="s">
        <v>587</v>
      </c>
      <c r="C81" s="37" t="s">
        <v>588</v>
      </c>
      <c r="D81" s="37" t="s">
        <v>71</v>
      </c>
    </row>
    <row r="82" spans="1:4" x14ac:dyDescent="0.25">
      <c r="A82" s="37">
        <v>6237676</v>
      </c>
      <c r="B82" s="37" t="s">
        <v>589</v>
      </c>
      <c r="C82" s="37" t="s">
        <v>516</v>
      </c>
      <c r="D82" s="37" t="s">
        <v>71</v>
      </c>
    </row>
    <row r="83" spans="1:4" x14ac:dyDescent="0.25">
      <c r="A83" s="37">
        <v>6266155</v>
      </c>
      <c r="B83" s="37" t="s">
        <v>590</v>
      </c>
      <c r="C83" s="37" t="s">
        <v>591</v>
      </c>
      <c r="D83" s="37" t="s">
        <v>71</v>
      </c>
    </row>
    <row r="84" spans="1:4" x14ac:dyDescent="0.25">
      <c r="A84" s="37">
        <v>6367379</v>
      </c>
      <c r="B84" s="37" t="s">
        <v>592</v>
      </c>
      <c r="C84" s="37" t="s">
        <v>593</v>
      </c>
      <c r="D84" s="37" t="s">
        <v>71</v>
      </c>
    </row>
    <row r="85" spans="1:4" x14ac:dyDescent="0.25">
      <c r="A85" s="37">
        <v>6412393</v>
      </c>
      <c r="B85" s="37" t="s">
        <v>594</v>
      </c>
      <c r="C85" s="37" t="s">
        <v>492</v>
      </c>
      <c r="D85" s="37" t="s">
        <v>71</v>
      </c>
    </row>
    <row r="86" spans="1:4" x14ac:dyDescent="0.25">
      <c r="A86" s="37">
        <v>6470396</v>
      </c>
      <c r="B86" s="37" t="s">
        <v>595</v>
      </c>
      <c r="C86" s="37" t="s">
        <v>219</v>
      </c>
      <c r="D86" s="37" t="s">
        <v>71</v>
      </c>
    </row>
    <row r="87" spans="1:4" x14ac:dyDescent="0.25">
      <c r="A87" s="37">
        <v>6538152</v>
      </c>
      <c r="B87" s="37" t="s">
        <v>596</v>
      </c>
      <c r="C87" s="37" t="s">
        <v>597</v>
      </c>
      <c r="D87" s="37" t="s">
        <v>71</v>
      </c>
    </row>
    <row r="88" spans="1:4" x14ac:dyDescent="0.25">
      <c r="A88" s="37">
        <v>6720295</v>
      </c>
      <c r="B88" s="37" t="s">
        <v>598</v>
      </c>
      <c r="C88" s="37" t="s">
        <v>599</v>
      </c>
      <c r="D88" s="37" t="s">
        <v>71</v>
      </c>
    </row>
    <row r="89" spans="1:4" x14ac:dyDescent="0.25">
      <c r="A89" s="37">
        <v>6799383</v>
      </c>
      <c r="B89" s="37" t="s">
        <v>600</v>
      </c>
      <c r="C89" s="37" t="s">
        <v>219</v>
      </c>
      <c r="D89" s="37" t="s">
        <v>71</v>
      </c>
    </row>
    <row r="90" spans="1:4" x14ac:dyDescent="0.25">
      <c r="A90" s="37">
        <v>6908910</v>
      </c>
      <c r="B90" s="37" t="s">
        <v>601</v>
      </c>
      <c r="C90" s="37" t="s">
        <v>602</v>
      </c>
      <c r="D90" s="37" t="s">
        <v>71</v>
      </c>
    </row>
    <row r="91" spans="1:4" x14ac:dyDescent="0.25">
      <c r="A91" s="37">
        <v>6947483</v>
      </c>
      <c r="B91" s="37" t="s">
        <v>603</v>
      </c>
      <c r="C91" s="37" t="s">
        <v>604</v>
      </c>
      <c r="D91" s="37" t="s">
        <v>71</v>
      </c>
    </row>
    <row r="92" spans="1:4" x14ac:dyDescent="0.25">
      <c r="A92" s="37">
        <v>6971500</v>
      </c>
      <c r="B92" s="37" t="s">
        <v>605</v>
      </c>
      <c r="C92" s="37" t="s">
        <v>606</v>
      </c>
      <c r="D92" s="37" t="s">
        <v>71</v>
      </c>
    </row>
    <row r="93" spans="1:4" x14ac:dyDescent="0.25">
      <c r="A93" s="37">
        <v>6985517</v>
      </c>
      <c r="B93" s="37" t="s">
        <v>607</v>
      </c>
      <c r="C93" s="37" t="s">
        <v>547</v>
      </c>
      <c r="D93" s="37" t="s">
        <v>71</v>
      </c>
    </row>
    <row r="94" spans="1:4" x14ac:dyDescent="0.25">
      <c r="A94" s="37">
        <v>7262656</v>
      </c>
      <c r="B94" s="37" t="s">
        <v>608</v>
      </c>
      <c r="C94" s="37" t="s">
        <v>609</v>
      </c>
      <c r="D94" s="37" t="s">
        <v>71</v>
      </c>
    </row>
    <row r="95" spans="1:4" x14ac:dyDescent="0.25">
      <c r="A95" s="37">
        <v>7410940</v>
      </c>
      <c r="B95" s="37" t="s">
        <v>610</v>
      </c>
      <c r="C95" s="37" t="s">
        <v>611</v>
      </c>
      <c r="D95" s="37" t="s">
        <v>71</v>
      </c>
    </row>
    <row r="96" spans="1:4" x14ac:dyDescent="0.25">
      <c r="A96" s="37">
        <v>7432679</v>
      </c>
      <c r="B96" s="37" t="s">
        <v>612</v>
      </c>
      <c r="C96" s="37" t="s">
        <v>613</v>
      </c>
      <c r="D96" s="37" t="s">
        <v>71</v>
      </c>
    </row>
    <row r="97" spans="1:4" x14ac:dyDescent="0.25">
      <c r="A97" s="37">
        <v>7474147</v>
      </c>
      <c r="B97" s="37" t="s">
        <v>614</v>
      </c>
      <c r="C97" s="37" t="s">
        <v>492</v>
      </c>
      <c r="D97" s="37" t="s">
        <v>71</v>
      </c>
    </row>
    <row r="98" spans="1:4" x14ac:dyDescent="0.25">
      <c r="A98" s="37">
        <v>7537741</v>
      </c>
      <c r="B98" s="37" t="s">
        <v>615</v>
      </c>
      <c r="C98" s="37" t="s">
        <v>616</v>
      </c>
      <c r="D98" s="37" t="s">
        <v>71</v>
      </c>
    </row>
    <row r="99" spans="1:4" x14ac:dyDescent="0.25">
      <c r="A99" s="37">
        <v>7579273</v>
      </c>
      <c r="B99" s="37" t="s">
        <v>617</v>
      </c>
      <c r="C99" s="37" t="s">
        <v>618</v>
      </c>
      <c r="D99" s="37" t="s">
        <v>71</v>
      </c>
    </row>
    <row r="100" spans="1:4" x14ac:dyDescent="0.25">
      <c r="A100" s="37">
        <v>7642808</v>
      </c>
      <c r="B100" s="37" t="s">
        <v>610</v>
      </c>
      <c r="C100" s="37" t="s">
        <v>619</v>
      </c>
      <c r="D100" s="37" t="s">
        <v>71</v>
      </c>
    </row>
    <row r="101" spans="1:4" x14ac:dyDescent="0.25">
      <c r="A101" s="37">
        <v>7811358</v>
      </c>
      <c r="B101" s="37" t="s">
        <v>620</v>
      </c>
      <c r="C101" s="37" t="s">
        <v>621</v>
      </c>
      <c r="D101" s="37" t="s">
        <v>71</v>
      </c>
    </row>
    <row r="102" spans="1:4" x14ac:dyDescent="0.25">
      <c r="A102" s="37">
        <v>7956663</v>
      </c>
      <c r="B102" s="37" t="s">
        <v>622</v>
      </c>
      <c r="C102" s="37" t="s">
        <v>316</v>
      </c>
      <c r="D102" s="37" t="s">
        <v>71</v>
      </c>
    </row>
    <row r="103" spans="1:4" x14ac:dyDescent="0.25">
      <c r="A103" s="37">
        <v>8029190</v>
      </c>
      <c r="B103" s="37" t="s">
        <v>623</v>
      </c>
      <c r="C103" s="37" t="s">
        <v>373</v>
      </c>
      <c r="D103" s="37" t="s">
        <v>71</v>
      </c>
    </row>
    <row r="104" spans="1:4" x14ac:dyDescent="0.25">
      <c r="A104" s="37">
        <v>8142785</v>
      </c>
      <c r="B104" s="37" t="s">
        <v>624</v>
      </c>
      <c r="C104" s="37" t="s">
        <v>625</v>
      </c>
      <c r="D104" s="37" t="s">
        <v>71</v>
      </c>
    </row>
    <row r="105" spans="1:4" x14ac:dyDescent="0.25">
      <c r="A105" s="37">
        <v>8255370</v>
      </c>
      <c r="B105" s="37" t="s">
        <v>3044</v>
      </c>
      <c r="C105" s="37" t="s">
        <v>626</v>
      </c>
      <c r="D105" s="37" t="s">
        <v>71</v>
      </c>
    </row>
    <row r="106" spans="1:4" x14ac:dyDescent="0.25">
      <c r="A106" s="37">
        <v>8393326</v>
      </c>
      <c r="B106" s="37" t="s">
        <v>627</v>
      </c>
      <c r="C106" s="37" t="s">
        <v>628</v>
      </c>
      <c r="D106" s="37" t="s">
        <v>71</v>
      </c>
    </row>
    <row r="107" spans="1:4" x14ac:dyDescent="0.25">
      <c r="A107" s="37">
        <v>8634607</v>
      </c>
      <c r="B107" s="37" t="s">
        <v>629</v>
      </c>
      <c r="C107" s="37" t="s">
        <v>316</v>
      </c>
      <c r="D107" s="37" t="s">
        <v>71</v>
      </c>
    </row>
    <row r="108" spans="1:4" x14ac:dyDescent="0.25">
      <c r="A108" s="37">
        <v>8664655</v>
      </c>
      <c r="B108" s="37" t="s">
        <v>630</v>
      </c>
      <c r="C108" s="37" t="s">
        <v>631</v>
      </c>
      <c r="D108" s="37" t="s">
        <v>71</v>
      </c>
    </row>
    <row r="109" spans="1:4" x14ac:dyDescent="0.25">
      <c r="A109" s="37">
        <v>8774785</v>
      </c>
      <c r="B109" s="37" t="s">
        <v>632</v>
      </c>
      <c r="C109" s="37" t="s">
        <v>633</v>
      </c>
      <c r="D109" s="37" t="s">
        <v>71</v>
      </c>
    </row>
    <row r="110" spans="1:4" x14ac:dyDescent="0.25">
      <c r="A110" s="37">
        <v>8775656</v>
      </c>
      <c r="B110" s="37" t="s">
        <v>634</v>
      </c>
      <c r="C110" s="37" t="s">
        <v>635</v>
      </c>
      <c r="D110" s="37" t="s">
        <v>71</v>
      </c>
    </row>
    <row r="111" spans="1:4" x14ac:dyDescent="0.25">
      <c r="A111" s="37">
        <v>8851918</v>
      </c>
      <c r="B111" s="37" t="s">
        <v>636</v>
      </c>
      <c r="C111" s="37" t="s">
        <v>637</v>
      </c>
      <c r="D111" s="37" t="s">
        <v>71</v>
      </c>
    </row>
    <row r="112" spans="1:4" x14ac:dyDescent="0.25">
      <c r="A112" s="37">
        <v>8878223</v>
      </c>
      <c r="B112" s="37" t="s">
        <v>638</v>
      </c>
      <c r="C112" s="37" t="s">
        <v>639</v>
      </c>
      <c r="D112" s="37" t="s">
        <v>71</v>
      </c>
    </row>
    <row r="113" spans="1:4" x14ac:dyDescent="0.25">
      <c r="A113" s="37">
        <v>8950374</v>
      </c>
      <c r="B113" s="37" t="s">
        <v>640</v>
      </c>
      <c r="C113" s="37" t="s">
        <v>574</v>
      </c>
      <c r="D113" s="37" t="s">
        <v>71</v>
      </c>
    </row>
    <row r="114" spans="1:4" x14ac:dyDescent="0.25">
      <c r="A114" s="37">
        <v>9022508</v>
      </c>
      <c r="B114" s="37" t="s">
        <v>641</v>
      </c>
      <c r="C114" s="37" t="s">
        <v>642</v>
      </c>
      <c r="D114" s="37" t="s">
        <v>71</v>
      </c>
    </row>
    <row r="115" spans="1:4" x14ac:dyDescent="0.25">
      <c r="A115" s="37">
        <v>9051511</v>
      </c>
      <c r="B115" s="37" t="s">
        <v>643</v>
      </c>
      <c r="C115" s="37" t="s">
        <v>157</v>
      </c>
      <c r="D115" s="37" t="s">
        <v>71</v>
      </c>
    </row>
    <row r="116" spans="1:4" x14ac:dyDescent="0.25">
      <c r="A116" s="37">
        <v>9054515</v>
      </c>
      <c r="B116" s="37" t="s">
        <v>644</v>
      </c>
      <c r="C116" s="37" t="s">
        <v>645</v>
      </c>
      <c r="D116" s="37" t="s">
        <v>71</v>
      </c>
    </row>
    <row r="117" spans="1:4" x14ac:dyDescent="0.25">
      <c r="A117" s="37">
        <v>9245383</v>
      </c>
      <c r="B117" s="37" t="s">
        <v>646</v>
      </c>
      <c r="C117" s="37" t="s">
        <v>647</v>
      </c>
      <c r="D117" s="37" t="s">
        <v>71</v>
      </c>
    </row>
    <row r="118" spans="1:4" x14ac:dyDescent="0.25">
      <c r="A118" s="37">
        <v>9267407</v>
      </c>
      <c r="B118" s="37" t="s">
        <v>648</v>
      </c>
      <c r="C118" s="37" t="s">
        <v>618</v>
      </c>
      <c r="D118" s="37" t="s">
        <v>71</v>
      </c>
    </row>
    <row r="119" spans="1:4" x14ac:dyDescent="0.25">
      <c r="A119" s="37">
        <v>9529116</v>
      </c>
      <c r="B119" s="37" t="s">
        <v>649</v>
      </c>
      <c r="C119" s="37" t="s">
        <v>280</v>
      </c>
      <c r="D119" s="37" t="s">
        <v>71</v>
      </c>
    </row>
    <row r="120" spans="1:4" x14ac:dyDescent="0.25">
      <c r="A120" s="37">
        <v>9722008</v>
      </c>
      <c r="B120" s="37" t="s">
        <v>650</v>
      </c>
      <c r="C120" s="37" t="s">
        <v>3124</v>
      </c>
      <c r="D120" s="37" t="s">
        <v>71</v>
      </c>
    </row>
    <row r="121" spans="1:4" x14ac:dyDescent="0.25">
      <c r="A121" s="37">
        <v>9726642</v>
      </c>
      <c r="B121" s="37" t="s">
        <v>476</v>
      </c>
      <c r="C121" s="37" t="s">
        <v>652</v>
      </c>
      <c r="D121" s="37" t="s">
        <v>71</v>
      </c>
    </row>
    <row r="122" spans="1:4" x14ac:dyDescent="0.25">
      <c r="A122" s="37">
        <v>9836879</v>
      </c>
      <c r="B122" s="37" t="s">
        <v>653</v>
      </c>
      <c r="C122" s="37" t="s">
        <v>654</v>
      </c>
      <c r="D122" s="37" t="s">
        <v>71</v>
      </c>
    </row>
    <row r="123" spans="1:4" x14ac:dyDescent="0.25">
      <c r="A123" s="37">
        <v>9874258</v>
      </c>
      <c r="B123" s="37" t="s">
        <v>655</v>
      </c>
      <c r="C123" s="37" t="s">
        <v>656</v>
      </c>
      <c r="D123" s="37" t="s">
        <v>71</v>
      </c>
    </row>
    <row r="124" spans="1:4" x14ac:dyDescent="0.25">
      <c r="A124" s="37" t="s">
        <v>657</v>
      </c>
      <c r="B124" s="37" t="s">
        <v>658</v>
      </c>
      <c r="C124" s="37" t="s">
        <v>659</v>
      </c>
      <c r="D124" s="37" t="s">
        <v>71</v>
      </c>
    </row>
    <row r="125" spans="1:4" x14ac:dyDescent="0.25">
      <c r="A125" s="37" t="s">
        <v>660</v>
      </c>
      <c r="B125" s="37" t="s">
        <v>661</v>
      </c>
      <c r="C125" s="37" t="s">
        <v>242</v>
      </c>
      <c r="D125" s="37" t="s">
        <v>71</v>
      </c>
    </row>
    <row r="126" spans="1:4" x14ac:dyDescent="0.25">
      <c r="A126" s="37" t="s">
        <v>233</v>
      </c>
      <c r="B126" s="37" t="s">
        <v>662</v>
      </c>
      <c r="C126" s="37" t="s">
        <v>197</v>
      </c>
      <c r="D126" s="37" t="s">
        <v>71</v>
      </c>
    </row>
    <row r="127" spans="1:4" x14ac:dyDescent="0.25">
      <c r="A127" s="37" t="s">
        <v>663</v>
      </c>
      <c r="B127" s="37" t="s">
        <v>664</v>
      </c>
      <c r="C127" s="37" t="s">
        <v>354</v>
      </c>
      <c r="D127" s="37" t="s">
        <v>71</v>
      </c>
    </row>
    <row r="128" spans="1:4" x14ac:dyDescent="0.25">
      <c r="A128" s="37" t="s">
        <v>665</v>
      </c>
      <c r="B128" s="37" t="s">
        <v>423</v>
      </c>
      <c r="C128" s="37" t="s">
        <v>666</v>
      </c>
      <c r="D128" s="37" t="s">
        <v>71</v>
      </c>
    </row>
    <row r="129" spans="1:4" x14ac:dyDescent="0.25">
      <c r="A129" s="37" t="s">
        <v>667</v>
      </c>
      <c r="B129" s="37" t="s">
        <v>668</v>
      </c>
      <c r="C129" s="37" t="s">
        <v>666</v>
      </c>
      <c r="D129" s="37" t="s">
        <v>71</v>
      </c>
    </row>
    <row r="130" spans="1:4" x14ac:dyDescent="0.25">
      <c r="A130" s="37" t="s">
        <v>669</v>
      </c>
      <c r="B130" s="37" t="s">
        <v>670</v>
      </c>
      <c r="C130" s="37" t="s">
        <v>3115</v>
      </c>
      <c r="D130" s="37" t="s">
        <v>71</v>
      </c>
    </row>
    <row r="131" spans="1:4" x14ac:dyDescent="0.25">
      <c r="A131" s="37" t="s">
        <v>672</v>
      </c>
      <c r="B131" s="37" t="s">
        <v>562</v>
      </c>
      <c r="C131" s="37" t="s">
        <v>3113</v>
      </c>
      <c r="D131" s="37" t="s">
        <v>71</v>
      </c>
    </row>
    <row r="132" spans="1:4" x14ac:dyDescent="0.25">
      <c r="A132" s="37" t="s">
        <v>674</v>
      </c>
      <c r="B132" s="37" t="s">
        <v>675</v>
      </c>
      <c r="C132" s="37" t="s">
        <v>149</v>
      </c>
      <c r="D132" s="37" t="s">
        <v>71</v>
      </c>
    </row>
    <row r="133" spans="1:4" x14ac:dyDescent="0.25">
      <c r="A133" s="37" t="s">
        <v>676</v>
      </c>
      <c r="B133" s="37" t="s">
        <v>677</v>
      </c>
      <c r="C133" s="37" t="s">
        <v>678</v>
      </c>
      <c r="D133" s="37" t="s">
        <v>71</v>
      </c>
    </row>
    <row r="134" spans="1:4" x14ac:dyDescent="0.25">
      <c r="A134" s="37" t="s">
        <v>679</v>
      </c>
      <c r="B134" s="37" t="s">
        <v>435</v>
      </c>
      <c r="C134" s="37" t="s">
        <v>219</v>
      </c>
      <c r="D134" s="37" t="s">
        <v>71</v>
      </c>
    </row>
    <row r="135" spans="1:4" x14ac:dyDescent="0.25">
      <c r="A135" s="37" t="s">
        <v>680</v>
      </c>
      <c r="B135" s="37" t="s">
        <v>681</v>
      </c>
      <c r="C135" s="37" t="s">
        <v>120</v>
      </c>
      <c r="D135" s="37" t="s">
        <v>71</v>
      </c>
    </row>
    <row r="136" spans="1:4" x14ac:dyDescent="0.25">
      <c r="A136" s="37" t="s">
        <v>682</v>
      </c>
      <c r="B136" s="37" t="s">
        <v>683</v>
      </c>
      <c r="C136" s="37" t="s">
        <v>684</v>
      </c>
      <c r="D136" s="37" t="s">
        <v>71</v>
      </c>
    </row>
    <row r="137" spans="1:4" x14ac:dyDescent="0.25">
      <c r="A137" s="37" t="s">
        <v>685</v>
      </c>
      <c r="B137" s="37" t="s">
        <v>138</v>
      </c>
      <c r="C137" s="37" t="s">
        <v>686</v>
      </c>
      <c r="D137" s="37" t="s">
        <v>71</v>
      </c>
    </row>
    <row r="138" spans="1:4" x14ac:dyDescent="0.25">
      <c r="A138" s="37" t="s">
        <v>687</v>
      </c>
      <c r="B138" s="37" t="s">
        <v>688</v>
      </c>
      <c r="C138" s="37" t="s">
        <v>219</v>
      </c>
      <c r="D138" s="37" t="s">
        <v>71</v>
      </c>
    </row>
    <row r="139" spans="1:4" x14ac:dyDescent="0.25">
      <c r="A139" s="37" t="s">
        <v>689</v>
      </c>
      <c r="B139" s="37" t="s">
        <v>690</v>
      </c>
      <c r="C139" s="37" t="s">
        <v>691</v>
      </c>
      <c r="D139" s="37" t="s">
        <v>71</v>
      </c>
    </row>
    <row r="140" spans="1:4" x14ac:dyDescent="0.25">
      <c r="A140" s="37" t="s">
        <v>692</v>
      </c>
      <c r="B140" s="37" t="s">
        <v>398</v>
      </c>
      <c r="C140" s="37" t="s">
        <v>693</v>
      </c>
      <c r="D140" s="37" t="s">
        <v>71</v>
      </c>
    </row>
    <row r="141" spans="1:4" x14ac:dyDescent="0.25">
      <c r="A141" s="37" t="s">
        <v>694</v>
      </c>
      <c r="B141" s="37" t="s">
        <v>695</v>
      </c>
      <c r="C141" s="37" t="s">
        <v>696</v>
      </c>
      <c r="D141" s="37" t="s">
        <v>71</v>
      </c>
    </row>
    <row r="142" spans="1:4" x14ac:dyDescent="0.25">
      <c r="A142" s="37" t="s">
        <v>697</v>
      </c>
      <c r="B142" s="37" t="s">
        <v>491</v>
      </c>
      <c r="C142" s="37" t="s">
        <v>334</v>
      </c>
      <c r="D142" s="37" t="s">
        <v>71</v>
      </c>
    </row>
    <row r="143" spans="1:4" x14ac:dyDescent="0.25">
      <c r="A143" s="37" t="s">
        <v>699</v>
      </c>
      <c r="B143" s="37" t="s">
        <v>211</v>
      </c>
      <c r="C143" s="37" t="s">
        <v>384</v>
      </c>
      <c r="D143" s="37" t="s">
        <v>71</v>
      </c>
    </row>
    <row r="144" spans="1:4" x14ac:dyDescent="0.25">
      <c r="A144" s="37" t="s">
        <v>700</v>
      </c>
      <c r="B144" s="37" t="s">
        <v>211</v>
      </c>
      <c r="C144" s="37" t="s">
        <v>384</v>
      </c>
      <c r="D144" s="37" t="s">
        <v>71</v>
      </c>
    </row>
    <row r="145" spans="1:4" x14ac:dyDescent="0.25">
      <c r="A145" s="37" t="s">
        <v>701</v>
      </c>
      <c r="B145" s="37" t="s">
        <v>702</v>
      </c>
      <c r="C145" s="37" t="s">
        <v>703</v>
      </c>
      <c r="D145" s="37" t="s">
        <v>71</v>
      </c>
    </row>
    <row r="146" spans="1:4" x14ac:dyDescent="0.25">
      <c r="A146" s="37" t="s">
        <v>704</v>
      </c>
      <c r="B146" s="37" t="s">
        <v>705</v>
      </c>
      <c r="C146" s="37" t="s">
        <v>706</v>
      </c>
      <c r="D146" s="37" t="s">
        <v>71</v>
      </c>
    </row>
    <row r="147" spans="1:4" x14ac:dyDescent="0.25">
      <c r="A147" s="37" t="s">
        <v>707</v>
      </c>
      <c r="B147" s="37" t="s">
        <v>708</v>
      </c>
      <c r="C147" s="37" t="s">
        <v>709</v>
      </c>
      <c r="D147" s="37" t="s">
        <v>71</v>
      </c>
    </row>
    <row r="148" spans="1:4" x14ac:dyDescent="0.25">
      <c r="A148" s="37" t="s">
        <v>710</v>
      </c>
      <c r="B148" s="37" t="s">
        <v>711</v>
      </c>
      <c r="C148" s="37" t="s">
        <v>712</v>
      </c>
      <c r="D148" s="37" t="s">
        <v>71</v>
      </c>
    </row>
    <row r="149" spans="1:4" x14ac:dyDescent="0.25">
      <c r="A149" s="37" t="s">
        <v>713</v>
      </c>
      <c r="B149" s="37" t="s">
        <v>351</v>
      </c>
      <c r="C149" s="37" t="s">
        <v>574</v>
      </c>
      <c r="D149" s="37" t="s">
        <v>71</v>
      </c>
    </row>
    <row r="150" spans="1:4" x14ac:dyDescent="0.25">
      <c r="A150" s="37" t="s">
        <v>714</v>
      </c>
      <c r="B150" s="37" t="s">
        <v>3150</v>
      </c>
      <c r="C150" s="37" t="s">
        <v>715</v>
      </c>
      <c r="D150" s="37" t="s">
        <v>71</v>
      </c>
    </row>
    <row r="151" spans="1:4" x14ac:dyDescent="0.25">
      <c r="A151" s="37" t="s">
        <v>716</v>
      </c>
      <c r="B151" s="37" t="s">
        <v>717</v>
      </c>
      <c r="C151" s="37" t="s">
        <v>718</v>
      </c>
      <c r="D151" s="37" t="s">
        <v>71</v>
      </c>
    </row>
    <row r="152" spans="1:4" x14ac:dyDescent="0.25">
      <c r="A152" s="37" t="s">
        <v>719</v>
      </c>
      <c r="B152" s="37" t="s">
        <v>720</v>
      </c>
      <c r="C152" s="37" t="s">
        <v>721</v>
      </c>
      <c r="D152" s="37" t="s">
        <v>71</v>
      </c>
    </row>
    <row r="153" spans="1:4" x14ac:dyDescent="0.25">
      <c r="A153" s="37" t="s">
        <v>722</v>
      </c>
      <c r="B153" s="37" t="s">
        <v>723</v>
      </c>
      <c r="C153" s="37" t="s">
        <v>724</v>
      </c>
      <c r="D153" s="37" t="s">
        <v>71</v>
      </c>
    </row>
    <row r="154" spans="1:4" x14ac:dyDescent="0.25">
      <c r="A154" s="37" t="s">
        <v>725</v>
      </c>
      <c r="B154" s="37" t="s">
        <v>726</v>
      </c>
      <c r="C154" s="37" t="s">
        <v>727</v>
      </c>
      <c r="D154" s="37" t="s">
        <v>71</v>
      </c>
    </row>
    <row r="155" spans="1:4" x14ac:dyDescent="0.25">
      <c r="A155" s="37" t="s">
        <v>728</v>
      </c>
      <c r="B155" s="37" t="s">
        <v>729</v>
      </c>
      <c r="C155" s="37" t="s">
        <v>730</v>
      </c>
      <c r="D155" s="37" t="s">
        <v>71</v>
      </c>
    </row>
    <row r="156" spans="1:4" x14ac:dyDescent="0.25">
      <c r="A156" s="37" t="s">
        <v>731</v>
      </c>
      <c r="B156" s="37" t="s">
        <v>732</v>
      </c>
      <c r="C156" s="37" t="s">
        <v>733</v>
      </c>
      <c r="D156" s="37" t="s">
        <v>71</v>
      </c>
    </row>
    <row r="157" spans="1:4" x14ac:dyDescent="0.25">
      <c r="A157" s="37" t="s">
        <v>734</v>
      </c>
      <c r="B157" s="37" t="s">
        <v>735</v>
      </c>
      <c r="C157" s="37" t="s">
        <v>736</v>
      </c>
      <c r="D157" s="37" t="s">
        <v>71</v>
      </c>
    </row>
    <row r="158" spans="1:4" x14ac:dyDescent="0.25">
      <c r="A158" s="37" t="s">
        <v>737</v>
      </c>
      <c r="B158" s="37" t="s">
        <v>482</v>
      </c>
      <c r="C158" s="37" t="s">
        <v>738</v>
      </c>
      <c r="D158" s="37" t="s">
        <v>71</v>
      </c>
    </row>
    <row r="159" spans="1:4" x14ac:dyDescent="0.25">
      <c r="A159" s="37" t="s">
        <v>739</v>
      </c>
      <c r="B159" s="37" t="s">
        <v>740</v>
      </c>
      <c r="C159" s="37" t="s">
        <v>219</v>
      </c>
      <c r="D159" s="37" t="s">
        <v>71</v>
      </c>
    </row>
    <row r="160" spans="1:4" x14ac:dyDescent="0.25">
      <c r="A160" s="37" t="s">
        <v>741</v>
      </c>
      <c r="B160" s="37" t="s">
        <v>670</v>
      </c>
      <c r="C160" s="37" t="s">
        <v>671</v>
      </c>
      <c r="D160" s="37" t="s">
        <v>71</v>
      </c>
    </row>
    <row r="161" spans="1:4" x14ac:dyDescent="0.25">
      <c r="A161" s="37" t="s">
        <v>742</v>
      </c>
      <c r="B161" s="37" t="s">
        <v>743</v>
      </c>
      <c r="C161" s="37" t="s">
        <v>744</v>
      </c>
      <c r="D161" s="37" t="s">
        <v>71</v>
      </c>
    </row>
    <row r="162" spans="1:4" x14ac:dyDescent="0.25">
      <c r="A162" s="37" t="s">
        <v>745</v>
      </c>
      <c r="B162" s="37" t="s">
        <v>746</v>
      </c>
      <c r="C162" s="37" t="s">
        <v>747</v>
      </c>
      <c r="D162" s="37" t="s">
        <v>71</v>
      </c>
    </row>
    <row r="163" spans="1:4" x14ac:dyDescent="0.25">
      <c r="A163" s="37" t="s">
        <v>748</v>
      </c>
      <c r="B163" s="37" t="s">
        <v>749</v>
      </c>
      <c r="C163" s="37" t="s">
        <v>357</v>
      </c>
      <c r="D163" s="37" t="s">
        <v>71</v>
      </c>
    </row>
    <row r="164" spans="1:4" x14ac:dyDescent="0.25">
      <c r="A164" s="37" t="s">
        <v>750</v>
      </c>
      <c r="B164" s="37" t="s">
        <v>751</v>
      </c>
      <c r="C164" s="37" t="s">
        <v>143</v>
      </c>
      <c r="D164" s="37" t="s">
        <v>71</v>
      </c>
    </row>
    <row r="165" spans="1:4" x14ac:dyDescent="0.25">
      <c r="A165" s="37" t="s">
        <v>752</v>
      </c>
      <c r="B165" s="37" t="s">
        <v>753</v>
      </c>
      <c r="C165" s="37" t="s">
        <v>254</v>
      </c>
      <c r="D165" s="37" t="s">
        <v>71</v>
      </c>
    </row>
    <row r="166" spans="1:4" x14ac:dyDescent="0.25">
      <c r="A166" s="37" t="s">
        <v>754</v>
      </c>
      <c r="B166" s="37" t="s">
        <v>755</v>
      </c>
      <c r="C166" s="37" t="s">
        <v>130</v>
      </c>
      <c r="D166" s="37" t="s">
        <v>71</v>
      </c>
    </row>
    <row r="167" spans="1:4" x14ac:dyDescent="0.25">
      <c r="A167" s="37" t="s">
        <v>756</v>
      </c>
      <c r="B167" s="37" t="s">
        <v>757</v>
      </c>
      <c r="C167" s="37" t="s">
        <v>758</v>
      </c>
      <c r="D167" s="37" t="s">
        <v>71</v>
      </c>
    </row>
    <row r="168" spans="1:4" x14ac:dyDescent="0.25">
      <c r="A168" s="37" t="s">
        <v>759</v>
      </c>
      <c r="B168" s="37" t="s">
        <v>760</v>
      </c>
      <c r="C168" s="37" t="s">
        <v>597</v>
      </c>
      <c r="D168" s="37" t="s">
        <v>71</v>
      </c>
    </row>
    <row r="169" spans="1:4" x14ac:dyDescent="0.25">
      <c r="A169" s="37" t="s">
        <v>761</v>
      </c>
      <c r="B169" s="37" t="s">
        <v>762</v>
      </c>
      <c r="C169" s="37" t="s">
        <v>219</v>
      </c>
      <c r="D169" s="37" t="s">
        <v>71</v>
      </c>
    </row>
    <row r="170" spans="1:4" x14ac:dyDescent="0.25">
      <c r="A170" s="37" t="s">
        <v>763</v>
      </c>
      <c r="B170" s="37" t="s">
        <v>764</v>
      </c>
      <c r="C170" s="37" t="s">
        <v>765</v>
      </c>
      <c r="D170" s="37" t="s">
        <v>71</v>
      </c>
    </row>
    <row r="171" spans="1:4" x14ac:dyDescent="0.25">
      <c r="A171" s="37" t="s">
        <v>766</v>
      </c>
      <c r="B171" s="37" t="s">
        <v>767</v>
      </c>
      <c r="C171" s="37" t="s">
        <v>768</v>
      </c>
      <c r="D171" s="37" t="s">
        <v>71</v>
      </c>
    </row>
    <row r="172" spans="1:4" x14ac:dyDescent="0.25">
      <c r="A172" s="37" t="s">
        <v>769</v>
      </c>
      <c r="B172" s="37" t="s">
        <v>398</v>
      </c>
      <c r="C172" s="37" t="s">
        <v>770</v>
      </c>
      <c r="D172" s="37" t="s">
        <v>71</v>
      </c>
    </row>
    <row r="173" spans="1:4" x14ac:dyDescent="0.25">
      <c r="A173" s="37" t="s">
        <v>771</v>
      </c>
      <c r="B173" s="37" t="s">
        <v>149</v>
      </c>
      <c r="C173" s="37" t="s">
        <v>632</v>
      </c>
      <c r="D173" s="37" t="s">
        <v>71</v>
      </c>
    </row>
    <row r="174" spans="1:4" x14ac:dyDescent="0.25">
      <c r="A174" s="37" t="s">
        <v>772</v>
      </c>
      <c r="B174" s="37" t="s">
        <v>773</v>
      </c>
      <c r="C174" s="37" t="s">
        <v>774</v>
      </c>
      <c r="D174" s="37" t="s">
        <v>71</v>
      </c>
    </row>
    <row r="175" spans="1:4" x14ac:dyDescent="0.25">
      <c r="A175" s="37" t="s">
        <v>302</v>
      </c>
      <c r="B175" s="37" t="s">
        <v>301</v>
      </c>
      <c r="C175" s="37" t="s">
        <v>149</v>
      </c>
      <c r="D175" s="37" t="s">
        <v>71</v>
      </c>
    </row>
    <row r="176" spans="1:4" x14ac:dyDescent="0.25">
      <c r="A176" s="37" t="s">
        <v>775</v>
      </c>
      <c r="B176" s="37" t="s">
        <v>504</v>
      </c>
      <c r="C176" s="37" t="s">
        <v>157</v>
      </c>
      <c r="D176" s="37" t="s">
        <v>71</v>
      </c>
    </row>
    <row r="177" spans="1:4" x14ac:dyDescent="0.25">
      <c r="A177" s="37" t="s">
        <v>776</v>
      </c>
      <c r="B177" s="37" t="s">
        <v>777</v>
      </c>
      <c r="C177" s="37" t="s">
        <v>778</v>
      </c>
      <c r="D177" s="37" t="s">
        <v>71</v>
      </c>
    </row>
    <row r="178" spans="1:4" x14ac:dyDescent="0.25">
      <c r="A178" s="37" t="s">
        <v>779</v>
      </c>
      <c r="B178" s="37" t="s">
        <v>711</v>
      </c>
      <c r="C178" s="37" t="s">
        <v>780</v>
      </c>
      <c r="D178" s="37" t="s">
        <v>71</v>
      </c>
    </row>
    <row r="179" spans="1:4" x14ac:dyDescent="0.25">
      <c r="A179" s="37" t="s">
        <v>781</v>
      </c>
      <c r="B179" s="37" t="s">
        <v>782</v>
      </c>
      <c r="C179" s="37" t="s">
        <v>783</v>
      </c>
      <c r="D179" s="37" t="s">
        <v>71</v>
      </c>
    </row>
    <row r="180" spans="1:4" x14ac:dyDescent="0.25">
      <c r="A180" s="37" t="s">
        <v>784</v>
      </c>
      <c r="B180" s="37" t="s">
        <v>785</v>
      </c>
      <c r="C180" s="37" t="s">
        <v>597</v>
      </c>
      <c r="D180" s="37" t="s">
        <v>71</v>
      </c>
    </row>
    <row r="181" spans="1:4" x14ac:dyDescent="0.25">
      <c r="A181" s="37" t="s">
        <v>786</v>
      </c>
      <c r="B181" s="37" t="s">
        <v>787</v>
      </c>
      <c r="C181" s="37" t="s">
        <v>788</v>
      </c>
      <c r="D181" s="37" t="s">
        <v>71</v>
      </c>
    </row>
    <row r="182" spans="1:4" x14ac:dyDescent="0.25">
      <c r="A182" s="37" t="s">
        <v>789</v>
      </c>
      <c r="B182" s="37" t="s">
        <v>790</v>
      </c>
      <c r="C182" s="37" t="s">
        <v>552</v>
      </c>
      <c r="D182" s="37" t="s">
        <v>71</v>
      </c>
    </row>
    <row r="183" spans="1:4" x14ac:dyDescent="0.25">
      <c r="A183" s="37" t="s">
        <v>791</v>
      </c>
      <c r="B183" s="37" t="s">
        <v>792</v>
      </c>
      <c r="C183" s="37" t="s">
        <v>793</v>
      </c>
      <c r="D183" s="37" t="s">
        <v>71</v>
      </c>
    </row>
    <row r="184" spans="1:4" x14ac:dyDescent="0.25">
      <c r="A184" s="37" t="s">
        <v>794</v>
      </c>
      <c r="B184" s="37" t="s">
        <v>795</v>
      </c>
      <c r="C184" s="37" t="s">
        <v>796</v>
      </c>
      <c r="D184" s="37" t="s">
        <v>71</v>
      </c>
    </row>
    <row r="185" spans="1:4" x14ac:dyDescent="0.25">
      <c r="A185" s="37" t="s">
        <v>797</v>
      </c>
      <c r="B185" s="37" t="s">
        <v>798</v>
      </c>
      <c r="C185" s="37" t="s">
        <v>799</v>
      </c>
      <c r="D185" s="37" t="s">
        <v>71</v>
      </c>
    </row>
    <row r="186" spans="1:4" x14ac:dyDescent="0.25">
      <c r="A186" s="37" t="s">
        <v>800</v>
      </c>
      <c r="B186" s="37" t="s">
        <v>801</v>
      </c>
      <c r="C186" s="37" t="s">
        <v>802</v>
      </c>
      <c r="D186" s="37" t="s">
        <v>71</v>
      </c>
    </row>
    <row r="187" spans="1:4" x14ac:dyDescent="0.25">
      <c r="A187" s="37" t="s">
        <v>803</v>
      </c>
      <c r="B187" s="37" t="s">
        <v>366</v>
      </c>
      <c r="C187" s="37" t="s">
        <v>804</v>
      </c>
      <c r="D187" s="37" t="s">
        <v>71</v>
      </c>
    </row>
    <row r="188" spans="1:4" x14ac:dyDescent="0.25">
      <c r="A188" s="37" t="s">
        <v>805</v>
      </c>
      <c r="B188" s="37" t="s">
        <v>806</v>
      </c>
      <c r="C188" s="37" t="s">
        <v>807</v>
      </c>
      <c r="D188" s="37" t="s">
        <v>71</v>
      </c>
    </row>
    <row r="189" spans="1:4" x14ac:dyDescent="0.25">
      <c r="A189" s="37" t="s">
        <v>808</v>
      </c>
      <c r="B189" s="37" t="s">
        <v>809</v>
      </c>
      <c r="C189" s="37" t="s">
        <v>604</v>
      </c>
      <c r="D189" s="37" t="s">
        <v>71</v>
      </c>
    </row>
    <row r="190" spans="1:4" x14ac:dyDescent="0.25">
      <c r="A190" s="37" t="s">
        <v>810</v>
      </c>
      <c r="B190" s="37" t="s">
        <v>811</v>
      </c>
      <c r="C190" s="37" t="s">
        <v>812</v>
      </c>
      <c r="D190" s="37" t="s">
        <v>71</v>
      </c>
    </row>
    <row r="191" spans="1:4" x14ac:dyDescent="0.25">
      <c r="A191" s="37" t="s">
        <v>813</v>
      </c>
      <c r="B191" s="37" t="s">
        <v>814</v>
      </c>
      <c r="C191" s="37" t="s">
        <v>736</v>
      </c>
      <c r="D191" s="37" t="s">
        <v>71</v>
      </c>
    </row>
    <row r="192" spans="1:4" x14ac:dyDescent="0.25">
      <c r="A192" s="37" t="s">
        <v>815</v>
      </c>
      <c r="B192" s="37" t="s">
        <v>816</v>
      </c>
      <c r="C192" s="37" t="s">
        <v>817</v>
      </c>
      <c r="D192" s="37" t="s">
        <v>71</v>
      </c>
    </row>
    <row r="193" spans="1:4" x14ac:dyDescent="0.25">
      <c r="A193" s="37" t="s">
        <v>818</v>
      </c>
      <c r="B193" s="37" t="s">
        <v>491</v>
      </c>
      <c r="C193" s="37" t="s">
        <v>819</v>
      </c>
      <c r="D193" s="37" t="s">
        <v>71</v>
      </c>
    </row>
    <row r="194" spans="1:4" x14ac:dyDescent="0.25">
      <c r="A194" s="37" t="s">
        <v>820</v>
      </c>
      <c r="B194" s="37" t="s">
        <v>542</v>
      </c>
      <c r="C194" s="37" t="s">
        <v>821</v>
      </c>
      <c r="D194" s="37" t="s">
        <v>71</v>
      </c>
    </row>
    <row r="195" spans="1:4" x14ac:dyDescent="0.25">
      <c r="A195" s="37" t="s">
        <v>822</v>
      </c>
      <c r="B195" s="37" t="s">
        <v>823</v>
      </c>
      <c r="C195" s="37" t="s">
        <v>824</v>
      </c>
      <c r="D195" s="37" t="s">
        <v>71</v>
      </c>
    </row>
    <row r="196" spans="1:4" x14ac:dyDescent="0.25">
      <c r="A196" s="37" t="s">
        <v>825</v>
      </c>
      <c r="B196" s="37" t="s">
        <v>826</v>
      </c>
      <c r="C196" s="37" t="s">
        <v>827</v>
      </c>
      <c r="D196" s="37" t="s">
        <v>71</v>
      </c>
    </row>
    <row r="197" spans="1:4" x14ac:dyDescent="0.25">
      <c r="A197" s="37" t="s">
        <v>828</v>
      </c>
      <c r="B197" s="37" t="s">
        <v>829</v>
      </c>
      <c r="C197" s="37" t="s">
        <v>242</v>
      </c>
      <c r="D197" s="37" t="s">
        <v>71</v>
      </c>
    </row>
    <row r="198" spans="1:4" x14ac:dyDescent="0.25">
      <c r="A198" s="37" t="s">
        <v>830</v>
      </c>
      <c r="B198" s="37" t="s">
        <v>831</v>
      </c>
      <c r="C198" s="37" t="s">
        <v>832</v>
      </c>
      <c r="D198" s="37" t="s">
        <v>71</v>
      </c>
    </row>
    <row r="199" spans="1:4" x14ac:dyDescent="0.25">
      <c r="A199" s="37" t="s">
        <v>833</v>
      </c>
      <c r="B199" s="37" t="s">
        <v>834</v>
      </c>
      <c r="C199" s="37" t="s">
        <v>835</v>
      </c>
      <c r="D199" s="37" t="s">
        <v>71</v>
      </c>
    </row>
    <row r="200" spans="1:4" x14ac:dyDescent="0.25">
      <c r="A200" s="37" t="s">
        <v>836</v>
      </c>
      <c r="B200" s="37" t="s">
        <v>837</v>
      </c>
      <c r="C200" s="37" t="s">
        <v>329</v>
      </c>
      <c r="D200" s="37" t="s">
        <v>71</v>
      </c>
    </row>
    <row r="201" spans="1:4" x14ac:dyDescent="0.25">
      <c r="A201" s="37" t="s">
        <v>838</v>
      </c>
      <c r="B201" s="37" t="s">
        <v>839</v>
      </c>
      <c r="C201" s="37" t="s">
        <v>709</v>
      </c>
      <c r="D201" s="37" t="s">
        <v>71</v>
      </c>
    </row>
    <row r="202" spans="1:4" x14ac:dyDescent="0.25">
      <c r="A202" s="37" t="s">
        <v>840</v>
      </c>
      <c r="B202" s="37" t="s">
        <v>841</v>
      </c>
      <c r="C202" s="37" t="s">
        <v>842</v>
      </c>
      <c r="D202" s="37" t="s">
        <v>71</v>
      </c>
    </row>
    <row r="203" spans="1:4" x14ac:dyDescent="0.25">
      <c r="A203" s="37" t="s">
        <v>843</v>
      </c>
      <c r="B203" s="37" t="s">
        <v>844</v>
      </c>
      <c r="C203" s="37" t="s">
        <v>481</v>
      </c>
      <c r="D203" s="37" t="s">
        <v>71</v>
      </c>
    </row>
    <row r="204" spans="1:4" x14ac:dyDescent="0.25">
      <c r="A204" s="37" t="s">
        <v>845</v>
      </c>
      <c r="B204" s="37" t="s">
        <v>846</v>
      </c>
      <c r="C204" s="37" t="s">
        <v>477</v>
      </c>
      <c r="D204" s="37" t="s">
        <v>71</v>
      </c>
    </row>
    <row r="205" spans="1:4" x14ac:dyDescent="0.25">
      <c r="A205" s="37" t="s">
        <v>847</v>
      </c>
      <c r="B205" s="37" t="s">
        <v>608</v>
      </c>
      <c r="C205" s="37" t="s">
        <v>361</v>
      </c>
      <c r="D205" s="37" t="s">
        <v>71</v>
      </c>
    </row>
    <row r="206" spans="1:4" x14ac:dyDescent="0.25">
      <c r="A206" s="37" t="s">
        <v>848</v>
      </c>
      <c r="B206" s="37" t="s">
        <v>849</v>
      </c>
      <c r="C206" s="37" t="s">
        <v>329</v>
      </c>
      <c r="D206" s="37" t="s">
        <v>71</v>
      </c>
    </row>
    <row r="207" spans="1:4" x14ac:dyDescent="0.25">
      <c r="A207" s="37" t="s">
        <v>850</v>
      </c>
      <c r="B207" s="37" t="s">
        <v>711</v>
      </c>
      <c r="C207" s="37" t="s">
        <v>851</v>
      </c>
      <c r="D207" s="37" t="s">
        <v>71</v>
      </c>
    </row>
    <row r="208" spans="1:4" x14ac:dyDescent="0.25">
      <c r="A208" s="37" t="s">
        <v>852</v>
      </c>
      <c r="B208" s="37" t="s">
        <v>853</v>
      </c>
      <c r="C208" s="37" t="s">
        <v>854</v>
      </c>
      <c r="D208" s="37" t="s">
        <v>71</v>
      </c>
    </row>
    <row r="209" spans="1:4" x14ac:dyDescent="0.25">
      <c r="A209" s="37" t="s">
        <v>855</v>
      </c>
      <c r="B209" s="37" t="s">
        <v>856</v>
      </c>
      <c r="C209" s="37" t="s">
        <v>857</v>
      </c>
      <c r="D209" s="37" t="s">
        <v>71</v>
      </c>
    </row>
    <row r="210" spans="1:4" x14ac:dyDescent="0.25">
      <c r="A210" s="37" t="s">
        <v>858</v>
      </c>
      <c r="B210" s="37" t="s">
        <v>859</v>
      </c>
      <c r="C210" s="37" t="s">
        <v>860</v>
      </c>
      <c r="D210" s="37" t="s">
        <v>71</v>
      </c>
    </row>
    <row r="211" spans="1:4" x14ac:dyDescent="0.25">
      <c r="A211" s="37" t="s">
        <v>861</v>
      </c>
      <c r="B211" s="37" t="s">
        <v>859</v>
      </c>
      <c r="C211" s="37" t="s">
        <v>860</v>
      </c>
      <c r="D211" s="37" t="s">
        <v>71</v>
      </c>
    </row>
    <row r="212" spans="1:4" x14ac:dyDescent="0.25">
      <c r="A212" s="37" t="s">
        <v>862</v>
      </c>
      <c r="B212" s="37" t="s">
        <v>859</v>
      </c>
      <c r="C212" s="37" t="s">
        <v>860</v>
      </c>
      <c r="D212" s="37" t="s">
        <v>71</v>
      </c>
    </row>
    <row r="213" spans="1:4" x14ac:dyDescent="0.25">
      <c r="A213" s="37" t="s">
        <v>863</v>
      </c>
      <c r="B213" s="37" t="s">
        <v>864</v>
      </c>
      <c r="C213" s="37" t="s">
        <v>409</v>
      </c>
      <c r="D213" s="37" t="s">
        <v>71</v>
      </c>
    </row>
    <row r="214" spans="1:4" x14ac:dyDescent="0.25">
      <c r="A214" s="37" t="s">
        <v>865</v>
      </c>
      <c r="B214" s="37" t="s">
        <v>866</v>
      </c>
      <c r="C214" s="37" t="s">
        <v>583</v>
      </c>
      <c r="D214" s="37" t="s">
        <v>71</v>
      </c>
    </row>
    <row r="215" spans="1:4" x14ac:dyDescent="0.25">
      <c r="A215" s="37" t="s">
        <v>867</v>
      </c>
      <c r="B215" s="37" t="s">
        <v>790</v>
      </c>
      <c r="C215" s="37" t="s">
        <v>531</v>
      </c>
      <c r="D215" s="37" t="s">
        <v>71</v>
      </c>
    </row>
    <row r="216" spans="1:4" x14ac:dyDescent="0.25">
      <c r="A216" s="37" t="s">
        <v>868</v>
      </c>
      <c r="B216" s="37" t="s">
        <v>562</v>
      </c>
      <c r="C216" s="37" t="s">
        <v>563</v>
      </c>
      <c r="D216" s="37" t="s">
        <v>71</v>
      </c>
    </row>
    <row r="217" spans="1:4" x14ac:dyDescent="0.25">
      <c r="A217" s="37" t="s">
        <v>869</v>
      </c>
      <c r="B217" s="37" t="s">
        <v>870</v>
      </c>
      <c r="C217" s="37" t="s">
        <v>871</v>
      </c>
      <c r="D217" s="37" t="s">
        <v>71</v>
      </c>
    </row>
    <row r="218" spans="1:4" x14ac:dyDescent="0.25">
      <c r="A218" s="37" t="s">
        <v>380</v>
      </c>
      <c r="B218" s="37" t="s">
        <v>378</v>
      </c>
      <c r="C218" s="37" t="s">
        <v>379</v>
      </c>
      <c r="D218" s="37" t="s">
        <v>71</v>
      </c>
    </row>
    <row r="219" spans="1:4" x14ac:dyDescent="0.25">
      <c r="A219" s="37" t="s">
        <v>872</v>
      </c>
      <c r="B219" s="37" t="s">
        <v>423</v>
      </c>
      <c r="C219" s="37" t="s">
        <v>574</v>
      </c>
      <c r="D219" s="37" t="s">
        <v>71</v>
      </c>
    </row>
    <row r="220" spans="1:4" x14ac:dyDescent="0.25">
      <c r="A220" s="37" t="s">
        <v>873</v>
      </c>
      <c r="B220" s="37" t="s">
        <v>423</v>
      </c>
      <c r="C220" s="37" t="s">
        <v>574</v>
      </c>
      <c r="D220" s="37" t="s">
        <v>71</v>
      </c>
    </row>
    <row r="221" spans="1:4" x14ac:dyDescent="0.25">
      <c r="A221" s="37" t="s">
        <v>874</v>
      </c>
      <c r="B221" s="37" t="s">
        <v>875</v>
      </c>
      <c r="C221" s="37" t="s">
        <v>876</v>
      </c>
      <c r="D221" s="37" t="s">
        <v>71</v>
      </c>
    </row>
    <row r="222" spans="1:4" x14ac:dyDescent="0.25">
      <c r="A222" s="37" t="s">
        <v>877</v>
      </c>
      <c r="B222" s="37" t="s">
        <v>878</v>
      </c>
      <c r="C222" s="37" t="s">
        <v>780</v>
      </c>
      <c r="D222" s="37" t="s">
        <v>71</v>
      </c>
    </row>
    <row r="223" spans="1:4" x14ac:dyDescent="0.25">
      <c r="A223" s="37" t="s">
        <v>879</v>
      </c>
      <c r="B223" s="37" t="s">
        <v>880</v>
      </c>
      <c r="C223" s="37" t="s">
        <v>881</v>
      </c>
      <c r="D223" s="37" t="s">
        <v>71</v>
      </c>
    </row>
    <row r="224" spans="1:4" x14ac:dyDescent="0.25">
      <c r="A224" s="37" t="s">
        <v>882</v>
      </c>
      <c r="B224" s="37" t="s">
        <v>883</v>
      </c>
      <c r="C224" s="37" t="s">
        <v>884</v>
      </c>
      <c r="D224" s="37" t="s">
        <v>71</v>
      </c>
    </row>
    <row r="225" spans="1:4" x14ac:dyDescent="0.25">
      <c r="A225" s="37" t="s">
        <v>885</v>
      </c>
      <c r="B225" s="37" t="s">
        <v>886</v>
      </c>
      <c r="C225" s="37" t="s">
        <v>887</v>
      </c>
      <c r="D225" s="37" t="s">
        <v>71</v>
      </c>
    </row>
    <row r="226" spans="1:4" x14ac:dyDescent="0.25">
      <c r="A226" s="37" t="s">
        <v>888</v>
      </c>
      <c r="B226" s="37" t="s">
        <v>889</v>
      </c>
      <c r="C226" s="37" t="s">
        <v>890</v>
      </c>
      <c r="D226" s="37" t="s">
        <v>71</v>
      </c>
    </row>
    <row r="227" spans="1:4" x14ac:dyDescent="0.25">
      <c r="A227" s="37" t="s">
        <v>891</v>
      </c>
      <c r="B227" s="37" t="s">
        <v>892</v>
      </c>
      <c r="C227" s="37" t="s">
        <v>384</v>
      </c>
      <c r="D227" s="37" t="s">
        <v>71</v>
      </c>
    </row>
    <row r="228" spans="1:4" x14ac:dyDescent="0.25">
      <c r="A228" s="37" t="s">
        <v>893</v>
      </c>
      <c r="B228" s="37" t="s">
        <v>894</v>
      </c>
      <c r="C228" s="37" t="s">
        <v>895</v>
      </c>
      <c r="D228" s="37" t="s">
        <v>71</v>
      </c>
    </row>
    <row r="229" spans="1:4" x14ac:dyDescent="0.25">
      <c r="A229" s="37" t="s">
        <v>198</v>
      </c>
      <c r="B229" s="37" t="s">
        <v>196</v>
      </c>
      <c r="C229" s="37" t="s">
        <v>197</v>
      </c>
      <c r="D229" s="37" t="s">
        <v>71</v>
      </c>
    </row>
    <row r="230" spans="1:4" x14ac:dyDescent="0.25">
      <c r="A230" s="37" t="s">
        <v>896</v>
      </c>
      <c r="B230" s="37" t="s">
        <v>897</v>
      </c>
      <c r="C230" s="37" t="s">
        <v>898</v>
      </c>
      <c r="D230" s="37" t="s">
        <v>71</v>
      </c>
    </row>
    <row r="231" spans="1:4" x14ac:dyDescent="0.25">
      <c r="A231" s="37" t="s">
        <v>899</v>
      </c>
      <c r="B231" s="37" t="s">
        <v>900</v>
      </c>
      <c r="C231" s="37" t="s">
        <v>901</v>
      </c>
      <c r="D231" s="37" t="s">
        <v>71</v>
      </c>
    </row>
    <row r="232" spans="1:4" x14ac:dyDescent="0.25">
      <c r="A232" s="37" t="s">
        <v>902</v>
      </c>
      <c r="B232" s="37" t="s">
        <v>455</v>
      </c>
      <c r="C232" s="37" t="s">
        <v>496</v>
      </c>
      <c r="D232" s="37" t="s">
        <v>71</v>
      </c>
    </row>
    <row r="233" spans="1:4" x14ac:dyDescent="0.25">
      <c r="A233" s="37" t="s">
        <v>903</v>
      </c>
      <c r="B233" s="37" t="s">
        <v>904</v>
      </c>
      <c r="C233" s="37" t="s">
        <v>905</v>
      </c>
      <c r="D233" s="37" t="s">
        <v>71</v>
      </c>
    </row>
    <row r="234" spans="1:4" x14ac:dyDescent="0.25">
      <c r="A234" s="37" t="s">
        <v>906</v>
      </c>
      <c r="B234" s="37" t="s">
        <v>907</v>
      </c>
      <c r="C234" s="37" t="s">
        <v>266</v>
      </c>
      <c r="D234" s="37" t="s">
        <v>71</v>
      </c>
    </row>
    <row r="235" spans="1:4" x14ac:dyDescent="0.25">
      <c r="A235" s="37" t="s">
        <v>908</v>
      </c>
      <c r="B235" s="37" t="s">
        <v>909</v>
      </c>
      <c r="C235" s="37" t="s">
        <v>910</v>
      </c>
      <c r="D235" s="37" t="s">
        <v>71</v>
      </c>
    </row>
    <row r="236" spans="1:4" x14ac:dyDescent="0.25">
      <c r="A236" s="37" t="s">
        <v>911</v>
      </c>
      <c r="B236" s="37" t="s">
        <v>912</v>
      </c>
      <c r="C236" s="37" t="s">
        <v>913</v>
      </c>
      <c r="D236" s="37" t="s">
        <v>71</v>
      </c>
    </row>
    <row r="237" spans="1:4" x14ac:dyDescent="0.25">
      <c r="A237" s="37" t="s">
        <v>914</v>
      </c>
      <c r="B237" s="37" t="s">
        <v>915</v>
      </c>
      <c r="C237" s="37" t="s">
        <v>916</v>
      </c>
      <c r="D237" s="37" t="s">
        <v>71</v>
      </c>
    </row>
    <row r="238" spans="1:4" x14ac:dyDescent="0.25">
      <c r="A238" s="37" t="s">
        <v>917</v>
      </c>
      <c r="B238" s="37" t="s">
        <v>187</v>
      </c>
      <c r="C238" s="37" t="s">
        <v>918</v>
      </c>
      <c r="D238" s="37" t="s">
        <v>71</v>
      </c>
    </row>
    <row r="239" spans="1:4" x14ac:dyDescent="0.25">
      <c r="A239" s="37" t="s">
        <v>919</v>
      </c>
      <c r="B239" s="37" t="s">
        <v>498</v>
      </c>
      <c r="C239" s="37" t="s">
        <v>133</v>
      </c>
      <c r="D239" s="37" t="s">
        <v>71</v>
      </c>
    </row>
    <row r="240" spans="1:4" x14ac:dyDescent="0.25">
      <c r="A240" s="37" t="s">
        <v>920</v>
      </c>
      <c r="B240" s="37" t="s">
        <v>498</v>
      </c>
      <c r="C240" s="37" t="s">
        <v>133</v>
      </c>
      <c r="D240" s="37" t="s">
        <v>71</v>
      </c>
    </row>
    <row r="241" spans="1:4" x14ac:dyDescent="0.25">
      <c r="A241" s="37" t="s">
        <v>921</v>
      </c>
      <c r="B241" s="37" t="s">
        <v>259</v>
      </c>
      <c r="C241" s="37" t="s">
        <v>922</v>
      </c>
      <c r="D241" s="37" t="s">
        <v>71</v>
      </c>
    </row>
    <row r="242" spans="1:4" x14ac:dyDescent="0.25">
      <c r="A242" s="37" t="s">
        <v>923</v>
      </c>
      <c r="B242" s="37" t="s">
        <v>924</v>
      </c>
      <c r="C242" s="37" t="s">
        <v>579</v>
      </c>
      <c r="D242" s="37" t="s">
        <v>71</v>
      </c>
    </row>
    <row r="243" spans="1:4" x14ac:dyDescent="0.25">
      <c r="A243" s="37" t="s">
        <v>925</v>
      </c>
      <c r="B243" s="37" t="s">
        <v>926</v>
      </c>
      <c r="C243" s="37" t="s">
        <v>200</v>
      </c>
      <c r="D243" s="37" t="s">
        <v>71</v>
      </c>
    </row>
    <row r="244" spans="1:4" x14ac:dyDescent="0.25">
      <c r="A244" s="37" t="s">
        <v>927</v>
      </c>
      <c r="B244" s="37" t="s">
        <v>608</v>
      </c>
      <c r="C244" s="37" t="s">
        <v>361</v>
      </c>
      <c r="D244" s="37" t="s">
        <v>71</v>
      </c>
    </row>
    <row r="245" spans="1:4" x14ac:dyDescent="0.25">
      <c r="A245" s="37" t="s">
        <v>928</v>
      </c>
      <c r="B245" s="37" t="s">
        <v>929</v>
      </c>
      <c r="C245" s="37" t="s">
        <v>531</v>
      </c>
      <c r="D245" s="37" t="s">
        <v>71</v>
      </c>
    </row>
    <row r="246" spans="1:4" x14ac:dyDescent="0.25">
      <c r="A246" s="37" t="s">
        <v>930</v>
      </c>
      <c r="B246" s="37" t="s">
        <v>931</v>
      </c>
      <c r="C246" s="37" t="s">
        <v>932</v>
      </c>
      <c r="D246" s="37" t="s">
        <v>71</v>
      </c>
    </row>
    <row r="247" spans="1:4" x14ac:dyDescent="0.25">
      <c r="A247" s="37" t="s">
        <v>933</v>
      </c>
      <c r="B247" s="37" t="s">
        <v>934</v>
      </c>
      <c r="C247" s="37" t="s">
        <v>935</v>
      </c>
      <c r="D247" s="37" t="s">
        <v>71</v>
      </c>
    </row>
    <row r="248" spans="1:4" x14ac:dyDescent="0.25">
      <c r="A248" s="37" t="s">
        <v>936</v>
      </c>
      <c r="B248" s="37" t="s">
        <v>937</v>
      </c>
      <c r="C248" s="37" t="s">
        <v>295</v>
      </c>
      <c r="D248" s="37" t="s">
        <v>71</v>
      </c>
    </row>
    <row r="249" spans="1:4" x14ac:dyDescent="0.25">
      <c r="A249" s="37" t="s">
        <v>300</v>
      </c>
      <c r="B249" s="37" t="s">
        <v>938</v>
      </c>
      <c r="C249" s="37" t="s">
        <v>299</v>
      </c>
      <c r="D249" s="37" t="s">
        <v>71</v>
      </c>
    </row>
    <row r="250" spans="1:4" x14ac:dyDescent="0.25">
      <c r="A250" s="37" t="s">
        <v>939</v>
      </c>
      <c r="B250" s="37" t="s">
        <v>224</v>
      </c>
      <c r="C250" s="37" t="s">
        <v>940</v>
      </c>
      <c r="D250" s="37" t="s">
        <v>71</v>
      </c>
    </row>
    <row r="251" spans="1:4" x14ac:dyDescent="0.25">
      <c r="A251" s="37" t="s">
        <v>941</v>
      </c>
      <c r="B251" s="37" t="s">
        <v>942</v>
      </c>
      <c r="C251" s="37" t="s">
        <v>492</v>
      </c>
      <c r="D251" s="37" t="s">
        <v>71</v>
      </c>
    </row>
    <row r="252" spans="1:4" x14ac:dyDescent="0.25">
      <c r="A252" s="37" t="s">
        <v>943</v>
      </c>
      <c r="B252" s="37" t="s">
        <v>944</v>
      </c>
      <c r="C252" s="37" t="s">
        <v>945</v>
      </c>
      <c r="D252" s="37" t="s">
        <v>71</v>
      </c>
    </row>
    <row r="253" spans="1:4" x14ac:dyDescent="0.25">
      <c r="A253" s="37" t="s">
        <v>946</v>
      </c>
      <c r="B253" s="37" t="s">
        <v>947</v>
      </c>
      <c r="C253" s="37" t="s">
        <v>948</v>
      </c>
      <c r="D253" s="37" t="s">
        <v>71</v>
      </c>
    </row>
    <row r="254" spans="1:4" x14ac:dyDescent="0.25">
      <c r="A254" s="37" t="s">
        <v>949</v>
      </c>
      <c r="B254" s="37" t="s">
        <v>950</v>
      </c>
      <c r="C254" s="37" t="s">
        <v>245</v>
      </c>
      <c r="D254" s="37" t="s">
        <v>71</v>
      </c>
    </row>
    <row r="255" spans="1:4" x14ac:dyDescent="0.25">
      <c r="A255" s="37" t="s">
        <v>951</v>
      </c>
      <c r="B255" s="37" t="s">
        <v>952</v>
      </c>
      <c r="C255" s="37" t="s">
        <v>953</v>
      </c>
      <c r="D255" s="37" t="s">
        <v>71</v>
      </c>
    </row>
    <row r="256" spans="1:4" x14ac:dyDescent="0.25">
      <c r="A256" s="37" t="s">
        <v>954</v>
      </c>
      <c r="B256" s="37" t="s">
        <v>955</v>
      </c>
      <c r="C256" s="37" t="s">
        <v>956</v>
      </c>
      <c r="D256" s="37" t="s">
        <v>71</v>
      </c>
    </row>
    <row r="257" spans="1:4" x14ac:dyDescent="0.25">
      <c r="A257" s="37" t="s">
        <v>957</v>
      </c>
      <c r="B257" s="37" t="s">
        <v>958</v>
      </c>
      <c r="C257" s="37" t="s">
        <v>959</v>
      </c>
      <c r="D257" s="37" t="s">
        <v>71</v>
      </c>
    </row>
    <row r="258" spans="1:4" x14ac:dyDescent="0.25">
      <c r="A258" s="37" t="s">
        <v>960</v>
      </c>
      <c r="B258" s="37" t="s">
        <v>961</v>
      </c>
      <c r="C258" s="37" t="s">
        <v>962</v>
      </c>
      <c r="D258" s="37" t="s">
        <v>71</v>
      </c>
    </row>
    <row r="259" spans="1:4" x14ac:dyDescent="0.25">
      <c r="A259" s="37" t="s">
        <v>963</v>
      </c>
      <c r="B259" s="37" t="s">
        <v>964</v>
      </c>
      <c r="C259" s="37" t="s">
        <v>965</v>
      </c>
      <c r="D259" s="37" t="s">
        <v>71</v>
      </c>
    </row>
    <row r="260" spans="1:4" x14ac:dyDescent="0.25">
      <c r="A260" s="37" t="s">
        <v>966</v>
      </c>
      <c r="B260" s="37" t="s">
        <v>967</v>
      </c>
      <c r="C260" s="37" t="s">
        <v>804</v>
      </c>
      <c r="D260" s="37" t="s">
        <v>71</v>
      </c>
    </row>
    <row r="261" spans="1:4" x14ac:dyDescent="0.25">
      <c r="A261" s="37" t="s">
        <v>968</v>
      </c>
      <c r="B261" s="37" t="s">
        <v>643</v>
      </c>
      <c r="C261" s="37" t="s">
        <v>157</v>
      </c>
      <c r="D261" s="37" t="s">
        <v>71</v>
      </c>
    </row>
    <row r="262" spans="1:4" x14ac:dyDescent="0.25">
      <c r="A262" s="37" t="s">
        <v>969</v>
      </c>
      <c r="B262" s="37" t="s">
        <v>970</v>
      </c>
      <c r="C262" s="37" t="s">
        <v>971</v>
      </c>
      <c r="D262" s="37" t="s">
        <v>71</v>
      </c>
    </row>
    <row r="263" spans="1:4" x14ac:dyDescent="0.25">
      <c r="A263" s="37" t="s">
        <v>972</v>
      </c>
      <c r="B263" s="37" t="s">
        <v>973</v>
      </c>
      <c r="C263" s="37" t="s">
        <v>974</v>
      </c>
      <c r="D263" s="37" t="s">
        <v>71</v>
      </c>
    </row>
    <row r="264" spans="1:4" x14ac:dyDescent="0.25">
      <c r="A264" s="37" t="s">
        <v>296</v>
      </c>
      <c r="B264" s="37" t="s">
        <v>975</v>
      </c>
      <c r="C264" s="37" t="s">
        <v>295</v>
      </c>
      <c r="D264" s="37" t="s">
        <v>71</v>
      </c>
    </row>
    <row r="265" spans="1:4" x14ac:dyDescent="0.25">
      <c r="A265" s="37" t="s">
        <v>976</v>
      </c>
      <c r="B265" s="37" t="s">
        <v>977</v>
      </c>
      <c r="C265" s="37" t="s">
        <v>978</v>
      </c>
      <c r="D265" s="37" t="s">
        <v>71</v>
      </c>
    </row>
    <row r="266" spans="1:4" x14ac:dyDescent="0.25">
      <c r="A266" s="37" t="s">
        <v>979</v>
      </c>
      <c r="B266" s="37" t="s">
        <v>980</v>
      </c>
      <c r="C266" s="37" t="s">
        <v>157</v>
      </c>
      <c r="D266" s="37" t="s">
        <v>71</v>
      </c>
    </row>
    <row r="267" spans="1:4" x14ac:dyDescent="0.25">
      <c r="A267" s="37">
        <v>6374114</v>
      </c>
      <c r="B267" s="37" t="s">
        <v>981</v>
      </c>
      <c r="C267" s="37" t="s">
        <v>982</v>
      </c>
      <c r="D267" s="37" t="s">
        <v>71</v>
      </c>
    </row>
    <row r="268" spans="1:4" x14ac:dyDescent="0.25">
      <c r="A268" s="37">
        <v>8706936</v>
      </c>
      <c r="B268" s="37" t="s">
        <v>333</v>
      </c>
      <c r="C268" s="37" t="s">
        <v>983</v>
      </c>
      <c r="D268" s="37" t="s">
        <v>71</v>
      </c>
    </row>
    <row r="269" spans="1:4" x14ac:dyDescent="0.25">
      <c r="A269" s="37">
        <v>8338276</v>
      </c>
      <c r="B269" s="37" t="s">
        <v>984</v>
      </c>
      <c r="C269" s="37" t="s">
        <v>197</v>
      </c>
      <c r="D269" s="37" t="s">
        <v>71</v>
      </c>
    </row>
    <row r="270" spans="1:4" x14ac:dyDescent="0.25">
      <c r="A270" s="37">
        <v>8794671</v>
      </c>
      <c r="B270" s="37" t="s">
        <v>985</v>
      </c>
      <c r="C270" s="37" t="s">
        <v>316</v>
      </c>
      <c r="D270" s="37" t="s">
        <v>71</v>
      </c>
    </row>
    <row r="271" spans="1:4" x14ac:dyDescent="0.25">
      <c r="A271" s="37">
        <v>5355076</v>
      </c>
      <c r="B271" s="37" t="s">
        <v>580</v>
      </c>
      <c r="C271" s="37" t="s">
        <v>986</v>
      </c>
      <c r="D271" s="37" t="s">
        <v>71</v>
      </c>
    </row>
    <row r="272" spans="1:4" x14ac:dyDescent="0.25">
      <c r="A272" s="37">
        <v>6256612</v>
      </c>
      <c r="B272" s="37" t="s">
        <v>987</v>
      </c>
      <c r="C272" s="37" t="s">
        <v>219</v>
      </c>
      <c r="D272" s="37" t="s">
        <v>71</v>
      </c>
    </row>
    <row r="273" spans="1:4" x14ac:dyDescent="0.25">
      <c r="A273" s="37">
        <v>7293781</v>
      </c>
      <c r="B273" s="37" t="s">
        <v>988</v>
      </c>
      <c r="C273" s="37" t="s">
        <v>3252</v>
      </c>
      <c r="D273" s="37" t="s">
        <v>71</v>
      </c>
    </row>
    <row r="274" spans="1:4" x14ac:dyDescent="0.25">
      <c r="A274" s="37">
        <v>1173539</v>
      </c>
      <c r="B274" s="37" t="s">
        <v>990</v>
      </c>
      <c r="C274" s="37" t="s">
        <v>991</v>
      </c>
      <c r="D274" s="37" t="s">
        <v>71</v>
      </c>
    </row>
    <row r="275" spans="1:4" x14ac:dyDescent="0.25">
      <c r="A275" s="37">
        <v>5225236</v>
      </c>
      <c r="B275" s="37" t="s">
        <v>992</v>
      </c>
      <c r="C275" s="37" t="s">
        <v>492</v>
      </c>
      <c r="D275" s="37" t="s">
        <v>71</v>
      </c>
    </row>
    <row r="276" spans="1:4" x14ac:dyDescent="0.25">
      <c r="A276" s="37">
        <v>3136837</v>
      </c>
      <c r="B276" s="37" t="s">
        <v>993</v>
      </c>
      <c r="C276" s="37" t="s">
        <v>994</v>
      </c>
      <c r="D276" s="37" t="s">
        <v>71</v>
      </c>
    </row>
    <row r="277" spans="1:4" x14ac:dyDescent="0.25">
      <c r="A277" s="37">
        <v>7008597</v>
      </c>
      <c r="B277" s="37" t="s">
        <v>995</v>
      </c>
      <c r="C277" s="37" t="s">
        <v>996</v>
      </c>
      <c r="D277" s="37" t="s">
        <v>71</v>
      </c>
    </row>
    <row r="278" spans="1:4" x14ac:dyDescent="0.25">
      <c r="A278" s="37">
        <v>7001597</v>
      </c>
      <c r="B278" s="37" t="s">
        <v>997</v>
      </c>
      <c r="C278" s="37" t="s">
        <v>998</v>
      </c>
      <c r="D278" s="37" t="s">
        <v>71</v>
      </c>
    </row>
    <row r="279" spans="1:4" x14ac:dyDescent="0.25">
      <c r="A279" s="37">
        <v>1839671</v>
      </c>
      <c r="B279" s="37" t="s">
        <v>973</v>
      </c>
      <c r="C279" s="37" t="s">
        <v>999</v>
      </c>
      <c r="D279" s="37" t="s">
        <v>71</v>
      </c>
    </row>
    <row r="280" spans="1:4" x14ac:dyDescent="0.25">
      <c r="A280" s="37">
        <v>6817493</v>
      </c>
      <c r="B280" s="37" t="s">
        <v>1000</v>
      </c>
      <c r="C280" s="37" t="s">
        <v>1001</v>
      </c>
      <c r="D280" s="37" t="s">
        <v>71</v>
      </c>
    </row>
    <row r="281" spans="1:4" x14ac:dyDescent="0.25">
      <c r="A281" s="37">
        <v>3961051</v>
      </c>
      <c r="B281" s="37" t="s">
        <v>844</v>
      </c>
      <c r="C281" s="37" t="s">
        <v>481</v>
      </c>
      <c r="D281" s="37" t="s">
        <v>71</v>
      </c>
    </row>
    <row r="282" spans="1:4" x14ac:dyDescent="0.25">
      <c r="A282" s="37">
        <v>2060308</v>
      </c>
      <c r="B282" s="37" t="s">
        <v>301</v>
      </c>
      <c r="C282" s="37" t="s">
        <v>149</v>
      </c>
      <c r="D282" s="37" t="s">
        <v>71</v>
      </c>
    </row>
    <row r="283" spans="1:4" x14ac:dyDescent="0.25">
      <c r="A283" s="37">
        <v>6316723</v>
      </c>
      <c r="B283" s="37" t="s">
        <v>1002</v>
      </c>
      <c r="C283" s="37" t="s">
        <v>149</v>
      </c>
      <c r="D283" s="37" t="s">
        <v>71</v>
      </c>
    </row>
    <row r="284" spans="1:4" x14ac:dyDescent="0.25">
      <c r="A284" s="37">
        <v>6007577</v>
      </c>
      <c r="B284" s="37" t="s">
        <v>1003</v>
      </c>
      <c r="C284" s="37" t="s">
        <v>516</v>
      </c>
      <c r="D284" s="37" t="s">
        <v>71</v>
      </c>
    </row>
    <row r="285" spans="1:4" x14ac:dyDescent="0.25">
      <c r="A285" s="37">
        <v>3509735</v>
      </c>
      <c r="B285" s="37" t="s">
        <v>1004</v>
      </c>
      <c r="C285" s="37" t="s">
        <v>666</v>
      </c>
      <c r="D285" s="37" t="s">
        <v>71</v>
      </c>
    </row>
    <row r="286" spans="1:4" x14ac:dyDescent="0.25">
      <c r="A286" s="37">
        <v>9025665</v>
      </c>
      <c r="B286" s="37" t="s">
        <v>985</v>
      </c>
      <c r="C286" s="37" t="s">
        <v>780</v>
      </c>
      <c r="D286" s="37" t="s">
        <v>71</v>
      </c>
    </row>
    <row r="287" spans="1:4" x14ac:dyDescent="0.25">
      <c r="A287" s="37">
        <v>9015921</v>
      </c>
      <c r="B287" s="37" t="s">
        <v>1005</v>
      </c>
      <c r="C287" s="37" t="s">
        <v>149</v>
      </c>
      <c r="D287" s="37" t="s">
        <v>71</v>
      </c>
    </row>
    <row r="288" spans="1:4" x14ac:dyDescent="0.25">
      <c r="A288" s="37">
        <v>3157353</v>
      </c>
      <c r="B288" s="37" t="s">
        <v>398</v>
      </c>
      <c r="C288" s="37" t="s">
        <v>574</v>
      </c>
      <c r="D288" s="37" t="s">
        <v>71</v>
      </c>
    </row>
    <row r="289" spans="1:4" x14ac:dyDescent="0.25">
      <c r="A289" s="37">
        <v>1862920</v>
      </c>
      <c r="B289" s="37" t="s">
        <v>3120</v>
      </c>
      <c r="C289" s="37" t="s">
        <v>1153</v>
      </c>
      <c r="D289" s="37" t="s">
        <v>71</v>
      </c>
    </row>
    <row r="290" spans="1:4" x14ac:dyDescent="0.25">
      <c r="A290" s="37">
        <v>2023158</v>
      </c>
      <c r="B290" s="37" t="s">
        <v>1007</v>
      </c>
      <c r="C290" s="37" t="s">
        <v>1008</v>
      </c>
      <c r="D290" s="37" t="s">
        <v>71</v>
      </c>
    </row>
    <row r="291" spans="1:4" x14ac:dyDescent="0.25">
      <c r="A291" s="37">
        <v>6926065</v>
      </c>
      <c r="B291" s="37" t="s">
        <v>1009</v>
      </c>
      <c r="C291" s="37" t="s">
        <v>1010</v>
      </c>
      <c r="D291" s="37" t="s">
        <v>71</v>
      </c>
    </row>
    <row r="292" spans="1:4" x14ac:dyDescent="0.25">
      <c r="A292" s="37">
        <v>3630011</v>
      </c>
      <c r="B292" s="37" t="s">
        <v>3046</v>
      </c>
      <c r="C292" s="37" t="s">
        <v>3047</v>
      </c>
      <c r="D292" s="37" t="s">
        <v>71</v>
      </c>
    </row>
    <row r="293" spans="1:4" x14ac:dyDescent="0.25">
      <c r="A293" s="37">
        <v>2089188</v>
      </c>
      <c r="B293" s="37" t="s">
        <v>1011</v>
      </c>
      <c r="C293" s="37" t="s">
        <v>1012</v>
      </c>
      <c r="D293" s="37" t="s">
        <v>71</v>
      </c>
    </row>
    <row r="294" spans="1:4" x14ac:dyDescent="0.25">
      <c r="A294" s="37">
        <v>3020202</v>
      </c>
      <c r="B294" s="37" t="s">
        <v>1013</v>
      </c>
      <c r="C294" s="37" t="s">
        <v>1014</v>
      </c>
      <c r="D294" s="37" t="s">
        <v>71</v>
      </c>
    </row>
    <row r="295" spans="1:4" x14ac:dyDescent="0.25">
      <c r="A295" s="37">
        <v>6708056</v>
      </c>
      <c r="B295" s="37" t="s">
        <v>3060</v>
      </c>
      <c r="C295" s="37" t="s">
        <v>3061</v>
      </c>
      <c r="D295" s="37" t="s">
        <v>71</v>
      </c>
    </row>
    <row r="296" spans="1:4" x14ac:dyDescent="0.25">
      <c r="A296" s="37">
        <v>8916509</v>
      </c>
      <c r="B296" s="37" t="s">
        <v>1015</v>
      </c>
      <c r="C296" s="37" t="s">
        <v>1016</v>
      </c>
      <c r="D296" s="37" t="s">
        <v>71</v>
      </c>
    </row>
    <row r="297" spans="1:4" x14ac:dyDescent="0.25">
      <c r="A297" s="37">
        <v>9466200</v>
      </c>
      <c r="B297" s="37" t="s">
        <v>643</v>
      </c>
      <c r="C297" s="37" t="s">
        <v>143</v>
      </c>
      <c r="D297" s="37" t="s">
        <v>71</v>
      </c>
    </row>
    <row r="298" spans="1:4" x14ac:dyDescent="0.25">
      <c r="A298" s="37">
        <v>1021876</v>
      </c>
      <c r="B298" s="37" t="s">
        <v>1017</v>
      </c>
      <c r="C298" s="37" t="s">
        <v>1018</v>
      </c>
      <c r="D298" s="37" t="s">
        <v>71</v>
      </c>
    </row>
    <row r="299" spans="1:4" x14ac:dyDescent="0.25">
      <c r="A299" s="37">
        <v>9426200</v>
      </c>
      <c r="B299" s="37" t="s">
        <v>3034</v>
      </c>
      <c r="C299" s="37" t="s">
        <v>3035</v>
      </c>
      <c r="D299" s="37" t="s">
        <v>71</v>
      </c>
    </row>
    <row r="300" spans="1:4" x14ac:dyDescent="0.25">
      <c r="A300" s="37">
        <v>9456200</v>
      </c>
      <c r="B300" s="37" t="s">
        <v>3040</v>
      </c>
      <c r="C300" s="37" t="s">
        <v>3041</v>
      </c>
      <c r="D300" s="37" t="s">
        <v>71</v>
      </c>
    </row>
    <row r="301" spans="1:4" x14ac:dyDescent="0.25">
      <c r="A301" s="37">
        <v>8610552</v>
      </c>
      <c r="B301" s="37" t="s">
        <v>1019</v>
      </c>
      <c r="C301" s="37" t="s">
        <v>1020</v>
      </c>
      <c r="D301" s="37" t="s">
        <v>71</v>
      </c>
    </row>
    <row r="302" spans="1:4" x14ac:dyDescent="0.25">
      <c r="A302" s="37">
        <v>3215394</v>
      </c>
      <c r="B302" s="37" t="s">
        <v>1021</v>
      </c>
      <c r="C302" s="37" t="s">
        <v>1022</v>
      </c>
      <c r="D302" s="37" t="s">
        <v>71</v>
      </c>
    </row>
    <row r="303" spans="1:4" x14ac:dyDescent="0.25">
      <c r="A303" s="37">
        <v>1327375</v>
      </c>
      <c r="B303" s="37" t="s">
        <v>749</v>
      </c>
      <c r="C303" s="37" t="s">
        <v>1023</v>
      </c>
      <c r="D303" s="37" t="s">
        <v>71</v>
      </c>
    </row>
    <row r="304" spans="1:4" x14ac:dyDescent="0.25">
      <c r="A304" s="37">
        <v>2875540</v>
      </c>
      <c r="B304" s="37" t="s">
        <v>526</v>
      </c>
      <c r="C304" s="37" t="s">
        <v>217</v>
      </c>
      <c r="D304" s="37" t="s">
        <v>71</v>
      </c>
    </row>
    <row r="305" spans="1:4" x14ac:dyDescent="0.25">
      <c r="A305" s="37">
        <v>7391677</v>
      </c>
      <c r="B305" s="37" t="s">
        <v>1024</v>
      </c>
      <c r="C305" s="37" t="s">
        <v>1025</v>
      </c>
      <c r="D305" s="37" t="s">
        <v>71</v>
      </c>
    </row>
    <row r="306" spans="1:4" x14ac:dyDescent="0.25">
      <c r="A306" s="37">
        <v>2485424</v>
      </c>
      <c r="B306" s="37" t="s">
        <v>1026</v>
      </c>
      <c r="C306" s="37" t="s">
        <v>1027</v>
      </c>
      <c r="D306" s="37" t="s">
        <v>71</v>
      </c>
    </row>
    <row r="307" spans="1:4" x14ac:dyDescent="0.25">
      <c r="A307" s="37">
        <v>6485424</v>
      </c>
      <c r="B307" s="37" t="s">
        <v>1028</v>
      </c>
      <c r="C307" s="37" t="s">
        <v>1027</v>
      </c>
      <c r="D307" s="37" t="s">
        <v>71</v>
      </c>
    </row>
    <row r="308" spans="1:4" x14ac:dyDescent="0.25">
      <c r="A308" s="37">
        <v>4256266</v>
      </c>
      <c r="B308" s="37" t="s">
        <v>601</v>
      </c>
      <c r="C308" s="37" t="s">
        <v>1029</v>
      </c>
      <c r="D308" s="37" t="s">
        <v>71</v>
      </c>
    </row>
    <row r="309" spans="1:4" x14ac:dyDescent="0.25">
      <c r="A309" s="37">
        <v>1806483</v>
      </c>
      <c r="B309" s="37" t="s">
        <v>1030</v>
      </c>
      <c r="C309" s="37" t="s">
        <v>1031</v>
      </c>
      <c r="D309" s="37" t="s">
        <v>71</v>
      </c>
    </row>
    <row r="310" spans="1:4" x14ac:dyDescent="0.25">
      <c r="A310" s="37">
        <v>5250874</v>
      </c>
      <c r="B310" s="37" t="s">
        <v>1032</v>
      </c>
      <c r="C310" s="37" t="s">
        <v>788</v>
      </c>
      <c r="D310" s="37" t="s">
        <v>71</v>
      </c>
    </row>
    <row r="311" spans="1:4" x14ac:dyDescent="0.25">
      <c r="A311" s="37">
        <v>2531836</v>
      </c>
      <c r="B311" s="37" t="s">
        <v>3112</v>
      </c>
      <c r="C311" s="37" t="s">
        <v>1480</v>
      </c>
      <c r="D311" s="37" t="s">
        <v>71</v>
      </c>
    </row>
    <row r="312" spans="1:4" x14ac:dyDescent="0.25">
      <c r="A312" s="37">
        <v>5622894</v>
      </c>
      <c r="B312" s="37" t="s">
        <v>3168</v>
      </c>
      <c r="C312" s="37" t="s">
        <v>887</v>
      </c>
      <c r="D312" s="37" t="s">
        <v>71</v>
      </c>
    </row>
    <row r="313" spans="1:4" x14ac:dyDescent="0.25">
      <c r="A313" s="37">
        <v>1936359</v>
      </c>
      <c r="B313" s="37" t="s">
        <v>632</v>
      </c>
      <c r="C313" s="37" t="s">
        <v>531</v>
      </c>
      <c r="D313" s="37" t="s">
        <v>71</v>
      </c>
    </row>
    <row r="314" spans="1:4" x14ac:dyDescent="0.25">
      <c r="A314" s="37">
        <v>7569228</v>
      </c>
      <c r="B314" s="37" t="s">
        <v>1033</v>
      </c>
      <c r="C314" s="37" t="s">
        <v>1034</v>
      </c>
      <c r="D314" s="37" t="s">
        <v>71</v>
      </c>
    </row>
    <row r="315" spans="1:4" x14ac:dyDescent="0.25">
      <c r="A315" s="37">
        <v>1021879</v>
      </c>
      <c r="B315" s="37" t="s">
        <v>1035</v>
      </c>
      <c r="C315" s="37" t="s">
        <v>1018</v>
      </c>
      <c r="D315" s="37" t="s">
        <v>71</v>
      </c>
    </row>
    <row r="316" spans="1:4" x14ac:dyDescent="0.25">
      <c r="A316" s="37">
        <v>7481078</v>
      </c>
      <c r="B316" s="37" t="s">
        <v>1036</v>
      </c>
      <c r="C316" s="37" t="s">
        <v>130</v>
      </c>
      <c r="D316" s="37" t="s">
        <v>71</v>
      </c>
    </row>
    <row r="317" spans="1:4" x14ac:dyDescent="0.25">
      <c r="A317" s="37" t="s">
        <v>1037</v>
      </c>
      <c r="B317" s="37" t="s">
        <v>1038</v>
      </c>
      <c r="C317" s="37" t="s">
        <v>854</v>
      </c>
      <c r="D317" s="37" t="s">
        <v>71</v>
      </c>
    </row>
    <row r="318" spans="1:4" x14ac:dyDescent="0.25">
      <c r="A318" s="37" t="s">
        <v>1039</v>
      </c>
      <c r="B318" s="37" t="s">
        <v>1040</v>
      </c>
      <c r="C318" s="37" t="s">
        <v>876</v>
      </c>
      <c r="D318" s="37" t="s">
        <v>71</v>
      </c>
    </row>
    <row r="319" spans="1:4" x14ac:dyDescent="0.25">
      <c r="A319" s="37" t="s">
        <v>1041</v>
      </c>
      <c r="B319" s="37" t="s">
        <v>1042</v>
      </c>
      <c r="C319" s="37" t="s">
        <v>780</v>
      </c>
      <c r="D319" s="37" t="s">
        <v>71</v>
      </c>
    </row>
    <row r="320" spans="1:4" x14ac:dyDescent="0.25">
      <c r="A320" s="37" t="s">
        <v>1043</v>
      </c>
      <c r="B320" s="37" t="s">
        <v>1044</v>
      </c>
      <c r="C320" s="37" t="s">
        <v>1045</v>
      </c>
      <c r="D320" s="37" t="s">
        <v>71</v>
      </c>
    </row>
    <row r="321" spans="1:4" x14ac:dyDescent="0.25">
      <c r="A321" s="37" t="s">
        <v>1046</v>
      </c>
      <c r="B321" s="37" t="s">
        <v>1047</v>
      </c>
      <c r="C321" s="37" t="s">
        <v>1048</v>
      </c>
      <c r="D321" s="37" t="s">
        <v>71</v>
      </c>
    </row>
    <row r="322" spans="1:4" x14ac:dyDescent="0.25">
      <c r="A322" s="37" t="s">
        <v>1049</v>
      </c>
      <c r="B322" s="37" t="s">
        <v>1050</v>
      </c>
      <c r="C322" s="37" t="s">
        <v>736</v>
      </c>
      <c r="D322" s="37" t="s">
        <v>71</v>
      </c>
    </row>
    <row r="323" spans="1:4" x14ac:dyDescent="0.25">
      <c r="A323" s="37" t="s">
        <v>1051</v>
      </c>
      <c r="B323" s="37" t="s">
        <v>1052</v>
      </c>
      <c r="C323" s="37" t="s">
        <v>1053</v>
      </c>
      <c r="D323" s="37" t="s">
        <v>71</v>
      </c>
    </row>
    <row r="324" spans="1:4" x14ac:dyDescent="0.25">
      <c r="A324" s="37" t="s">
        <v>1054</v>
      </c>
      <c r="B324" s="37" t="s">
        <v>1055</v>
      </c>
      <c r="C324" s="37" t="s">
        <v>565</v>
      </c>
      <c r="D324" s="37" t="s">
        <v>71</v>
      </c>
    </row>
    <row r="325" spans="1:4" x14ac:dyDescent="0.25">
      <c r="A325" s="37" t="s">
        <v>1056</v>
      </c>
      <c r="B325" s="37" t="s">
        <v>250</v>
      </c>
      <c r="C325" s="37" t="s">
        <v>1057</v>
      </c>
      <c r="D325" s="37" t="s">
        <v>71</v>
      </c>
    </row>
    <row r="326" spans="1:4" x14ac:dyDescent="0.25">
      <c r="A326" s="37" t="s">
        <v>1058</v>
      </c>
      <c r="B326" s="37" t="s">
        <v>169</v>
      </c>
      <c r="C326" s="37" t="s">
        <v>616</v>
      </c>
      <c r="D326" s="37" t="s">
        <v>71</v>
      </c>
    </row>
    <row r="327" spans="1:4" x14ac:dyDescent="0.25">
      <c r="A327" s="37" t="s">
        <v>1059</v>
      </c>
      <c r="B327" s="37" t="s">
        <v>1060</v>
      </c>
      <c r="C327" s="37" t="s">
        <v>1061</v>
      </c>
      <c r="D327" s="37" t="s">
        <v>71</v>
      </c>
    </row>
    <row r="328" spans="1:4" x14ac:dyDescent="0.25">
      <c r="A328" s="37" t="s">
        <v>1062</v>
      </c>
      <c r="B328" s="37" t="s">
        <v>1063</v>
      </c>
      <c r="C328" s="37" t="s">
        <v>329</v>
      </c>
      <c r="D328" s="37" t="s">
        <v>71</v>
      </c>
    </row>
    <row r="329" spans="1:4" x14ac:dyDescent="0.25">
      <c r="A329" s="37" t="s">
        <v>1064</v>
      </c>
      <c r="B329" s="37" t="s">
        <v>1065</v>
      </c>
      <c r="C329" s="37" t="s">
        <v>492</v>
      </c>
      <c r="D329" s="37" t="s">
        <v>71</v>
      </c>
    </row>
    <row r="330" spans="1:4" x14ac:dyDescent="0.25">
      <c r="A330" s="37" t="s">
        <v>1066</v>
      </c>
      <c r="B330" s="37" t="s">
        <v>1063</v>
      </c>
      <c r="C330" s="37" t="s">
        <v>73</v>
      </c>
      <c r="D330" s="37" t="s">
        <v>71</v>
      </c>
    </row>
    <row r="331" spans="1:4" x14ac:dyDescent="0.25">
      <c r="A331" s="37" t="s">
        <v>1067</v>
      </c>
      <c r="B331" s="37" t="s">
        <v>1068</v>
      </c>
      <c r="C331" s="37" t="s">
        <v>1069</v>
      </c>
      <c r="D331" s="37" t="s">
        <v>71</v>
      </c>
    </row>
    <row r="332" spans="1:4" x14ac:dyDescent="0.25">
      <c r="A332" s="37" t="s">
        <v>1070</v>
      </c>
      <c r="B332" s="37" t="s">
        <v>1071</v>
      </c>
      <c r="C332" s="37" t="s">
        <v>1072</v>
      </c>
      <c r="D332" s="37" t="s">
        <v>71</v>
      </c>
    </row>
    <row r="333" spans="1:4" x14ac:dyDescent="0.25">
      <c r="A333" s="37" t="s">
        <v>1073</v>
      </c>
      <c r="B333" s="37" t="s">
        <v>1074</v>
      </c>
      <c r="C333" s="37" t="s">
        <v>1075</v>
      </c>
      <c r="D333" s="37" t="s">
        <v>71</v>
      </c>
    </row>
    <row r="334" spans="1:4" x14ac:dyDescent="0.25">
      <c r="A334" s="37" t="s">
        <v>1076</v>
      </c>
      <c r="B334" s="37" t="s">
        <v>942</v>
      </c>
      <c r="C334" s="37" t="s">
        <v>309</v>
      </c>
      <c r="D334" s="37" t="s">
        <v>71</v>
      </c>
    </row>
    <row r="335" spans="1:4" x14ac:dyDescent="0.25">
      <c r="A335" s="37" t="s">
        <v>1077</v>
      </c>
      <c r="B335" s="37" t="s">
        <v>1078</v>
      </c>
      <c r="C335" s="37" t="s">
        <v>1079</v>
      </c>
      <c r="D335" s="37" t="s">
        <v>71</v>
      </c>
    </row>
    <row r="336" spans="1:4" x14ac:dyDescent="0.25">
      <c r="A336" s="37" t="s">
        <v>1080</v>
      </c>
      <c r="B336" s="37" t="s">
        <v>1081</v>
      </c>
      <c r="C336" s="37" t="s">
        <v>295</v>
      </c>
      <c r="D336" s="37" t="s">
        <v>71</v>
      </c>
    </row>
    <row r="337" spans="1:4" x14ac:dyDescent="0.25">
      <c r="A337" s="37" t="s">
        <v>1082</v>
      </c>
      <c r="B337" s="37" t="s">
        <v>1083</v>
      </c>
      <c r="C337" s="37" t="s">
        <v>1084</v>
      </c>
      <c r="D337" s="37" t="s">
        <v>71</v>
      </c>
    </row>
    <row r="338" spans="1:4" x14ac:dyDescent="0.25">
      <c r="A338" s="37" t="s">
        <v>1085</v>
      </c>
      <c r="B338" s="37" t="s">
        <v>1086</v>
      </c>
      <c r="C338" s="37" t="s">
        <v>1087</v>
      </c>
      <c r="D338" s="37" t="s">
        <v>71</v>
      </c>
    </row>
    <row r="339" spans="1:4" x14ac:dyDescent="0.25">
      <c r="A339" s="37" t="s">
        <v>1088</v>
      </c>
      <c r="B339" s="37" t="s">
        <v>1089</v>
      </c>
      <c r="C339" s="37" t="s">
        <v>1090</v>
      </c>
      <c r="D339" s="37" t="s">
        <v>71</v>
      </c>
    </row>
    <row r="340" spans="1:4" x14ac:dyDescent="0.25">
      <c r="A340" s="37" t="s">
        <v>1091</v>
      </c>
      <c r="B340" s="37" t="s">
        <v>1092</v>
      </c>
      <c r="C340" s="37" t="s">
        <v>1093</v>
      </c>
      <c r="D340" s="37" t="s">
        <v>71</v>
      </c>
    </row>
    <row r="341" spans="1:4" x14ac:dyDescent="0.25">
      <c r="A341" s="37" t="s">
        <v>1094</v>
      </c>
      <c r="B341" s="37" t="s">
        <v>668</v>
      </c>
      <c r="C341" s="37" t="s">
        <v>1095</v>
      </c>
      <c r="D341" s="37" t="s">
        <v>71</v>
      </c>
    </row>
    <row r="342" spans="1:4" x14ac:dyDescent="0.25">
      <c r="A342" s="37" t="s">
        <v>1096</v>
      </c>
      <c r="B342" s="37" t="s">
        <v>1097</v>
      </c>
      <c r="C342" s="37" t="s">
        <v>1098</v>
      </c>
      <c r="D342" s="37" t="s">
        <v>71</v>
      </c>
    </row>
    <row r="343" spans="1:4" x14ac:dyDescent="0.25">
      <c r="A343" s="37" t="s">
        <v>1099</v>
      </c>
      <c r="B343" s="37" t="s">
        <v>1100</v>
      </c>
      <c r="C343" s="37" t="s">
        <v>1101</v>
      </c>
      <c r="D343" s="37" t="s">
        <v>71</v>
      </c>
    </row>
    <row r="344" spans="1:4" x14ac:dyDescent="0.25">
      <c r="A344" s="37" t="s">
        <v>1102</v>
      </c>
      <c r="B344" s="37" t="s">
        <v>455</v>
      </c>
      <c r="C344" s="37" t="s">
        <v>673</v>
      </c>
      <c r="D344" s="37" t="s">
        <v>71</v>
      </c>
    </row>
    <row r="345" spans="1:4" x14ac:dyDescent="0.25">
      <c r="A345" s="37" t="s">
        <v>1103</v>
      </c>
      <c r="B345" s="37" t="s">
        <v>1104</v>
      </c>
      <c r="C345" s="37" t="s">
        <v>197</v>
      </c>
      <c r="D345" s="37" t="s">
        <v>71</v>
      </c>
    </row>
    <row r="346" spans="1:4" x14ac:dyDescent="0.25">
      <c r="A346" s="37" t="s">
        <v>1105</v>
      </c>
      <c r="B346" s="37" t="s">
        <v>1106</v>
      </c>
      <c r="C346" s="37" t="s">
        <v>242</v>
      </c>
      <c r="D346" s="37" t="s">
        <v>71</v>
      </c>
    </row>
    <row r="347" spans="1:4" x14ac:dyDescent="0.25">
      <c r="A347" s="37" t="s">
        <v>1107</v>
      </c>
      <c r="B347" s="37" t="s">
        <v>1108</v>
      </c>
      <c r="C347" s="37" t="s">
        <v>1109</v>
      </c>
      <c r="D347" s="37" t="s">
        <v>71</v>
      </c>
    </row>
    <row r="348" spans="1:4" x14ac:dyDescent="0.25">
      <c r="A348" s="37" t="s">
        <v>1110</v>
      </c>
      <c r="B348" s="37" t="s">
        <v>834</v>
      </c>
      <c r="C348" s="37" t="s">
        <v>1111</v>
      </c>
      <c r="D348" s="37" t="s">
        <v>71</v>
      </c>
    </row>
    <row r="349" spans="1:4" x14ac:dyDescent="0.25">
      <c r="A349" s="37" t="s">
        <v>1112</v>
      </c>
      <c r="B349" s="37" t="s">
        <v>272</v>
      </c>
      <c r="C349" s="37" t="s">
        <v>1113</v>
      </c>
      <c r="D349" s="37" t="s">
        <v>71</v>
      </c>
    </row>
    <row r="350" spans="1:4" x14ac:dyDescent="0.25">
      <c r="A350" s="37" t="s">
        <v>1114</v>
      </c>
      <c r="B350" s="37" t="s">
        <v>1074</v>
      </c>
      <c r="C350" s="37" t="s">
        <v>143</v>
      </c>
      <c r="D350" s="37" t="s">
        <v>71</v>
      </c>
    </row>
    <row r="351" spans="1:4" x14ac:dyDescent="0.25">
      <c r="A351" s="37" t="s">
        <v>1115</v>
      </c>
      <c r="B351" s="37" t="s">
        <v>1116</v>
      </c>
      <c r="C351" s="37" t="s">
        <v>1117</v>
      </c>
      <c r="D351" s="37" t="s">
        <v>71</v>
      </c>
    </row>
    <row r="352" spans="1:4" x14ac:dyDescent="0.25">
      <c r="A352" s="37" t="s">
        <v>1118</v>
      </c>
      <c r="B352" s="37" t="s">
        <v>1119</v>
      </c>
      <c r="C352" s="37" t="s">
        <v>1120</v>
      </c>
      <c r="D352" s="37" t="s">
        <v>71</v>
      </c>
    </row>
    <row r="353" spans="1:4" x14ac:dyDescent="0.25">
      <c r="A353" s="37" t="s">
        <v>1121</v>
      </c>
      <c r="B353" s="37" t="s">
        <v>1122</v>
      </c>
      <c r="C353" s="37" t="s">
        <v>295</v>
      </c>
      <c r="D353" s="37" t="s">
        <v>71</v>
      </c>
    </row>
    <row r="354" spans="1:4" x14ac:dyDescent="0.25">
      <c r="A354" s="37" t="s">
        <v>1123</v>
      </c>
      <c r="B354" s="37" t="s">
        <v>447</v>
      </c>
      <c r="C354" s="37" t="s">
        <v>1124</v>
      </c>
      <c r="D354" s="37" t="s">
        <v>71</v>
      </c>
    </row>
    <row r="355" spans="1:4" x14ac:dyDescent="0.25">
      <c r="A355" s="37" t="s">
        <v>1125</v>
      </c>
      <c r="B355" s="37" t="s">
        <v>1126</v>
      </c>
      <c r="C355" s="37" t="s">
        <v>1127</v>
      </c>
      <c r="D355" s="37" t="s">
        <v>71</v>
      </c>
    </row>
    <row r="356" spans="1:4" x14ac:dyDescent="0.25">
      <c r="A356" s="37" t="s">
        <v>1128</v>
      </c>
      <c r="B356" s="37" t="s">
        <v>1089</v>
      </c>
      <c r="C356" s="37" t="s">
        <v>1090</v>
      </c>
      <c r="D356" s="37" t="s">
        <v>71</v>
      </c>
    </row>
    <row r="357" spans="1:4" x14ac:dyDescent="0.25">
      <c r="A357" s="37" t="s">
        <v>1129</v>
      </c>
      <c r="B357" s="37" t="s">
        <v>1130</v>
      </c>
      <c r="C357" s="37" t="s">
        <v>555</v>
      </c>
      <c r="D357" s="37" t="s">
        <v>71</v>
      </c>
    </row>
    <row r="358" spans="1:4" x14ac:dyDescent="0.25">
      <c r="A358" s="37" t="s">
        <v>1131</v>
      </c>
      <c r="B358" s="37" t="s">
        <v>757</v>
      </c>
      <c r="C358" s="37" t="s">
        <v>989</v>
      </c>
      <c r="D358" s="37" t="s">
        <v>71</v>
      </c>
    </row>
    <row r="359" spans="1:4" x14ac:dyDescent="0.25">
      <c r="A359" s="37" t="s">
        <v>1132</v>
      </c>
      <c r="B359" s="37" t="s">
        <v>1133</v>
      </c>
      <c r="C359" s="37" t="s">
        <v>1134</v>
      </c>
      <c r="D359" s="37" t="s">
        <v>71</v>
      </c>
    </row>
    <row r="360" spans="1:4" x14ac:dyDescent="0.25">
      <c r="A360" s="37" t="s">
        <v>1135</v>
      </c>
      <c r="B360" s="37" t="s">
        <v>1136</v>
      </c>
      <c r="C360" s="37" t="s">
        <v>1137</v>
      </c>
      <c r="D360" s="37" t="s">
        <v>71</v>
      </c>
    </row>
    <row r="361" spans="1:4" x14ac:dyDescent="0.25">
      <c r="A361" s="37" t="s">
        <v>1138</v>
      </c>
      <c r="B361" s="37" t="s">
        <v>1139</v>
      </c>
      <c r="C361" s="37" t="s">
        <v>1140</v>
      </c>
      <c r="D361" s="37" t="s">
        <v>71</v>
      </c>
    </row>
    <row r="362" spans="1:4" x14ac:dyDescent="0.25">
      <c r="A362" s="37" t="s">
        <v>1141</v>
      </c>
      <c r="B362" s="37" t="s">
        <v>1081</v>
      </c>
      <c r="C362" s="37" t="s">
        <v>1142</v>
      </c>
      <c r="D362" s="37" t="s">
        <v>71</v>
      </c>
    </row>
    <row r="363" spans="1:4" x14ac:dyDescent="0.25">
      <c r="A363" s="37" t="s">
        <v>1143</v>
      </c>
      <c r="B363" s="37" t="s">
        <v>1144</v>
      </c>
      <c r="C363" s="37" t="s">
        <v>1145</v>
      </c>
      <c r="D363" s="37" t="s">
        <v>71</v>
      </c>
    </row>
    <row r="364" spans="1:4" x14ac:dyDescent="0.25">
      <c r="A364" s="37" t="s">
        <v>1146</v>
      </c>
      <c r="B364" s="37" t="s">
        <v>1147</v>
      </c>
      <c r="C364" s="37" t="s">
        <v>1148</v>
      </c>
      <c r="D364" s="37" t="s">
        <v>71</v>
      </c>
    </row>
    <row r="365" spans="1:4" x14ac:dyDescent="0.25">
      <c r="A365" s="37" t="s">
        <v>1149</v>
      </c>
      <c r="B365" s="37" t="s">
        <v>1150</v>
      </c>
      <c r="C365" s="37" t="s">
        <v>666</v>
      </c>
      <c r="D365" s="37" t="s">
        <v>71</v>
      </c>
    </row>
    <row r="366" spans="1:4" x14ac:dyDescent="0.25">
      <c r="A366" s="37" t="s">
        <v>1151</v>
      </c>
      <c r="B366" s="37" t="s">
        <v>1152</v>
      </c>
      <c r="C366" s="37" t="s">
        <v>1153</v>
      </c>
      <c r="D366" s="37" t="s">
        <v>71</v>
      </c>
    </row>
    <row r="367" spans="1:4" x14ac:dyDescent="0.25">
      <c r="A367" s="37" t="s">
        <v>1154</v>
      </c>
      <c r="B367" s="37" t="s">
        <v>398</v>
      </c>
      <c r="C367" s="37" t="s">
        <v>1155</v>
      </c>
      <c r="D367" s="37" t="s">
        <v>71</v>
      </c>
    </row>
    <row r="368" spans="1:4" x14ac:dyDescent="0.25">
      <c r="A368" s="37" t="s">
        <v>1156</v>
      </c>
      <c r="B368" s="37" t="s">
        <v>1157</v>
      </c>
      <c r="C368" s="37" t="s">
        <v>604</v>
      </c>
      <c r="D368" s="37" t="s">
        <v>71</v>
      </c>
    </row>
    <row r="369" spans="1:4" x14ac:dyDescent="0.25">
      <c r="A369" s="37" t="s">
        <v>1158</v>
      </c>
      <c r="B369" s="37" t="s">
        <v>1159</v>
      </c>
      <c r="C369" s="37" t="s">
        <v>409</v>
      </c>
      <c r="D369" s="37" t="s">
        <v>71</v>
      </c>
    </row>
    <row r="370" spans="1:4" x14ac:dyDescent="0.25">
      <c r="A370" s="37" t="s">
        <v>1160</v>
      </c>
      <c r="B370" s="37" t="s">
        <v>1161</v>
      </c>
      <c r="C370" s="37" t="s">
        <v>379</v>
      </c>
      <c r="D370" s="37" t="s">
        <v>71</v>
      </c>
    </row>
    <row r="371" spans="1:4" x14ac:dyDescent="0.25">
      <c r="A371" s="37" t="s">
        <v>1162</v>
      </c>
      <c r="B371" s="37" t="s">
        <v>1100</v>
      </c>
      <c r="C371" s="37" t="s">
        <v>1163</v>
      </c>
      <c r="D371" s="37" t="s">
        <v>71</v>
      </c>
    </row>
    <row r="372" spans="1:4" x14ac:dyDescent="0.25">
      <c r="A372" s="37" t="s">
        <v>1164</v>
      </c>
      <c r="B372" s="37" t="s">
        <v>1165</v>
      </c>
      <c r="C372" s="37" t="s">
        <v>1166</v>
      </c>
      <c r="D372" s="37" t="s">
        <v>71</v>
      </c>
    </row>
    <row r="373" spans="1:4" x14ac:dyDescent="0.25">
      <c r="A373" s="37" t="s">
        <v>326</v>
      </c>
      <c r="B373" s="37" t="s">
        <v>952</v>
      </c>
      <c r="C373" s="37" t="s">
        <v>1167</v>
      </c>
      <c r="D373" s="37" t="s">
        <v>71</v>
      </c>
    </row>
    <row r="374" spans="1:4" x14ac:dyDescent="0.25">
      <c r="A374" s="37" t="s">
        <v>1168</v>
      </c>
      <c r="B374" s="37" t="s">
        <v>1169</v>
      </c>
      <c r="C374" s="37" t="s">
        <v>379</v>
      </c>
      <c r="D374" s="37" t="s">
        <v>71</v>
      </c>
    </row>
    <row r="375" spans="1:4" x14ac:dyDescent="0.25">
      <c r="A375" s="37" t="s">
        <v>1170</v>
      </c>
      <c r="B375" s="37" t="s">
        <v>1171</v>
      </c>
      <c r="C375" s="37" t="s">
        <v>149</v>
      </c>
      <c r="D375" s="37" t="s">
        <v>71</v>
      </c>
    </row>
    <row r="376" spans="1:4" x14ac:dyDescent="0.25">
      <c r="A376" s="37" t="s">
        <v>1172</v>
      </c>
      <c r="B376" s="37" t="s">
        <v>1173</v>
      </c>
      <c r="C376" s="37" t="s">
        <v>1174</v>
      </c>
      <c r="D376" s="37" t="s">
        <v>71</v>
      </c>
    </row>
    <row r="377" spans="1:4" x14ac:dyDescent="0.25">
      <c r="A377" s="37" t="s">
        <v>1175</v>
      </c>
      <c r="B377" s="37" t="s">
        <v>1176</v>
      </c>
      <c r="C377" s="37" t="s">
        <v>574</v>
      </c>
      <c r="D377" s="37" t="s">
        <v>71</v>
      </c>
    </row>
    <row r="378" spans="1:4" x14ac:dyDescent="0.25">
      <c r="A378" s="37" t="s">
        <v>1177</v>
      </c>
      <c r="B378" s="37" t="s">
        <v>1178</v>
      </c>
      <c r="C378" s="37" t="s">
        <v>1179</v>
      </c>
      <c r="D378" s="37" t="s">
        <v>71</v>
      </c>
    </row>
    <row r="379" spans="1:4" x14ac:dyDescent="0.25">
      <c r="A379" s="37" t="s">
        <v>1180</v>
      </c>
      <c r="B379" s="37" t="s">
        <v>1181</v>
      </c>
      <c r="C379" s="37" t="s">
        <v>1182</v>
      </c>
      <c r="D379" s="37" t="s">
        <v>71</v>
      </c>
    </row>
    <row r="380" spans="1:4" x14ac:dyDescent="0.25">
      <c r="A380" s="37" t="s">
        <v>1183</v>
      </c>
      <c r="B380" s="37" t="s">
        <v>219</v>
      </c>
      <c r="C380" s="37" t="s">
        <v>1184</v>
      </c>
      <c r="D380" s="37" t="s">
        <v>71</v>
      </c>
    </row>
    <row r="381" spans="1:4" x14ac:dyDescent="0.25">
      <c r="A381" s="37" t="s">
        <v>1185</v>
      </c>
      <c r="B381" s="37" t="s">
        <v>1186</v>
      </c>
      <c r="C381" s="37" t="s">
        <v>1187</v>
      </c>
      <c r="D381" s="37" t="s">
        <v>71</v>
      </c>
    </row>
    <row r="382" spans="1:4" x14ac:dyDescent="0.25">
      <c r="A382" s="37" t="s">
        <v>1188</v>
      </c>
      <c r="B382" s="37" t="s">
        <v>1189</v>
      </c>
      <c r="C382" s="37" t="s">
        <v>1190</v>
      </c>
      <c r="D382" s="37" t="s">
        <v>71</v>
      </c>
    </row>
    <row r="383" spans="1:4" x14ac:dyDescent="0.25">
      <c r="A383" s="37" t="s">
        <v>1191</v>
      </c>
      <c r="B383" s="37" t="s">
        <v>1192</v>
      </c>
      <c r="C383" s="37" t="s">
        <v>1193</v>
      </c>
      <c r="D383" s="37" t="s">
        <v>71</v>
      </c>
    </row>
    <row r="384" spans="1:4" x14ac:dyDescent="0.25">
      <c r="A384" s="37" t="s">
        <v>1194</v>
      </c>
      <c r="B384" s="37" t="s">
        <v>3117</v>
      </c>
      <c r="C384" s="37" t="s">
        <v>3118</v>
      </c>
      <c r="D384" s="37" t="s">
        <v>71</v>
      </c>
    </row>
    <row r="385" spans="1:4" x14ac:dyDescent="0.25">
      <c r="A385" s="37" t="s">
        <v>1195</v>
      </c>
      <c r="B385" s="37" t="s">
        <v>1196</v>
      </c>
      <c r="C385" s="37" t="s">
        <v>1197</v>
      </c>
      <c r="D385" s="37" t="s">
        <v>71</v>
      </c>
    </row>
    <row r="386" spans="1:4" x14ac:dyDescent="0.25">
      <c r="A386" s="37" t="s">
        <v>1198</v>
      </c>
      <c r="B386" s="37" t="s">
        <v>1199</v>
      </c>
      <c r="C386" s="37" t="s">
        <v>1200</v>
      </c>
      <c r="D386" s="37" t="s">
        <v>71</v>
      </c>
    </row>
    <row r="387" spans="1:4" x14ac:dyDescent="0.25">
      <c r="A387" s="37" t="s">
        <v>414</v>
      </c>
      <c r="B387" s="37" t="s">
        <v>415</v>
      </c>
      <c r="C387" s="37" t="s">
        <v>1201</v>
      </c>
      <c r="D387" s="37" t="s">
        <v>71</v>
      </c>
    </row>
    <row r="388" spans="1:4" x14ac:dyDescent="0.25">
      <c r="A388" s="37" t="s">
        <v>1202</v>
      </c>
      <c r="B388" s="37" t="s">
        <v>1203</v>
      </c>
      <c r="C388" s="37" t="s">
        <v>1204</v>
      </c>
      <c r="D388" s="37" t="s">
        <v>71</v>
      </c>
    </row>
    <row r="389" spans="1:4" x14ac:dyDescent="0.25">
      <c r="A389" s="37" t="s">
        <v>1205</v>
      </c>
      <c r="B389" s="37" t="s">
        <v>1206</v>
      </c>
      <c r="C389" s="37" t="s">
        <v>780</v>
      </c>
      <c r="D389" s="37" t="s">
        <v>71</v>
      </c>
    </row>
    <row r="390" spans="1:4" x14ac:dyDescent="0.25">
      <c r="A390" s="37" t="s">
        <v>1207</v>
      </c>
      <c r="B390" s="37" t="s">
        <v>607</v>
      </c>
      <c r="C390" s="37" t="s">
        <v>1208</v>
      </c>
      <c r="D390" s="37" t="s">
        <v>71</v>
      </c>
    </row>
    <row r="391" spans="1:4" x14ac:dyDescent="0.25">
      <c r="A391" s="37" t="s">
        <v>1209</v>
      </c>
      <c r="B391" s="37" t="s">
        <v>1210</v>
      </c>
      <c r="C391" s="37" t="s">
        <v>1211</v>
      </c>
      <c r="D391" s="37" t="s">
        <v>71</v>
      </c>
    </row>
    <row r="392" spans="1:4" x14ac:dyDescent="0.25">
      <c r="A392" s="37" t="s">
        <v>1212</v>
      </c>
      <c r="B392" s="37" t="s">
        <v>3159</v>
      </c>
      <c r="C392" s="37" t="s">
        <v>3160</v>
      </c>
      <c r="D392" s="37" t="s">
        <v>71</v>
      </c>
    </row>
    <row r="393" spans="1:4" x14ac:dyDescent="0.25">
      <c r="A393" s="37" t="s">
        <v>1213</v>
      </c>
      <c r="B393" s="37" t="s">
        <v>301</v>
      </c>
      <c r="C393" s="37" t="s">
        <v>1214</v>
      </c>
      <c r="D393" s="37" t="s">
        <v>71</v>
      </c>
    </row>
    <row r="394" spans="1:4" x14ac:dyDescent="0.25">
      <c r="A394" s="37" t="s">
        <v>1215</v>
      </c>
      <c r="B394" s="37" t="s">
        <v>1216</v>
      </c>
      <c r="C394" s="37" t="s">
        <v>492</v>
      </c>
      <c r="D394" s="37" t="s">
        <v>71</v>
      </c>
    </row>
    <row r="395" spans="1:4" x14ac:dyDescent="0.25">
      <c r="A395" s="37" t="s">
        <v>1217</v>
      </c>
      <c r="B395" s="37" t="s">
        <v>926</v>
      </c>
      <c r="C395" s="37" t="s">
        <v>1218</v>
      </c>
      <c r="D395" s="37" t="s">
        <v>71</v>
      </c>
    </row>
    <row r="396" spans="1:4" x14ac:dyDescent="0.25">
      <c r="A396" s="37" t="s">
        <v>1219</v>
      </c>
      <c r="B396" s="37" t="s">
        <v>1220</v>
      </c>
      <c r="C396" s="37" t="s">
        <v>1221</v>
      </c>
      <c r="D396" s="37" t="s">
        <v>71</v>
      </c>
    </row>
    <row r="397" spans="1:4" x14ac:dyDescent="0.25">
      <c r="A397" s="37" t="s">
        <v>1222</v>
      </c>
      <c r="B397" s="37" t="s">
        <v>1223</v>
      </c>
      <c r="C397" s="37" t="s">
        <v>1224</v>
      </c>
      <c r="D397" s="37" t="s">
        <v>71</v>
      </c>
    </row>
    <row r="398" spans="1:4" x14ac:dyDescent="0.25">
      <c r="A398" s="37" t="s">
        <v>1225</v>
      </c>
      <c r="B398" s="37" t="s">
        <v>1226</v>
      </c>
      <c r="C398" s="37" t="s">
        <v>1208</v>
      </c>
      <c r="D398" s="37" t="s">
        <v>71</v>
      </c>
    </row>
    <row r="399" spans="1:4" x14ac:dyDescent="0.25">
      <c r="A399" s="37" t="s">
        <v>1227</v>
      </c>
      <c r="B399" s="37" t="s">
        <v>1228</v>
      </c>
      <c r="C399" s="37" t="s">
        <v>1229</v>
      </c>
      <c r="D399" s="37" t="s">
        <v>71</v>
      </c>
    </row>
    <row r="400" spans="1:4" x14ac:dyDescent="0.25">
      <c r="A400" s="37" t="s">
        <v>1230</v>
      </c>
      <c r="B400" s="37" t="s">
        <v>1231</v>
      </c>
      <c r="C400" s="37" t="s">
        <v>496</v>
      </c>
      <c r="D400" s="37" t="s">
        <v>71</v>
      </c>
    </row>
    <row r="401" spans="1:4" x14ac:dyDescent="0.25">
      <c r="A401" s="37" t="s">
        <v>1232</v>
      </c>
      <c r="B401" s="37" t="s">
        <v>1233</v>
      </c>
      <c r="C401" s="37" t="s">
        <v>1234</v>
      </c>
      <c r="D401" s="37" t="s">
        <v>71</v>
      </c>
    </row>
    <row r="402" spans="1:4" x14ac:dyDescent="0.25">
      <c r="A402" s="37" t="s">
        <v>1235</v>
      </c>
      <c r="B402" s="37" t="s">
        <v>521</v>
      </c>
      <c r="C402" s="37" t="s">
        <v>1236</v>
      </c>
      <c r="D402" s="37" t="s">
        <v>71</v>
      </c>
    </row>
    <row r="403" spans="1:4" x14ac:dyDescent="0.25">
      <c r="A403" s="37" t="s">
        <v>1237</v>
      </c>
      <c r="B403" s="37" t="s">
        <v>1238</v>
      </c>
      <c r="C403" s="37" t="s">
        <v>1239</v>
      </c>
      <c r="D403" s="37" t="s">
        <v>71</v>
      </c>
    </row>
    <row r="404" spans="1:4" x14ac:dyDescent="0.25">
      <c r="A404" s="37" t="s">
        <v>1240</v>
      </c>
      <c r="B404" s="37" t="s">
        <v>1241</v>
      </c>
      <c r="C404" s="37" t="s">
        <v>1242</v>
      </c>
      <c r="D404" s="37" t="s">
        <v>71</v>
      </c>
    </row>
    <row r="405" spans="1:4" x14ac:dyDescent="0.25">
      <c r="A405" s="37" t="s">
        <v>1243</v>
      </c>
      <c r="B405" s="37" t="s">
        <v>1244</v>
      </c>
      <c r="C405" s="37" t="s">
        <v>329</v>
      </c>
      <c r="D405" s="37" t="s">
        <v>71</v>
      </c>
    </row>
    <row r="406" spans="1:4" x14ac:dyDescent="0.25">
      <c r="A406" s="37" t="s">
        <v>1245</v>
      </c>
      <c r="B406" s="37" t="s">
        <v>1246</v>
      </c>
      <c r="C406" s="37" t="s">
        <v>1247</v>
      </c>
      <c r="D406" s="37" t="s">
        <v>71</v>
      </c>
    </row>
    <row r="407" spans="1:4" x14ac:dyDescent="0.25">
      <c r="A407" s="37" t="s">
        <v>1248</v>
      </c>
      <c r="B407" s="37" t="s">
        <v>1249</v>
      </c>
      <c r="C407" s="37" t="s">
        <v>1250</v>
      </c>
      <c r="D407" s="37" t="s">
        <v>71</v>
      </c>
    </row>
    <row r="408" spans="1:4" x14ac:dyDescent="0.25">
      <c r="A408" s="37" t="s">
        <v>1251</v>
      </c>
      <c r="B408" s="37" t="s">
        <v>1026</v>
      </c>
      <c r="C408" s="37" t="s">
        <v>1252</v>
      </c>
      <c r="D408" s="37" t="s">
        <v>71</v>
      </c>
    </row>
    <row r="409" spans="1:4" x14ac:dyDescent="0.25">
      <c r="A409" s="37" t="s">
        <v>1253</v>
      </c>
      <c r="B409" s="37" t="s">
        <v>1074</v>
      </c>
      <c r="C409" s="37" t="s">
        <v>503</v>
      </c>
      <c r="D409" s="37" t="s">
        <v>71</v>
      </c>
    </row>
    <row r="410" spans="1:4" x14ac:dyDescent="0.25">
      <c r="A410" s="37" t="s">
        <v>397</v>
      </c>
      <c r="B410" s="37" t="s">
        <v>396</v>
      </c>
      <c r="C410" s="37" t="s">
        <v>1254</v>
      </c>
      <c r="D410" s="37" t="s">
        <v>71</v>
      </c>
    </row>
    <row r="411" spans="1:4" x14ac:dyDescent="0.25">
      <c r="A411" s="37" t="s">
        <v>1255</v>
      </c>
      <c r="B411" s="37" t="s">
        <v>1256</v>
      </c>
      <c r="C411" s="37" t="s">
        <v>329</v>
      </c>
      <c r="D411" s="37" t="s">
        <v>71</v>
      </c>
    </row>
    <row r="412" spans="1:4" x14ac:dyDescent="0.25">
      <c r="A412" s="37" t="s">
        <v>1257</v>
      </c>
      <c r="B412" s="37" t="s">
        <v>1258</v>
      </c>
      <c r="C412" s="37" t="s">
        <v>219</v>
      </c>
      <c r="D412" s="37" t="s">
        <v>71</v>
      </c>
    </row>
    <row r="413" spans="1:4" x14ac:dyDescent="0.25">
      <c r="A413" s="37" t="s">
        <v>1259</v>
      </c>
      <c r="B413" s="37" t="s">
        <v>1260</v>
      </c>
      <c r="C413" s="37" t="s">
        <v>1261</v>
      </c>
      <c r="D413" s="37" t="s">
        <v>71</v>
      </c>
    </row>
    <row r="414" spans="1:4" x14ac:dyDescent="0.25">
      <c r="A414" s="37" t="s">
        <v>1262</v>
      </c>
      <c r="B414" s="37" t="s">
        <v>1263</v>
      </c>
      <c r="C414" s="37" t="s">
        <v>426</v>
      </c>
      <c r="D414" s="37" t="s">
        <v>71</v>
      </c>
    </row>
    <row r="415" spans="1:4" x14ac:dyDescent="0.25">
      <c r="A415" s="37" t="s">
        <v>1264</v>
      </c>
      <c r="B415" s="37" t="s">
        <v>1265</v>
      </c>
      <c r="C415" s="37" t="s">
        <v>1266</v>
      </c>
      <c r="D415" s="37" t="s">
        <v>71</v>
      </c>
    </row>
    <row r="416" spans="1:4" x14ac:dyDescent="0.25">
      <c r="A416" s="37" t="s">
        <v>1267</v>
      </c>
      <c r="B416" s="37" t="s">
        <v>1268</v>
      </c>
      <c r="C416" s="37" t="s">
        <v>219</v>
      </c>
      <c r="D416" s="37" t="s">
        <v>71</v>
      </c>
    </row>
    <row r="417" spans="1:4" x14ac:dyDescent="0.25">
      <c r="A417" s="37" t="s">
        <v>1269</v>
      </c>
      <c r="B417" s="37" t="s">
        <v>907</v>
      </c>
      <c r="C417" s="37" t="s">
        <v>645</v>
      </c>
      <c r="D417" s="37" t="s">
        <v>71</v>
      </c>
    </row>
    <row r="418" spans="1:4" x14ac:dyDescent="0.25">
      <c r="A418" s="37" t="s">
        <v>1270</v>
      </c>
      <c r="B418" s="37" t="s">
        <v>1271</v>
      </c>
      <c r="C418" s="37" t="s">
        <v>492</v>
      </c>
      <c r="D418" s="37" t="s">
        <v>71</v>
      </c>
    </row>
    <row r="419" spans="1:4" x14ac:dyDescent="0.25">
      <c r="A419" s="37" t="s">
        <v>1272</v>
      </c>
      <c r="B419" s="37" t="s">
        <v>1273</v>
      </c>
      <c r="C419" s="37" t="s">
        <v>1274</v>
      </c>
      <c r="D419" s="37" t="s">
        <v>71</v>
      </c>
    </row>
    <row r="420" spans="1:4" x14ac:dyDescent="0.25">
      <c r="A420" s="37" t="s">
        <v>1275</v>
      </c>
      <c r="B420" s="37" t="s">
        <v>1276</v>
      </c>
      <c r="C420" s="37" t="s">
        <v>1277</v>
      </c>
      <c r="D420" s="37" t="s">
        <v>71</v>
      </c>
    </row>
    <row r="421" spans="1:4" x14ac:dyDescent="0.25">
      <c r="A421" s="37" t="s">
        <v>1278</v>
      </c>
      <c r="B421" s="37" t="s">
        <v>1279</v>
      </c>
      <c r="C421" s="37" t="s">
        <v>1057</v>
      </c>
      <c r="D421" s="37" t="s">
        <v>71</v>
      </c>
    </row>
    <row r="422" spans="1:4" x14ac:dyDescent="0.25">
      <c r="A422" s="37" t="s">
        <v>1280</v>
      </c>
      <c r="B422" s="37" t="s">
        <v>491</v>
      </c>
      <c r="C422" s="37" t="s">
        <v>531</v>
      </c>
      <c r="D422" s="37" t="s">
        <v>71</v>
      </c>
    </row>
    <row r="423" spans="1:4" x14ac:dyDescent="0.25">
      <c r="A423" s="37" t="s">
        <v>1281</v>
      </c>
      <c r="B423" s="37" t="s">
        <v>1282</v>
      </c>
      <c r="C423" s="37" t="s">
        <v>1283</v>
      </c>
      <c r="D423" s="37" t="s">
        <v>71</v>
      </c>
    </row>
    <row r="424" spans="1:4" x14ac:dyDescent="0.25">
      <c r="A424" s="37" t="s">
        <v>1284</v>
      </c>
      <c r="B424" s="37" t="s">
        <v>1285</v>
      </c>
      <c r="C424" s="37" t="s">
        <v>1286</v>
      </c>
      <c r="D424" s="37" t="s">
        <v>71</v>
      </c>
    </row>
    <row r="425" spans="1:4" x14ac:dyDescent="0.25">
      <c r="A425" s="37" t="s">
        <v>1287</v>
      </c>
      <c r="B425" s="37" t="s">
        <v>1288</v>
      </c>
      <c r="C425" s="37" t="s">
        <v>242</v>
      </c>
      <c r="D425" s="37" t="s">
        <v>71</v>
      </c>
    </row>
    <row r="426" spans="1:4" x14ac:dyDescent="0.25">
      <c r="A426" s="37" t="s">
        <v>258</v>
      </c>
      <c r="B426" s="37" t="s">
        <v>256</v>
      </c>
      <c r="C426" s="37" t="s">
        <v>257</v>
      </c>
      <c r="D426" s="37" t="s">
        <v>71</v>
      </c>
    </row>
    <row r="427" spans="1:4" x14ac:dyDescent="0.25">
      <c r="A427" s="37" t="s">
        <v>1289</v>
      </c>
      <c r="B427" s="37" t="s">
        <v>1290</v>
      </c>
      <c r="C427" s="37" t="s">
        <v>1291</v>
      </c>
      <c r="D427" s="37" t="s">
        <v>71</v>
      </c>
    </row>
    <row r="428" spans="1:4" x14ac:dyDescent="0.25">
      <c r="A428" s="37" t="s">
        <v>1292</v>
      </c>
      <c r="B428" s="37" t="s">
        <v>1293</v>
      </c>
      <c r="C428" s="37" t="s">
        <v>412</v>
      </c>
      <c r="D428" s="37" t="s">
        <v>71</v>
      </c>
    </row>
    <row r="429" spans="1:4" x14ac:dyDescent="0.25">
      <c r="A429" s="37" t="s">
        <v>1294</v>
      </c>
      <c r="B429" s="37" t="s">
        <v>1295</v>
      </c>
      <c r="C429" s="37" t="s">
        <v>219</v>
      </c>
      <c r="D429" s="37" t="s">
        <v>71</v>
      </c>
    </row>
    <row r="430" spans="1:4" x14ac:dyDescent="0.25">
      <c r="A430" s="37" t="s">
        <v>1296</v>
      </c>
      <c r="B430" s="37" t="s">
        <v>1297</v>
      </c>
      <c r="C430" s="37" t="s">
        <v>143</v>
      </c>
      <c r="D430" s="37" t="s">
        <v>71</v>
      </c>
    </row>
    <row r="431" spans="1:4" x14ac:dyDescent="0.25">
      <c r="A431" s="37" t="s">
        <v>1298</v>
      </c>
      <c r="B431" s="37" t="s">
        <v>1299</v>
      </c>
      <c r="C431" s="37" t="s">
        <v>1300</v>
      </c>
      <c r="D431" s="37" t="s">
        <v>71</v>
      </c>
    </row>
    <row r="432" spans="1:4" x14ac:dyDescent="0.25">
      <c r="A432" s="37" t="s">
        <v>1301</v>
      </c>
      <c r="B432" s="37" t="s">
        <v>1302</v>
      </c>
      <c r="C432" s="37" t="s">
        <v>807</v>
      </c>
      <c r="D432" s="37" t="s">
        <v>71</v>
      </c>
    </row>
    <row r="433" spans="1:4" x14ac:dyDescent="0.25">
      <c r="A433" s="37" t="s">
        <v>1303</v>
      </c>
      <c r="B433" s="37" t="s">
        <v>1304</v>
      </c>
      <c r="C433" s="37" t="s">
        <v>367</v>
      </c>
      <c r="D433" s="37" t="s">
        <v>71</v>
      </c>
    </row>
    <row r="434" spans="1:4" x14ac:dyDescent="0.25">
      <c r="A434" s="37" t="s">
        <v>1305</v>
      </c>
      <c r="B434" s="37" t="s">
        <v>1184</v>
      </c>
      <c r="C434" s="37" t="s">
        <v>1306</v>
      </c>
      <c r="D434" s="37" t="s">
        <v>71</v>
      </c>
    </row>
    <row r="435" spans="1:4" x14ac:dyDescent="0.25">
      <c r="A435" s="37" t="s">
        <v>1307</v>
      </c>
      <c r="B435" s="37" t="s">
        <v>1308</v>
      </c>
      <c r="C435" s="37" t="s">
        <v>316</v>
      </c>
      <c r="D435" s="37" t="s">
        <v>71</v>
      </c>
    </row>
    <row r="436" spans="1:4" x14ac:dyDescent="0.25">
      <c r="A436" s="37" t="s">
        <v>1309</v>
      </c>
      <c r="B436" s="37" t="s">
        <v>1310</v>
      </c>
      <c r="C436" s="37" t="s">
        <v>1311</v>
      </c>
      <c r="D436" s="37" t="s">
        <v>71</v>
      </c>
    </row>
    <row r="437" spans="1:4" x14ac:dyDescent="0.25">
      <c r="A437" s="37" t="s">
        <v>1312</v>
      </c>
      <c r="B437" s="37" t="s">
        <v>3066</v>
      </c>
      <c r="C437" s="37" t="s">
        <v>3067</v>
      </c>
      <c r="D437" s="37" t="s">
        <v>71</v>
      </c>
    </row>
    <row r="438" spans="1:4" x14ac:dyDescent="0.25">
      <c r="A438" s="37" t="s">
        <v>1315</v>
      </c>
      <c r="B438" s="37" t="s">
        <v>1316</v>
      </c>
      <c r="C438" s="37" t="s">
        <v>1317</v>
      </c>
      <c r="D438" s="37" t="s">
        <v>71</v>
      </c>
    </row>
    <row r="439" spans="1:4" x14ac:dyDescent="0.25">
      <c r="A439" s="37" t="s">
        <v>1318</v>
      </c>
      <c r="B439" s="37" t="s">
        <v>1319</v>
      </c>
      <c r="C439" s="37" t="s">
        <v>807</v>
      </c>
      <c r="D439" s="37" t="s">
        <v>71</v>
      </c>
    </row>
    <row r="440" spans="1:4" x14ac:dyDescent="0.25">
      <c r="A440" s="37" t="s">
        <v>1320</v>
      </c>
      <c r="B440" s="37" t="s">
        <v>1321</v>
      </c>
      <c r="C440" s="37" t="s">
        <v>481</v>
      </c>
      <c r="D440" s="37" t="s">
        <v>71</v>
      </c>
    </row>
    <row r="441" spans="1:4" x14ac:dyDescent="0.25">
      <c r="A441" s="37" t="s">
        <v>1322</v>
      </c>
      <c r="B441" s="37" t="s">
        <v>1323</v>
      </c>
      <c r="C441" s="37" t="s">
        <v>1029</v>
      </c>
      <c r="D441" s="37" t="s">
        <v>71</v>
      </c>
    </row>
    <row r="442" spans="1:4" x14ac:dyDescent="0.25">
      <c r="A442" s="37" t="s">
        <v>1324</v>
      </c>
      <c r="B442" s="37" t="s">
        <v>1325</v>
      </c>
      <c r="C442" s="37" t="s">
        <v>1326</v>
      </c>
      <c r="D442" s="37" t="s">
        <v>71</v>
      </c>
    </row>
    <row r="443" spans="1:4" x14ac:dyDescent="0.25">
      <c r="A443" s="37" t="s">
        <v>1327</v>
      </c>
      <c r="B443" s="37" t="s">
        <v>1328</v>
      </c>
      <c r="C443" s="37" t="s">
        <v>1329</v>
      </c>
      <c r="D443" s="37" t="s">
        <v>71</v>
      </c>
    </row>
    <row r="444" spans="1:4" x14ac:dyDescent="0.25">
      <c r="A444" s="37" t="s">
        <v>275</v>
      </c>
      <c r="B444" s="37" t="s">
        <v>1330</v>
      </c>
      <c r="C444" s="37" t="s">
        <v>274</v>
      </c>
      <c r="D444" s="37" t="s">
        <v>71</v>
      </c>
    </row>
    <row r="445" spans="1:4" x14ac:dyDescent="0.25">
      <c r="A445" s="37" t="s">
        <v>1331</v>
      </c>
      <c r="B445" s="37" t="s">
        <v>3198</v>
      </c>
      <c r="C445" s="37" t="s">
        <v>3199</v>
      </c>
      <c r="D445" s="37" t="s">
        <v>71</v>
      </c>
    </row>
    <row r="446" spans="1:4" x14ac:dyDescent="0.25">
      <c r="A446" s="37" t="s">
        <v>1332</v>
      </c>
      <c r="B446" s="37" t="s">
        <v>1333</v>
      </c>
      <c r="C446" s="37" t="s">
        <v>1022</v>
      </c>
      <c r="D446" s="37" t="s">
        <v>71</v>
      </c>
    </row>
    <row r="447" spans="1:4" x14ac:dyDescent="0.25">
      <c r="A447" s="37" t="s">
        <v>1334</v>
      </c>
      <c r="B447" s="37" t="s">
        <v>1335</v>
      </c>
      <c r="C447" s="37" t="s">
        <v>1087</v>
      </c>
      <c r="D447" s="37" t="s">
        <v>71</v>
      </c>
    </row>
    <row r="448" spans="1:4" x14ac:dyDescent="0.25">
      <c r="A448" s="37">
        <v>1006422</v>
      </c>
      <c r="B448" s="37" t="s">
        <v>216</v>
      </c>
      <c r="C448" s="37" t="s">
        <v>1336</v>
      </c>
      <c r="D448" s="37" t="s">
        <v>116</v>
      </c>
    </row>
    <row r="449" spans="1:4" x14ac:dyDescent="0.25">
      <c r="A449" s="37">
        <v>1055325</v>
      </c>
      <c r="B449" s="37" t="s">
        <v>1337</v>
      </c>
      <c r="C449" s="37" t="s">
        <v>3119</v>
      </c>
      <c r="D449" s="37" t="s">
        <v>116</v>
      </c>
    </row>
    <row r="450" spans="1:4" x14ac:dyDescent="0.25">
      <c r="A450" s="37">
        <v>1172089</v>
      </c>
      <c r="B450" s="37" t="s">
        <v>1338</v>
      </c>
      <c r="C450" s="37" t="s">
        <v>1339</v>
      </c>
      <c r="D450" s="37" t="s">
        <v>116</v>
      </c>
    </row>
    <row r="451" spans="1:4" x14ac:dyDescent="0.25">
      <c r="A451" s="37">
        <v>1265949</v>
      </c>
      <c r="B451" s="37" t="s">
        <v>1316</v>
      </c>
      <c r="C451" s="37" t="s">
        <v>1340</v>
      </c>
      <c r="D451" s="37" t="s">
        <v>116</v>
      </c>
    </row>
    <row r="452" spans="1:4" x14ac:dyDescent="0.25">
      <c r="A452" s="37">
        <v>1278740</v>
      </c>
      <c r="B452" s="37" t="s">
        <v>1341</v>
      </c>
      <c r="C452" s="37" t="s">
        <v>492</v>
      </c>
      <c r="D452" s="37" t="s">
        <v>116</v>
      </c>
    </row>
    <row r="453" spans="1:4" x14ac:dyDescent="0.25">
      <c r="A453" s="37">
        <v>1692111</v>
      </c>
      <c r="B453" s="37" t="s">
        <v>1342</v>
      </c>
      <c r="C453" s="37" t="s">
        <v>1343</v>
      </c>
      <c r="D453" s="37" t="s">
        <v>116</v>
      </c>
    </row>
    <row r="454" spans="1:4" x14ac:dyDescent="0.25">
      <c r="A454" s="37">
        <v>1702610</v>
      </c>
      <c r="B454" s="37" t="s">
        <v>1344</v>
      </c>
      <c r="C454" s="37" t="s">
        <v>1252</v>
      </c>
      <c r="D454" s="37" t="s">
        <v>116</v>
      </c>
    </row>
    <row r="455" spans="1:4" x14ac:dyDescent="0.25">
      <c r="A455" s="37">
        <v>1717228</v>
      </c>
      <c r="B455" s="37" t="s">
        <v>1316</v>
      </c>
      <c r="C455" s="37" t="s">
        <v>1345</v>
      </c>
      <c r="D455" s="37" t="s">
        <v>116</v>
      </c>
    </row>
    <row r="456" spans="1:4" x14ac:dyDescent="0.25">
      <c r="A456" s="37">
        <v>1756574</v>
      </c>
      <c r="B456" s="37" t="s">
        <v>1346</v>
      </c>
      <c r="C456" s="37" t="s">
        <v>1347</v>
      </c>
      <c r="D456" s="37" t="s">
        <v>116</v>
      </c>
    </row>
    <row r="457" spans="1:4" x14ac:dyDescent="0.25">
      <c r="A457" s="37">
        <v>1955738</v>
      </c>
      <c r="B457" s="37" t="s">
        <v>1348</v>
      </c>
      <c r="C457" s="37" t="s">
        <v>1349</v>
      </c>
      <c r="D457" s="37" t="s">
        <v>116</v>
      </c>
    </row>
    <row r="458" spans="1:4" x14ac:dyDescent="0.25">
      <c r="A458" s="37">
        <v>1995578</v>
      </c>
      <c r="B458" s="37" t="s">
        <v>1350</v>
      </c>
      <c r="C458" s="37" t="s">
        <v>133</v>
      </c>
      <c r="D458" s="37" t="s">
        <v>116</v>
      </c>
    </row>
    <row r="459" spans="1:4" x14ac:dyDescent="0.25">
      <c r="A459" s="37">
        <v>2022014</v>
      </c>
      <c r="B459" s="37" t="s">
        <v>3036</v>
      </c>
      <c r="C459" s="37" t="s">
        <v>962</v>
      </c>
      <c r="D459" s="37" t="s">
        <v>116</v>
      </c>
    </row>
    <row r="460" spans="1:4" x14ac:dyDescent="0.25">
      <c r="A460" s="37">
        <v>2024049</v>
      </c>
      <c r="B460" s="37" t="s">
        <v>773</v>
      </c>
      <c r="C460" s="37" t="s">
        <v>774</v>
      </c>
      <c r="D460" s="37" t="s">
        <v>116</v>
      </c>
    </row>
    <row r="461" spans="1:4" x14ac:dyDescent="0.25">
      <c r="A461" s="37">
        <v>2096212</v>
      </c>
      <c r="B461" s="37" t="s">
        <v>1352</v>
      </c>
      <c r="C461" s="37" t="s">
        <v>219</v>
      </c>
      <c r="D461" s="37" t="s">
        <v>116</v>
      </c>
    </row>
    <row r="462" spans="1:4" x14ac:dyDescent="0.25">
      <c r="A462" s="37">
        <v>2117103</v>
      </c>
      <c r="B462" s="37" t="s">
        <v>889</v>
      </c>
      <c r="C462" s="37" t="s">
        <v>1353</v>
      </c>
      <c r="D462" s="37" t="s">
        <v>116</v>
      </c>
    </row>
    <row r="463" spans="1:4" x14ac:dyDescent="0.25">
      <c r="A463" s="37">
        <v>2119003</v>
      </c>
      <c r="B463" s="37" t="s">
        <v>1354</v>
      </c>
      <c r="C463" s="37" t="s">
        <v>1355</v>
      </c>
      <c r="D463" s="37" t="s">
        <v>116</v>
      </c>
    </row>
    <row r="464" spans="1:4" x14ac:dyDescent="0.25">
      <c r="A464" s="37">
        <v>2164157</v>
      </c>
      <c r="B464" s="37" t="s">
        <v>638</v>
      </c>
      <c r="C464" s="37" t="s">
        <v>1356</v>
      </c>
      <c r="D464" s="37" t="s">
        <v>116</v>
      </c>
    </row>
    <row r="465" spans="1:4" x14ac:dyDescent="0.25">
      <c r="A465" s="37">
        <v>2168761</v>
      </c>
      <c r="B465" s="37" t="s">
        <v>3065</v>
      </c>
      <c r="C465" s="37" t="s">
        <v>238</v>
      </c>
      <c r="D465" s="37" t="s">
        <v>116</v>
      </c>
    </row>
    <row r="466" spans="1:4" x14ac:dyDescent="0.25">
      <c r="A466" s="37">
        <v>2296968</v>
      </c>
      <c r="B466" s="37" t="s">
        <v>333</v>
      </c>
      <c r="C466" s="37" t="s">
        <v>157</v>
      </c>
      <c r="D466" s="37" t="s">
        <v>116</v>
      </c>
    </row>
    <row r="467" spans="1:4" x14ac:dyDescent="0.25">
      <c r="A467" s="37">
        <v>2515863</v>
      </c>
      <c r="B467" s="37" t="s">
        <v>1358</v>
      </c>
      <c r="C467" s="37" t="s">
        <v>242</v>
      </c>
      <c r="D467" s="37" t="s">
        <v>116</v>
      </c>
    </row>
    <row r="468" spans="1:4" x14ac:dyDescent="0.25">
      <c r="A468" s="37">
        <v>2555492</v>
      </c>
      <c r="B468" s="37" t="s">
        <v>1359</v>
      </c>
      <c r="C468" s="37" t="s">
        <v>1360</v>
      </c>
      <c r="D468" s="37" t="s">
        <v>116</v>
      </c>
    </row>
    <row r="469" spans="1:4" x14ac:dyDescent="0.25">
      <c r="A469" s="37">
        <v>2705044</v>
      </c>
      <c r="B469" s="37" t="s">
        <v>1361</v>
      </c>
      <c r="C469" s="37" t="s">
        <v>1362</v>
      </c>
      <c r="D469" s="37" t="s">
        <v>116</v>
      </c>
    </row>
    <row r="470" spans="1:4" x14ac:dyDescent="0.25">
      <c r="A470" s="37">
        <v>2753952</v>
      </c>
      <c r="B470" s="37" t="s">
        <v>1363</v>
      </c>
      <c r="C470" s="37" t="s">
        <v>329</v>
      </c>
      <c r="D470" s="37" t="s">
        <v>116</v>
      </c>
    </row>
    <row r="471" spans="1:4" x14ac:dyDescent="0.25">
      <c r="A471" s="37">
        <v>2862945</v>
      </c>
      <c r="B471" s="37" t="s">
        <v>1364</v>
      </c>
      <c r="C471" s="37" t="s">
        <v>481</v>
      </c>
      <c r="D471" s="37" t="s">
        <v>116</v>
      </c>
    </row>
    <row r="472" spans="1:4" x14ac:dyDescent="0.25">
      <c r="A472" s="37">
        <v>3012778</v>
      </c>
      <c r="B472" s="37" t="s">
        <v>3105</v>
      </c>
      <c r="C472" s="37" t="s">
        <v>316</v>
      </c>
      <c r="D472" s="37" t="s">
        <v>116</v>
      </c>
    </row>
    <row r="473" spans="1:4" x14ac:dyDescent="0.25">
      <c r="A473" s="37">
        <v>3135937</v>
      </c>
      <c r="B473" s="37" t="s">
        <v>1366</v>
      </c>
      <c r="C473" s="37" t="s">
        <v>1367</v>
      </c>
      <c r="D473" s="37" t="s">
        <v>116</v>
      </c>
    </row>
    <row r="474" spans="1:4" x14ac:dyDescent="0.25">
      <c r="A474" s="37">
        <v>3168863</v>
      </c>
      <c r="B474" s="37" t="s">
        <v>1368</v>
      </c>
      <c r="C474" s="37" t="s">
        <v>618</v>
      </c>
      <c r="D474" s="37" t="s">
        <v>116</v>
      </c>
    </row>
    <row r="475" spans="1:4" x14ac:dyDescent="0.25">
      <c r="A475" s="37">
        <v>3349577</v>
      </c>
      <c r="B475" s="37" t="s">
        <v>1171</v>
      </c>
      <c r="C475" s="37" t="s">
        <v>1369</v>
      </c>
      <c r="D475" s="37" t="s">
        <v>116</v>
      </c>
    </row>
    <row r="476" spans="1:4" x14ac:dyDescent="0.25">
      <c r="A476" s="37">
        <v>3479018</v>
      </c>
      <c r="B476" s="37" t="s">
        <v>1370</v>
      </c>
      <c r="C476" s="37" t="s">
        <v>1371</v>
      </c>
      <c r="D476" s="37" t="s">
        <v>116</v>
      </c>
    </row>
    <row r="477" spans="1:4" x14ac:dyDescent="0.25">
      <c r="A477" s="37">
        <v>3518471</v>
      </c>
      <c r="B477" s="37" t="s">
        <v>1372</v>
      </c>
      <c r="C477" s="37" t="s">
        <v>1373</v>
      </c>
      <c r="D477" s="37" t="s">
        <v>116</v>
      </c>
    </row>
    <row r="478" spans="1:4" x14ac:dyDescent="0.25">
      <c r="A478" s="37">
        <v>3568384</v>
      </c>
      <c r="B478" s="37" t="s">
        <v>1364</v>
      </c>
      <c r="C478" s="37" t="s">
        <v>1374</v>
      </c>
      <c r="D478" s="37" t="s">
        <v>116</v>
      </c>
    </row>
    <row r="479" spans="1:4" x14ac:dyDescent="0.25">
      <c r="A479" s="37">
        <v>3746956</v>
      </c>
      <c r="B479" s="37" t="s">
        <v>1375</v>
      </c>
      <c r="C479" s="37" t="s">
        <v>1048</v>
      </c>
      <c r="D479" s="37" t="s">
        <v>116</v>
      </c>
    </row>
    <row r="480" spans="1:4" x14ac:dyDescent="0.25">
      <c r="A480" s="37">
        <v>3772403</v>
      </c>
      <c r="B480" s="37" t="s">
        <v>1376</v>
      </c>
      <c r="C480" s="37" t="s">
        <v>1377</v>
      </c>
      <c r="D480" s="37" t="s">
        <v>116</v>
      </c>
    </row>
    <row r="481" spans="1:4" x14ac:dyDescent="0.25">
      <c r="A481" s="37">
        <v>3776445</v>
      </c>
      <c r="B481" s="37" t="s">
        <v>3209</v>
      </c>
      <c r="C481" s="37" t="s">
        <v>1675</v>
      </c>
      <c r="D481" s="37" t="s">
        <v>116</v>
      </c>
    </row>
    <row r="482" spans="1:4" x14ac:dyDescent="0.25">
      <c r="A482" s="37">
        <v>3776446</v>
      </c>
      <c r="B482" s="37" t="s">
        <v>1378</v>
      </c>
      <c r="C482" s="37" t="s">
        <v>516</v>
      </c>
      <c r="D482" s="37" t="s">
        <v>116</v>
      </c>
    </row>
    <row r="483" spans="1:4" x14ac:dyDescent="0.25">
      <c r="A483" s="37">
        <v>3776447</v>
      </c>
      <c r="B483" s="37" t="s">
        <v>1378</v>
      </c>
      <c r="C483" s="37" t="s">
        <v>516</v>
      </c>
      <c r="D483" s="37" t="s">
        <v>116</v>
      </c>
    </row>
    <row r="484" spans="1:4" x14ac:dyDescent="0.25">
      <c r="A484" s="37">
        <v>3776448</v>
      </c>
      <c r="B484" s="37" t="s">
        <v>1378</v>
      </c>
      <c r="C484" s="37" t="s">
        <v>516</v>
      </c>
      <c r="D484" s="37" t="s">
        <v>116</v>
      </c>
    </row>
    <row r="485" spans="1:4" x14ac:dyDescent="0.25">
      <c r="A485" s="37">
        <v>3807910</v>
      </c>
      <c r="B485" s="37" t="s">
        <v>1379</v>
      </c>
      <c r="C485" s="37" t="s">
        <v>149</v>
      </c>
      <c r="D485" s="37" t="s">
        <v>116</v>
      </c>
    </row>
    <row r="486" spans="1:4" x14ac:dyDescent="0.25">
      <c r="A486" s="37">
        <v>3863755</v>
      </c>
      <c r="B486" s="37" t="s">
        <v>3185</v>
      </c>
      <c r="C486" s="37" t="s">
        <v>2592</v>
      </c>
      <c r="D486" s="37" t="s">
        <v>116</v>
      </c>
    </row>
    <row r="487" spans="1:4" x14ac:dyDescent="0.25">
      <c r="A487" s="37">
        <v>3894675</v>
      </c>
      <c r="B487" s="37" t="s">
        <v>1074</v>
      </c>
      <c r="C487" s="37" t="s">
        <v>1381</v>
      </c>
      <c r="D487" s="37" t="s">
        <v>116</v>
      </c>
    </row>
    <row r="488" spans="1:4" x14ac:dyDescent="0.25">
      <c r="A488" s="37">
        <v>3996449</v>
      </c>
      <c r="B488" s="37" t="s">
        <v>3183</v>
      </c>
      <c r="C488" s="37" t="s">
        <v>481</v>
      </c>
      <c r="D488" s="37" t="s">
        <v>116</v>
      </c>
    </row>
    <row r="489" spans="1:4" x14ac:dyDescent="0.25">
      <c r="A489" s="37">
        <v>4000955</v>
      </c>
      <c r="B489" s="37" t="s">
        <v>1382</v>
      </c>
      <c r="C489" s="37" t="s">
        <v>1383</v>
      </c>
      <c r="D489" s="37" t="s">
        <v>116</v>
      </c>
    </row>
    <row r="490" spans="1:4" x14ac:dyDescent="0.25">
      <c r="A490" s="37">
        <v>4459417</v>
      </c>
      <c r="B490" s="37" t="s">
        <v>1384</v>
      </c>
      <c r="C490" s="37" t="s">
        <v>479</v>
      </c>
      <c r="D490" s="37" t="s">
        <v>116</v>
      </c>
    </row>
    <row r="491" spans="1:4" x14ac:dyDescent="0.25">
      <c r="A491" s="37">
        <v>4503009</v>
      </c>
      <c r="B491" s="37" t="s">
        <v>1385</v>
      </c>
      <c r="C491" s="37" t="s">
        <v>633</v>
      </c>
      <c r="D491" s="37" t="s">
        <v>116</v>
      </c>
    </row>
    <row r="492" spans="1:4" x14ac:dyDescent="0.25">
      <c r="A492" s="37">
        <v>4578722</v>
      </c>
      <c r="B492" s="37" t="s">
        <v>1386</v>
      </c>
      <c r="C492" s="37" t="s">
        <v>666</v>
      </c>
      <c r="D492" s="37" t="s">
        <v>116</v>
      </c>
    </row>
    <row r="493" spans="1:4" x14ac:dyDescent="0.25">
      <c r="A493" s="37">
        <v>4611405</v>
      </c>
      <c r="B493" s="37" t="s">
        <v>272</v>
      </c>
      <c r="C493" s="37" t="s">
        <v>1387</v>
      </c>
      <c r="D493" s="37" t="s">
        <v>116</v>
      </c>
    </row>
    <row r="494" spans="1:4" x14ac:dyDescent="0.25">
      <c r="A494" s="37">
        <v>4611406</v>
      </c>
      <c r="B494" s="37" t="s">
        <v>272</v>
      </c>
      <c r="C494" s="37" t="s">
        <v>1387</v>
      </c>
      <c r="D494" s="37" t="s">
        <v>116</v>
      </c>
    </row>
    <row r="495" spans="1:4" x14ac:dyDescent="0.25">
      <c r="A495" s="37">
        <v>4765665</v>
      </c>
      <c r="B495" s="37" t="s">
        <v>1388</v>
      </c>
      <c r="C495" s="37" t="s">
        <v>242</v>
      </c>
      <c r="D495" s="37" t="s">
        <v>116</v>
      </c>
    </row>
    <row r="496" spans="1:4" x14ac:dyDescent="0.25">
      <c r="A496" s="37">
        <v>4836005</v>
      </c>
      <c r="B496" s="37" t="s">
        <v>1389</v>
      </c>
      <c r="C496" s="37" t="s">
        <v>1390</v>
      </c>
      <c r="D496" s="37" t="s">
        <v>116</v>
      </c>
    </row>
    <row r="497" spans="1:4" x14ac:dyDescent="0.25">
      <c r="A497" s="37">
        <v>4879741</v>
      </c>
      <c r="B497" s="37" t="s">
        <v>617</v>
      </c>
      <c r="C497" s="37" t="s">
        <v>481</v>
      </c>
      <c r="D497" s="37" t="s">
        <v>116</v>
      </c>
    </row>
    <row r="498" spans="1:4" x14ac:dyDescent="0.25">
      <c r="A498" s="37">
        <v>5005296</v>
      </c>
      <c r="B498" s="37" t="s">
        <v>1391</v>
      </c>
      <c r="C498" s="37" t="s">
        <v>1392</v>
      </c>
      <c r="D498" s="37" t="s">
        <v>116</v>
      </c>
    </row>
    <row r="499" spans="1:4" x14ac:dyDescent="0.25">
      <c r="A499" s="37">
        <v>5090257</v>
      </c>
      <c r="B499" s="37" t="s">
        <v>491</v>
      </c>
      <c r="C499" s="37" t="s">
        <v>1393</v>
      </c>
      <c r="D499" s="37" t="s">
        <v>116</v>
      </c>
    </row>
    <row r="500" spans="1:4" x14ac:dyDescent="0.25">
      <c r="A500" s="37">
        <v>5293763</v>
      </c>
      <c r="B500" s="37" t="s">
        <v>1319</v>
      </c>
      <c r="C500" s="37" t="s">
        <v>788</v>
      </c>
      <c r="D500" s="37" t="s">
        <v>116</v>
      </c>
    </row>
    <row r="501" spans="1:4" x14ac:dyDescent="0.25">
      <c r="A501" s="37">
        <v>5432251</v>
      </c>
      <c r="B501" s="37" t="s">
        <v>1394</v>
      </c>
      <c r="C501" s="37" t="s">
        <v>1395</v>
      </c>
      <c r="D501" s="37" t="s">
        <v>116</v>
      </c>
    </row>
    <row r="502" spans="1:4" x14ac:dyDescent="0.25">
      <c r="A502" s="37">
        <v>5508136</v>
      </c>
      <c r="B502" s="37" t="s">
        <v>1396</v>
      </c>
      <c r="C502" s="37" t="s">
        <v>1397</v>
      </c>
      <c r="D502" s="37" t="s">
        <v>116</v>
      </c>
    </row>
    <row r="503" spans="1:4" x14ac:dyDescent="0.25">
      <c r="A503" s="37">
        <v>5529217</v>
      </c>
      <c r="B503" s="37" t="s">
        <v>1398</v>
      </c>
      <c r="C503" s="37" t="s">
        <v>1399</v>
      </c>
      <c r="D503" s="37" t="s">
        <v>116</v>
      </c>
    </row>
    <row r="504" spans="1:4" x14ac:dyDescent="0.25">
      <c r="A504" s="37">
        <v>5552205</v>
      </c>
      <c r="B504" s="37" t="s">
        <v>1400</v>
      </c>
      <c r="C504" s="37" t="s">
        <v>686</v>
      </c>
      <c r="D504" s="37" t="s">
        <v>116</v>
      </c>
    </row>
    <row r="505" spans="1:4" x14ac:dyDescent="0.25">
      <c r="A505" s="37">
        <v>5559565</v>
      </c>
      <c r="B505" s="37" t="s">
        <v>1401</v>
      </c>
      <c r="C505" s="37" t="s">
        <v>1402</v>
      </c>
      <c r="D505" s="37" t="s">
        <v>116</v>
      </c>
    </row>
    <row r="506" spans="1:4" x14ac:dyDescent="0.25">
      <c r="A506" s="37">
        <v>5734231</v>
      </c>
      <c r="B506" s="37" t="s">
        <v>1403</v>
      </c>
      <c r="C506" s="37" t="s">
        <v>618</v>
      </c>
      <c r="D506" s="37" t="s">
        <v>116</v>
      </c>
    </row>
    <row r="507" spans="1:4" x14ac:dyDescent="0.25">
      <c r="A507" s="37">
        <v>6112551</v>
      </c>
      <c r="B507" s="37" t="s">
        <v>1404</v>
      </c>
      <c r="C507" s="37" t="s">
        <v>1405</v>
      </c>
      <c r="D507" s="37" t="s">
        <v>116</v>
      </c>
    </row>
    <row r="508" spans="1:4" x14ac:dyDescent="0.25">
      <c r="A508" s="37">
        <v>6132792</v>
      </c>
      <c r="B508" s="37" t="s">
        <v>1406</v>
      </c>
      <c r="C508" s="37" t="s">
        <v>673</v>
      </c>
      <c r="D508" s="37" t="s">
        <v>116</v>
      </c>
    </row>
    <row r="509" spans="1:4" x14ac:dyDescent="0.25">
      <c r="A509" s="37">
        <v>6168303</v>
      </c>
      <c r="B509" s="37" t="s">
        <v>3200</v>
      </c>
      <c r="C509" s="37" t="s">
        <v>1407</v>
      </c>
      <c r="D509" s="37" t="s">
        <v>116</v>
      </c>
    </row>
    <row r="510" spans="1:4" x14ac:dyDescent="0.25">
      <c r="A510" s="37">
        <v>6207343</v>
      </c>
      <c r="B510" s="37" t="s">
        <v>1408</v>
      </c>
      <c r="C510" s="37" t="s">
        <v>1409</v>
      </c>
      <c r="D510" s="37" t="s">
        <v>116</v>
      </c>
    </row>
    <row r="511" spans="1:4" x14ac:dyDescent="0.25">
      <c r="A511" s="37">
        <v>6255569</v>
      </c>
      <c r="B511" s="37" t="s">
        <v>3096</v>
      </c>
      <c r="C511" s="37" t="s">
        <v>3097</v>
      </c>
      <c r="D511" s="37" t="s">
        <v>116</v>
      </c>
    </row>
    <row r="512" spans="1:4" x14ac:dyDescent="0.25">
      <c r="A512" s="37">
        <v>6381720</v>
      </c>
      <c r="B512" s="37" t="s">
        <v>1410</v>
      </c>
      <c r="C512" s="37" t="s">
        <v>706</v>
      </c>
      <c r="D512" s="37" t="s">
        <v>116</v>
      </c>
    </row>
    <row r="513" spans="1:4" x14ac:dyDescent="0.25">
      <c r="A513" s="37">
        <v>6449981</v>
      </c>
      <c r="B513" s="37" t="s">
        <v>1411</v>
      </c>
      <c r="C513" s="37" t="s">
        <v>1250</v>
      </c>
      <c r="D513" s="37" t="s">
        <v>116</v>
      </c>
    </row>
    <row r="514" spans="1:4" x14ac:dyDescent="0.25">
      <c r="A514" s="37">
        <v>6468098</v>
      </c>
      <c r="B514" s="37" t="s">
        <v>1412</v>
      </c>
      <c r="C514" s="37" t="s">
        <v>1413</v>
      </c>
      <c r="D514" s="37" t="s">
        <v>116</v>
      </c>
    </row>
    <row r="515" spans="1:4" x14ac:dyDescent="0.25">
      <c r="A515" s="37">
        <v>6500560</v>
      </c>
      <c r="B515" s="37" t="s">
        <v>1385</v>
      </c>
      <c r="C515" s="37" t="s">
        <v>260</v>
      </c>
      <c r="D515" s="37" t="s">
        <v>116</v>
      </c>
    </row>
    <row r="516" spans="1:4" x14ac:dyDescent="0.25">
      <c r="A516" s="37">
        <v>6510809</v>
      </c>
      <c r="B516" s="37" t="s">
        <v>1414</v>
      </c>
      <c r="C516" s="37" t="s">
        <v>1415</v>
      </c>
      <c r="D516" s="37" t="s">
        <v>116</v>
      </c>
    </row>
    <row r="517" spans="1:4" x14ac:dyDescent="0.25">
      <c r="A517" s="37">
        <v>6567621</v>
      </c>
      <c r="B517" s="37" t="s">
        <v>1416</v>
      </c>
      <c r="C517" s="37" t="s">
        <v>1417</v>
      </c>
      <c r="D517" s="37" t="s">
        <v>116</v>
      </c>
    </row>
    <row r="518" spans="1:4" x14ac:dyDescent="0.25">
      <c r="A518" s="37">
        <v>6764030</v>
      </c>
      <c r="B518" s="37" t="s">
        <v>638</v>
      </c>
      <c r="C518" s="37" t="s">
        <v>1418</v>
      </c>
      <c r="D518" s="37" t="s">
        <v>116</v>
      </c>
    </row>
    <row r="519" spans="1:4" x14ac:dyDescent="0.25">
      <c r="A519" s="37">
        <v>6805214</v>
      </c>
      <c r="B519" s="37" t="s">
        <v>562</v>
      </c>
      <c r="C519" s="37" t="s">
        <v>563</v>
      </c>
      <c r="D519" s="37" t="s">
        <v>116</v>
      </c>
    </row>
    <row r="520" spans="1:4" x14ac:dyDescent="0.25">
      <c r="A520" s="37">
        <v>6853138</v>
      </c>
      <c r="B520" s="37" t="s">
        <v>1419</v>
      </c>
      <c r="C520" s="37" t="s">
        <v>1420</v>
      </c>
      <c r="D520" s="37" t="s">
        <v>116</v>
      </c>
    </row>
    <row r="521" spans="1:4" x14ac:dyDescent="0.25">
      <c r="A521" s="37">
        <v>7014851</v>
      </c>
      <c r="B521" s="37" t="s">
        <v>1071</v>
      </c>
      <c r="C521" s="37" t="s">
        <v>379</v>
      </c>
      <c r="D521" s="37" t="s">
        <v>116</v>
      </c>
    </row>
    <row r="522" spans="1:4" x14ac:dyDescent="0.25">
      <c r="A522" s="37">
        <v>7271750</v>
      </c>
      <c r="B522" s="37" t="s">
        <v>1421</v>
      </c>
      <c r="C522" s="37" t="s">
        <v>200</v>
      </c>
      <c r="D522" s="37" t="s">
        <v>116</v>
      </c>
    </row>
    <row r="523" spans="1:4" x14ac:dyDescent="0.25">
      <c r="A523" s="37">
        <v>7274803</v>
      </c>
      <c r="B523" s="37" t="s">
        <v>584</v>
      </c>
      <c r="C523" s="37" t="s">
        <v>139</v>
      </c>
      <c r="D523" s="37" t="s">
        <v>116</v>
      </c>
    </row>
    <row r="524" spans="1:4" x14ac:dyDescent="0.25">
      <c r="A524" s="37">
        <v>7396196</v>
      </c>
      <c r="B524" s="37" t="s">
        <v>653</v>
      </c>
      <c r="C524" s="37" t="s">
        <v>405</v>
      </c>
      <c r="D524" s="37" t="s">
        <v>116</v>
      </c>
    </row>
    <row r="525" spans="1:4" x14ac:dyDescent="0.25">
      <c r="A525" s="37">
        <v>7687041</v>
      </c>
      <c r="B525" s="37" t="s">
        <v>1422</v>
      </c>
      <c r="C525" s="37" t="s">
        <v>157</v>
      </c>
      <c r="D525" s="37" t="s">
        <v>116</v>
      </c>
    </row>
    <row r="526" spans="1:4" x14ac:dyDescent="0.25">
      <c r="A526" s="37">
        <v>7719390</v>
      </c>
      <c r="B526" s="37" t="s">
        <v>527</v>
      </c>
      <c r="C526" s="37" t="s">
        <v>1423</v>
      </c>
      <c r="D526" s="37" t="s">
        <v>116</v>
      </c>
    </row>
    <row r="527" spans="1:4" x14ac:dyDescent="0.25">
      <c r="A527" s="37">
        <v>7811175</v>
      </c>
      <c r="B527" s="37" t="s">
        <v>578</v>
      </c>
      <c r="C527" s="37" t="s">
        <v>1424</v>
      </c>
      <c r="D527" s="37" t="s">
        <v>116</v>
      </c>
    </row>
    <row r="528" spans="1:4" x14ac:dyDescent="0.25">
      <c r="A528" s="37">
        <v>7939434</v>
      </c>
      <c r="B528" s="37" t="s">
        <v>1354</v>
      </c>
      <c r="C528" s="37" t="s">
        <v>1425</v>
      </c>
      <c r="D528" s="37" t="s">
        <v>116</v>
      </c>
    </row>
    <row r="529" spans="1:4" x14ac:dyDescent="0.25">
      <c r="A529" s="37">
        <v>8200582</v>
      </c>
      <c r="B529" s="37" t="s">
        <v>1426</v>
      </c>
      <c r="C529" s="37" t="s">
        <v>788</v>
      </c>
      <c r="D529" s="37" t="s">
        <v>116</v>
      </c>
    </row>
    <row r="530" spans="1:4" x14ac:dyDescent="0.25">
      <c r="A530" s="37">
        <v>8641885</v>
      </c>
      <c r="B530" s="37" t="s">
        <v>1427</v>
      </c>
      <c r="C530" s="37" t="s">
        <v>1428</v>
      </c>
      <c r="D530" s="37" t="s">
        <v>116</v>
      </c>
    </row>
    <row r="531" spans="1:4" x14ac:dyDescent="0.25">
      <c r="A531" s="37">
        <v>8659916</v>
      </c>
      <c r="B531" s="37" t="s">
        <v>1429</v>
      </c>
      <c r="C531" s="37" t="s">
        <v>1182</v>
      </c>
      <c r="D531" s="37" t="s">
        <v>116</v>
      </c>
    </row>
    <row r="532" spans="1:4" x14ac:dyDescent="0.25">
      <c r="A532" s="37">
        <v>8805920</v>
      </c>
      <c r="B532" s="37" t="s">
        <v>1363</v>
      </c>
      <c r="C532" s="37" t="s">
        <v>3069</v>
      </c>
      <c r="D532" s="37" t="s">
        <v>116</v>
      </c>
    </row>
    <row r="533" spans="1:4" x14ac:dyDescent="0.25">
      <c r="A533" s="37">
        <v>8816662</v>
      </c>
      <c r="B533" s="37" t="s">
        <v>447</v>
      </c>
      <c r="C533" s="37" t="s">
        <v>1430</v>
      </c>
      <c r="D533" s="37" t="s">
        <v>116</v>
      </c>
    </row>
    <row r="534" spans="1:4" x14ac:dyDescent="0.25">
      <c r="A534" s="37">
        <v>9004554</v>
      </c>
      <c r="B534" s="37" t="s">
        <v>3126</v>
      </c>
      <c r="C534" s="37" t="s">
        <v>3127</v>
      </c>
      <c r="D534" s="37" t="s">
        <v>116</v>
      </c>
    </row>
    <row r="535" spans="1:4" x14ac:dyDescent="0.25">
      <c r="A535" s="37">
        <v>9048645</v>
      </c>
      <c r="B535" s="37" t="s">
        <v>1431</v>
      </c>
      <c r="C535" s="37" t="s">
        <v>1432</v>
      </c>
      <c r="D535" s="37" t="s">
        <v>116</v>
      </c>
    </row>
    <row r="536" spans="1:4" x14ac:dyDescent="0.25">
      <c r="A536" s="37">
        <v>9104685</v>
      </c>
      <c r="B536" s="37" t="s">
        <v>1433</v>
      </c>
      <c r="C536" s="37" t="s">
        <v>1434</v>
      </c>
      <c r="D536" s="37" t="s">
        <v>116</v>
      </c>
    </row>
    <row r="537" spans="1:4" x14ac:dyDescent="0.25">
      <c r="A537" s="37">
        <v>9139219</v>
      </c>
      <c r="B537" s="37" t="s">
        <v>488</v>
      </c>
      <c r="C537" s="37" t="s">
        <v>1435</v>
      </c>
      <c r="D537" s="37" t="s">
        <v>116</v>
      </c>
    </row>
    <row r="538" spans="1:4" x14ac:dyDescent="0.25">
      <c r="A538" s="37">
        <v>9616581</v>
      </c>
      <c r="B538" s="37" t="s">
        <v>3125</v>
      </c>
      <c r="C538" s="37" t="s">
        <v>1436</v>
      </c>
      <c r="D538" s="37" t="s">
        <v>116</v>
      </c>
    </row>
    <row r="539" spans="1:4" x14ac:dyDescent="0.25">
      <c r="A539" s="37">
        <v>9971835</v>
      </c>
      <c r="B539" s="37" t="s">
        <v>677</v>
      </c>
      <c r="C539" s="37" t="s">
        <v>1437</v>
      </c>
      <c r="D539" s="37" t="s">
        <v>116</v>
      </c>
    </row>
    <row r="540" spans="1:4" x14ac:dyDescent="0.25">
      <c r="A540" s="37" t="s">
        <v>1438</v>
      </c>
      <c r="B540" s="37" t="s">
        <v>1439</v>
      </c>
      <c r="C540" s="37" t="s">
        <v>1374</v>
      </c>
      <c r="D540" s="37" t="s">
        <v>116</v>
      </c>
    </row>
    <row r="541" spans="1:4" x14ac:dyDescent="0.25">
      <c r="A541" s="37" t="s">
        <v>1440</v>
      </c>
      <c r="B541" s="37" t="s">
        <v>548</v>
      </c>
      <c r="C541" s="37" t="s">
        <v>1311</v>
      </c>
      <c r="D541" s="37" t="s">
        <v>116</v>
      </c>
    </row>
    <row r="542" spans="1:4" x14ac:dyDescent="0.25">
      <c r="A542" s="37" t="s">
        <v>1441</v>
      </c>
      <c r="B542" s="37" t="s">
        <v>1442</v>
      </c>
      <c r="C542" s="37" t="s">
        <v>574</v>
      </c>
      <c r="D542" s="37" t="s">
        <v>116</v>
      </c>
    </row>
    <row r="543" spans="1:4" x14ac:dyDescent="0.25">
      <c r="A543" s="37" t="s">
        <v>1443</v>
      </c>
      <c r="B543" s="37" t="s">
        <v>1444</v>
      </c>
      <c r="C543" s="37" t="s">
        <v>1445</v>
      </c>
      <c r="D543" s="37" t="s">
        <v>116</v>
      </c>
    </row>
    <row r="544" spans="1:4" x14ac:dyDescent="0.25">
      <c r="A544" s="37" t="s">
        <v>1446</v>
      </c>
      <c r="B544" s="37" t="s">
        <v>1447</v>
      </c>
      <c r="C544" s="37" t="s">
        <v>511</v>
      </c>
      <c r="D544" s="37" t="s">
        <v>116</v>
      </c>
    </row>
    <row r="545" spans="1:4" x14ac:dyDescent="0.25">
      <c r="A545" s="37" t="s">
        <v>220</v>
      </c>
      <c r="B545" s="37" t="s">
        <v>138</v>
      </c>
      <c r="C545" s="37" t="s">
        <v>219</v>
      </c>
      <c r="D545" s="37" t="s">
        <v>116</v>
      </c>
    </row>
    <row r="546" spans="1:4" x14ac:dyDescent="0.25">
      <c r="A546" s="37" t="s">
        <v>1448</v>
      </c>
      <c r="B546" s="37" t="s">
        <v>1449</v>
      </c>
      <c r="C546" s="37" t="s">
        <v>1450</v>
      </c>
      <c r="D546" s="37" t="s">
        <v>116</v>
      </c>
    </row>
    <row r="547" spans="1:4" x14ac:dyDescent="0.25">
      <c r="A547" s="37" t="s">
        <v>1451</v>
      </c>
      <c r="B547" s="37" t="s">
        <v>1727</v>
      </c>
      <c r="C547" s="37" t="s">
        <v>1452</v>
      </c>
      <c r="D547" s="37" t="s">
        <v>116</v>
      </c>
    </row>
    <row r="548" spans="1:4" x14ac:dyDescent="0.25">
      <c r="A548" s="37" t="s">
        <v>1453</v>
      </c>
      <c r="B548" s="37" t="s">
        <v>1454</v>
      </c>
      <c r="C548" s="37" t="s">
        <v>1455</v>
      </c>
      <c r="D548" s="37" t="s">
        <v>116</v>
      </c>
    </row>
    <row r="549" spans="1:4" x14ac:dyDescent="0.25">
      <c r="A549" s="37" t="s">
        <v>1456</v>
      </c>
      <c r="B549" s="37" t="s">
        <v>383</v>
      </c>
      <c r="C549" s="37" t="s">
        <v>1457</v>
      </c>
      <c r="D549" s="37" t="s">
        <v>116</v>
      </c>
    </row>
    <row r="550" spans="1:4" x14ac:dyDescent="0.25">
      <c r="A550" s="37" t="s">
        <v>1458</v>
      </c>
      <c r="B550" s="37" t="s">
        <v>1459</v>
      </c>
      <c r="C550" s="37" t="s">
        <v>1291</v>
      </c>
      <c r="D550" s="37" t="s">
        <v>116</v>
      </c>
    </row>
    <row r="551" spans="1:4" x14ac:dyDescent="0.25">
      <c r="A551" s="37" t="s">
        <v>1460</v>
      </c>
      <c r="B551" s="37" t="s">
        <v>624</v>
      </c>
      <c r="C551" s="37" t="s">
        <v>555</v>
      </c>
      <c r="D551" s="37" t="s">
        <v>116</v>
      </c>
    </row>
    <row r="552" spans="1:4" x14ac:dyDescent="0.25">
      <c r="A552" s="37" t="s">
        <v>1461</v>
      </c>
      <c r="B552" s="37" t="s">
        <v>447</v>
      </c>
      <c r="C552" s="37" t="s">
        <v>1462</v>
      </c>
      <c r="D552" s="37" t="s">
        <v>116</v>
      </c>
    </row>
    <row r="553" spans="1:4" x14ac:dyDescent="0.25">
      <c r="A553" s="37" t="s">
        <v>1463</v>
      </c>
      <c r="B553" s="37" t="s">
        <v>1464</v>
      </c>
      <c r="C553" s="37" t="s">
        <v>1197</v>
      </c>
      <c r="D553" s="37" t="s">
        <v>116</v>
      </c>
    </row>
    <row r="554" spans="1:4" x14ac:dyDescent="0.25">
      <c r="A554" s="37" t="s">
        <v>1465</v>
      </c>
      <c r="B554" s="37" t="s">
        <v>1466</v>
      </c>
      <c r="C554" s="37" t="s">
        <v>1467</v>
      </c>
      <c r="D554" s="37" t="s">
        <v>116</v>
      </c>
    </row>
    <row r="555" spans="1:4" x14ac:dyDescent="0.25">
      <c r="A555" s="37" t="s">
        <v>1468</v>
      </c>
      <c r="B555" s="37" t="s">
        <v>1469</v>
      </c>
      <c r="C555" s="37" t="s">
        <v>1470</v>
      </c>
      <c r="D555" s="37" t="s">
        <v>116</v>
      </c>
    </row>
    <row r="556" spans="1:4" x14ac:dyDescent="0.25">
      <c r="A556" s="37" t="s">
        <v>1471</v>
      </c>
      <c r="B556" s="37" t="s">
        <v>1472</v>
      </c>
      <c r="C556" s="37" t="s">
        <v>1473</v>
      </c>
      <c r="D556" s="37" t="s">
        <v>116</v>
      </c>
    </row>
    <row r="557" spans="1:4" x14ac:dyDescent="0.25">
      <c r="A557" s="37" t="s">
        <v>1474</v>
      </c>
      <c r="B557" s="37" t="s">
        <v>1475</v>
      </c>
      <c r="C557" s="37" t="s">
        <v>706</v>
      </c>
      <c r="D557" s="37" t="s">
        <v>116</v>
      </c>
    </row>
    <row r="558" spans="1:4" x14ac:dyDescent="0.25">
      <c r="A558" s="37" t="s">
        <v>1476</v>
      </c>
      <c r="B558" s="37" t="s">
        <v>1477</v>
      </c>
      <c r="C558" s="37" t="s">
        <v>1478</v>
      </c>
      <c r="D558" s="37" t="s">
        <v>116</v>
      </c>
    </row>
    <row r="559" spans="1:4" x14ac:dyDescent="0.25">
      <c r="A559" s="37" t="s">
        <v>1479</v>
      </c>
      <c r="B559" s="37" t="s">
        <v>695</v>
      </c>
      <c r="C559" s="37" t="s">
        <v>1480</v>
      </c>
      <c r="D559" s="37" t="s">
        <v>116</v>
      </c>
    </row>
    <row r="560" spans="1:4" x14ac:dyDescent="0.25">
      <c r="A560" s="37" t="s">
        <v>1481</v>
      </c>
      <c r="B560" s="37" t="s">
        <v>1482</v>
      </c>
      <c r="C560" s="37" t="s">
        <v>807</v>
      </c>
      <c r="D560" s="37" t="s">
        <v>116</v>
      </c>
    </row>
    <row r="561" spans="1:4" x14ac:dyDescent="0.25">
      <c r="A561" s="37" t="s">
        <v>1483</v>
      </c>
      <c r="B561" s="37" t="s">
        <v>1484</v>
      </c>
      <c r="C561" s="37" t="s">
        <v>1485</v>
      </c>
      <c r="D561" s="37" t="s">
        <v>116</v>
      </c>
    </row>
    <row r="562" spans="1:4" x14ac:dyDescent="0.25">
      <c r="A562" s="37" t="s">
        <v>1486</v>
      </c>
      <c r="B562" s="37" t="s">
        <v>396</v>
      </c>
      <c r="C562" s="37" t="s">
        <v>1487</v>
      </c>
      <c r="D562" s="37" t="s">
        <v>116</v>
      </c>
    </row>
    <row r="563" spans="1:4" x14ac:dyDescent="0.25">
      <c r="A563" s="37" t="s">
        <v>1488</v>
      </c>
      <c r="B563" s="37" t="s">
        <v>1489</v>
      </c>
      <c r="C563" s="37" t="s">
        <v>334</v>
      </c>
      <c r="D563" s="37" t="s">
        <v>116</v>
      </c>
    </row>
    <row r="564" spans="1:4" x14ac:dyDescent="0.25">
      <c r="A564" s="37" t="s">
        <v>1490</v>
      </c>
      <c r="B564" s="37" t="s">
        <v>632</v>
      </c>
      <c r="C564" s="37" t="s">
        <v>673</v>
      </c>
      <c r="D564" s="37" t="s">
        <v>116</v>
      </c>
    </row>
    <row r="565" spans="1:4" x14ac:dyDescent="0.25">
      <c r="A565" s="37" t="s">
        <v>325</v>
      </c>
      <c r="B565" s="37" t="s">
        <v>323</v>
      </c>
      <c r="C565" s="37" t="s">
        <v>324</v>
      </c>
      <c r="D565" s="37" t="s">
        <v>116</v>
      </c>
    </row>
    <row r="566" spans="1:4" x14ac:dyDescent="0.25">
      <c r="A566" s="37" t="s">
        <v>1491</v>
      </c>
      <c r="B566" s="37" t="s">
        <v>1492</v>
      </c>
      <c r="C566" s="37" t="s">
        <v>666</v>
      </c>
      <c r="D566" s="37" t="s">
        <v>116</v>
      </c>
    </row>
    <row r="567" spans="1:4" x14ac:dyDescent="0.25">
      <c r="A567" s="37" t="s">
        <v>1493</v>
      </c>
      <c r="B567" s="37" t="s">
        <v>297</v>
      </c>
      <c r="C567" s="37" t="s">
        <v>1494</v>
      </c>
      <c r="D567" s="37" t="s">
        <v>116</v>
      </c>
    </row>
    <row r="568" spans="1:4" x14ac:dyDescent="0.25">
      <c r="A568" s="37" t="s">
        <v>1495</v>
      </c>
      <c r="B568" s="37" t="s">
        <v>1496</v>
      </c>
      <c r="C568" s="37" t="s">
        <v>1497</v>
      </c>
      <c r="D568" s="37" t="s">
        <v>116</v>
      </c>
    </row>
    <row r="569" spans="1:4" x14ac:dyDescent="0.25">
      <c r="A569" s="37" t="s">
        <v>1498</v>
      </c>
      <c r="B569" s="37" t="s">
        <v>1499</v>
      </c>
      <c r="C569" s="37" t="s">
        <v>1500</v>
      </c>
      <c r="D569" s="37" t="s">
        <v>116</v>
      </c>
    </row>
    <row r="570" spans="1:4" x14ac:dyDescent="0.25">
      <c r="A570" s="37" t="s">
        <v>1501</v>
      </c>
      <c r="B570" s="37" t="s">
        <v>211</v>
      </c>
      <c r="C570" s="37" t="s">
        <v>251</v>
      </c>
      <c r="D570" s="37" t="s">
        <v>116</v>
      </c>
    </row>
    <row r="571" spans="1:4" x14ac:dyDescent="0.25">
      <c r="A571" s="37" t="s">
        <v>1502</v>
      </c>
      <c r="B571" s="37" t="s">
        <v>1503</v>
      </c>
      <c r="C571" s="37" t="s">
        <v>887</v>
      </c>
      <c r="D571" s="37" t="s">
        <v>116</v>
      </c>
    </row>
    <row r="572" spans="1:4" x14ac:dyDescent="0.25">
      <c r="A572" s="37" t="s">
        <v>1504</v>
      </c>
      <c r="B572" s="37" t="s">
        <v>1505</v>
      </c>
      <c r="C572" s="37" t="s">
        <v>1506</v>
      </c>
      <c r="D572" s="37" t="s">
        <v>116</v>
      </c>
    </row>
    <row r="573" spans="1:4" x14ac:dyDescent="0.25">
      <c r="A573" s="37" t="s">
        <v>1507</v>
      </c>
      <c r="B573" s="37" t="s">
        <v>1508</v>
      </c>
      <c r="C573" s="37" t="s">
        <v>329</v>
      </c>
      <c r="D573" s="37" t="s">
        <v>116</v>
      </c>
    </row>
    <row r="574" spans="1:4" x14ac:dyDescent="0.25">
      <c r="A574" s="37" t="s">
        <v>1509</v>
      </c>
      <c r="B574" s="37" t="s">
        <v>301</v>
      </c>
      <c r="C574" s="37" t="s">
        <v>1510</v>
      </c>
      <c r="D574" s="37" t="s">
        <v>116</v>
      </c>
    </row>
    <row r="575" spans="1:4" x14ac:dyDescent="0.25">
      <c r="A575" s="37" t="s">
        <v>1511</v>
      </c>
      <c r="B575" s="37" t="s">
        <v>1512</v>
      </c>
      <c r="C575" s="37" t="s">
        <v>1513</v>
      </c>
      <c r="D575" s="37" t="s">
        <v>116</v>
      </c>
    </row>
    <row r="576" spans="1:4" x14ac:dyDescent="0.25">
      <c r="A576" s="37" t="s">
        <v>1514</v>
      </c>
      <c r="B576" s="37" t="s">
        <v>1515</v>
      </c>
      <c r="C576" s="37" t="s">
        <v>1516</v>
      </c>
      <c r="D576" s="37" t="s">
        <v>116</v>
      </c>
    </row>
    <row r="577" spans="1:4" x14ac:dyDescent="0.25">
      <c r="A577" s="37" t="s">
        <v>1517</v>
      </c>
      <c r="B577" s="37" t="s">
        <v>1518</v>
      </c>
      <c r="C577" s="37" t="s">
        <v>280</v>
      </c>
      <c r="D577" s="37" t="s">
        <v>116</v>
      </c>
    </row>
    <row r="578" spans="1:4" x14ac:dyDescent="0.25">
      <c r="A578" s="37" t="s">
        <v>1519</v>
      </c>
      <c r="B578" s="37" t="s">
        <v>1520</v>
      </c>
      <c r="C578" s="37" t="s">
        <v>1252</v>
      </c>
      <c r="D578" s="37" t="s">
        <v>116</v>
      </c>
    </row>
    <row r="579" spans="1:4" x14ac:dyDescent="0.25">
      <c r="A579" s="37" t="s">
        <v>1521</v>
      </c>
      <c r="B579" s="37" t="s">
        <v>1522</v>
      </c>
      <c r="C579" s="37" t="s">
        <v>715</v>
      </c>
      <c r="D579" s="37" t="s">
        <v>116</v>
      </c>
    </row>
    <row r="580" spans="1:4" x14ac:dyDescent="0.25">
      <c r="A580" s="37" t="s">
        <v>1523</v>
      </c>
      <c r="B580" s="37" t="s">
        <v>1524</v>
      </c>
      <c r="C580" s="37" t="s">
        <v>1525</v>
      </c>
      <c r="D580" s="37" t="s">
        <v>116</v>
      </c>
    </row>
    <row r="581" spans="1:4" x14ac:dyDescent="0.25">
      <c r="A581" s="37" t="s">
        <v>1526</v>
      </c>
      <c r="B581" s="37" t="s">
        <v>1527</v>
      </c>
      <c r="C581" s="37" t="s">
        <v>962</v>
      </c>
      <c r="D581" s="37" t="s">
        <v>116</v>
      </c>
    </row>
    <row r="582" spans="1:4" x14ac:dyDescent="0.25">
      <c r="A582" s="37" t="s">
        <v>1528</v>
      </c>
      <c r="B582" s="37" t="s">
        <v>211</v>
      </c>
      <c r="C582" s="37" t="s">
        <v>1529</v>
      </c>
      <c r="D582" s="37" t="s">
        <v>116</v>
      </c>
    </row>
    <row r="583" spans="1:4" x14ac:dyDescent="0.25">
      <c r="A583" s="37" t="s">
        <v>1530</v>
      </c>
      <c r="B583" s="37" t="s">
        <v>1531</v>
      </c>
      <c r="C583" s="37" t="s">
        <v>1532</v>
      </c>
      <c r="D583" s="37" t="s">
        <v>116</v>
      </c>
    </row>
    <row r="584" spans="1:4" x14ac:dyDescent="0.25">
      <c r="A584" s="37" t="s">
        <v>1533</v>
      </c>
      <c r="B584" s="37" t="s">
        <v>1534</v>
      </c>
      <c r="C584" s="37" t="s">
        <v>1535</v>
      </c>
      <c r="D584" s="37" t="s">
        <v>116</v>
      </c>
    </row>
    <row r="585" spans="1:4" x14ac:dyDescent="0.25">
      <c r="A585" s="37" t="s">
        <v>1536</v>
      </c>
      <c r="B585" s="37" t="s">
        <v>455</v>
      </c>
      <c r="C585" s="37" t="s">
        <v>1392</v>
      </c>
      <c r="D585" s="37" t="s">
        <v>116</v>
      </c>
    </row>
    <row r="586" spans="1:4" x14ac:dyDescent="0.25">
      <c r="A586" s="37" t="s">
        <v>1537</v>
      </c>
      <c r="B586" s="37" t="s">
        <v>455</v>
      </c>
      <c r="C586" s="37" t="s">
        <v>1392</v>
      </c>
      <c r="D586" s="37" t="s">
        <v>116</v>
      </c>
    </row>
    <row r="587" spans="1:4" x14ac:dyDescent="0.25">
      <c r="A587" s="37" t="s">
        <v>1538</v>
      </c>
      <c r="B587" s="37" t="s">
        <v>1539</v>
      </c>
      <c r="C587" s="37" t="s">
        <v>1540</v>
      </c>
      <c r="D587" s="37" t="s">
        <v>116</v>
      </c>
    </row>
    <row r="588" spans="1:4" x14ac:dyDescent="0.25">
      <c r="A588" s="37" t="s">
        <v>1541</v>
      </c>
      <c r="B588" s="37" t="s">
        <v>661</v>
      </c>
      <c r="C588" s="37" t="s">
        <v>1542</v>
      </c>
      <c r="D588" s="37" t="s">
        <v>116</v>
      </c>
    </row>
    <row r="589" spans="1:4" x14ac:dyDescent="0.25">
      <c r="A589" s="37" t="s">
        <v>1543</v>
      </c>
      <c r="B589" s="37" t="s">
        <v>1544</v>
      </c>
      <c r="C589" s="37" t="s">
        <v>139</v>
      </c>
      <c r="D589" s="37" t="s">
        <v>116</v>
      </c>
    </row>
    <row r="590" spans="1:4" x14ac:dyDescent="0.25">
      <c r="A590" s="37" t="s">
        <v>1545</v>
      </c>
      <c r="B590" s="37" t="s">
        <v>1546</v>
      </c>
      <c r="C590" s="37" t="s">
        <v>1547</v>
      </c>
      <c r="D590" s="37" t="s">
        <v>116</v>
      </c>
    </row>
    <row r="591" spans="1:4" x14ac:dyDescent="0.25">
      <c r="A591" s="37" t="s">
        <v>1548</v>
      </c>
      <c r="B591" s="37" t="s">
        <v>138</v>
      </c>
      <c r="C591" s="37" t="s">
        <v>552</v>
      </c>
      <c r="D591" s="37" t="s">
        <v>116</v>
      </c>
    </row>
    <row r="592" spans="1:4" x14ac:dyDescent="0.25">
      <c r="A592" s="37" t="s">
        <v>1549</v>
      </c>
      <c r="B592" s="37" t="s">
        <v>1550</v>
      </c>
      <c r="C592" s="37" t="s">
        <v>496</v>
      </c>
      <c r="D592" s="37" t="s">
        <v>116</v>
      </c>
    </row>
    <row r="593" spans="1:4" x14ac:dyDescent="0.25">
      <c r="A593" s="37" t="s">
        <v>1551</v>
      </c>
      <c r="B593" s="37" t="s">
        <v>398</v>
      </c>
      <c r="C593" s="37" t="s">
        <v>1552</v>
      </c>
      <c r="D593" s="37" t="s">
        <v>116</v>
      </c>
    </row>
    <row r="594" spans="1:4" x14ac:dyDescent="0.25">
      <c r="A594" s="37" t="s">
        <v>1553</v>
      </c>
      <c r="B594" s="37" t="s">
        <v>1554</v>
      </c>
      <c r="C594" s="37" t="s">
        <v>1555</v>
      </c>
      <c r="D594" s="37" t="s">
        <v>116</v>
      </c>
    </row>
    <row r="595" spans="1:4" x14ac:dyDescent="0.25">
      <c r="A595" s="37" t="s">
        <v>1556</v>
      </c>
      <c r="B595" s="37" t="s">
        <v>1557</v>
      </c>
      <c r="C595" s="37" t="s">
        <v>1558</v>
      </c>
      <c r="D595" s="37" t="s">
        <v>116</v>
      </c>
    </row>
    <row r="596" spans="1:4" x14ac:dyDescent="0.25">
      <c r="A596" s="37" t="s">
        <v>1559</v>
      </c>
      <c r="B596" s="37" t="s">
        <v>1560</v>
      </c>
      <c r="C596" s="37" t="s">
        <v>780</v>
      </c>
      <c r="D596" s="37" t="s">
        <v>116</v>
      </c>
    </row>
    <row r="597" spans="1:4" x14ac:dyDescent="0.25">
      <c r="A597" s="37" t="s">
        <v>1561</v>
      </c>
      <c r="B597" s="37" t="s">
        <v>1505</v>
      </c>
      <c r="C597" s="37" t="s">
        <v>1405</v>
      </c>
      <c r="D597" s="37" t="s">
        <v>116</v>
      </c>
    </row>
    <row r="598" spans="1:4" x14ac:dyDescent="0.25">
      <c r="A598" s="37" t="s">
        <v>1562</v>
      </c>
      <c r="B598" s="37" t="s">
        <v>1563</v>
      </c>
      <c r="C598" s="37" t="s">
        <v>412</v>
      </c>
      <c r="D598" s="37" t="s">
        <v>116</v>
      </c>
    </row>
    <row r="599" spans="1:4" x14ac:dyDescent="0.25">
      <c r="A599" s="37" t="s">
        <v>1564</v>
      </c>
      <c r="B599" s="37" t="s">
        <v>1565</v>
      </c>
      <c r="C599" s="37" t="s">
        <v>553</v>
      </c>
      <c r="D599" s="37" t="s">
        <v>116</v>
      </c>
    </row>
    <row r="600" spans="1:4" x14ac:dyDescent="0.25">
      <c r="A600" s="37" t="s">
        <v>1566</v>
      </c>
      <c r="B600" s="37" t="s">
        <v>1026</v>
      </c>
      <c r="C600" s="37" t="s">
        <v>501</v>
      </c>
      <c r="D600" s="37" t="s">
        <v>116</v>
      </c>
    </row>
    <row r="601" spans="1:4" x14ac:dyDescent="0.25">
      <c r="A601" s="37" t="s">
        <v>1567</v>
      </c>
      <c r="B601" s="37" t="s">
        <v>272</v>
      </c>
      <c r="C601" s="37" t="s">
        <v>1568</v>
      </c>
      <c r="D601" s="37" t="s">
        <v>116</v>
      </c>
    </row>
    <row r="602" spans="1:4" x14ac:dyDescent="0.25">
      <c r="A602" s="37" t="s">
        <v>1569</v>
      </c>
      <c r="B602" s="37" t="s">
        <v>1570</v>
      </c>
      <c r="C602" s="37" t="s">
        <v>602</v>
      </c>
      <c r="D602" s="37" t="s">
        <v>116</v>
      </c>
    </row>
    <row r="603" spans="1:4" x14ac:dyDescent="0.25">
      <c r="A603" s="37" t="s">
        <v>1571</v>
      </c>
      <c r="B603" s="37" t="s">
        <v>1472</v>
      </c>
      <c r="C603" s="37" t="s">
        <v>1473</v>
      </c>
      <c r="D603" s="37" t="s">
        <v>116</v>
      </c>
    </row>
    <row r="604" spans="1:4" x14ac:dyDescent="0.25">
      <c r="A604" s="37" t="s">
        <v>1572</v>
      </c>
      <c r="B604" s="37" t="s">
        <v>1573</v>
      </c>
      <c r="C604" s="37" t="s">
        <v>1574</v>
      </c>
      <c r="D604" s="37" t="s">
        <v>116</v>
      </c>
    </row>
    <row r="605" spans="1:4" x14ac:dyDescent="0.25">
      <c r="A605" s="37" t="s">
        <v>1575</v>
      </c>
      <c r="B605" s="37" t="s">
        <v>1576</v>
      </c>
      <c r="C605" s="37" t="s">
        <v>200</v>
      </c>
      <c r="D605" s="37" t="s">
        <v>116</v>
      </c>
    </row>
    <row r="606" spans="1:4" x14ac:dyDescent="0.25">
      <c r="A606" s="37" t="s">
        <v>1577</v>
      </c>
      <c r="B606" s="37" t="s">
        <v>351</v>
      </c>
      <c r="C606" s="37" t="s">
        <v>1578</v>
      </c>
      <c r="D606" s="37" t="s">
        <v>116</v>
      </c>
    </row>
    <row r="607" spans="1:4" x14ac:dyDescent="0.25">
      <c r="A607" s="37" t="s">
        <v>1579</v>
      </c>
      <c r="B607" s="37" t="s">
        <v>1580</v>
      </c>
      <c r="C607" s="37" t="s">
        <v>666</v>
      </c>
      <c r="D607" s="37" t="s">
        <v>116</v>
      </c>
    </row>
    <row r="608" spans="1:4" x14ac:dyDescent="0.25">
      <c r="A608" s="37" t="s">
        <v>1581</v>
      </c>
      <c r="B608" s="37" t="s">
        <v>1573</v>
      </c>
      <c r="C608" s="37" t="s">
        <v>149</v>
      </c>
      <c r="D608" s="37" t="s">
        <v>116</v>
      </c>
    </row>
    <row r="609" spans="1:4" x14ac:dyDescent="0.25">
      <c r="A609" s="37" t="s">
        <v>1582</v>
      </c>
      <c r="B609" s="37" t="s">
        <v>1583</v>
      </c>
      <c r="C609" s="37" t="s">
        <v>1584</v>
      </c>
      <c r="D609" s="37" t="s">
        <v>116</v>
      </c>
    </row>
    <row r="610" spans="1:4" x14ac:dyDescent="0.25">
      <c r="A610" s="37" t="s">
        <v>1585</v>
      </c>
      <c r="B610" s="37" t="s">
        <v>253</v>
      </c>
      <c r="C610" s="37" t="s">
        <v>1586</v>
      </c>
      <c r="D610" s="37" t="s">
        <v>116</v>
      </c>
    </row>
    <row r="611" spans="1:4" x14ac:dyDescent="0.25">
      <c r="A611" s="37" t="s">
        <v>1587</v>
      </c>
      <c r="B611" s="37" t="s">
        <v>1588</v>
      </c>
      <c r="C611" s="37" t="s">
        <v>1589</v>
      </c>
      <c r="D611" s="37" t="s">
        <v>116</v>
      </c>
    </row>
    <row r="612" spans="1:4" x14ac:dyDescent="0.25">
      <c r="A612" s="37" t="s">
        <v>1590</v>
      </c>
      <c r="B612" s="37" t="s">
        <v>1591</v>
      </c>
      <c r="C612" s="37" t="s">
        <v>530</v>
      </c>
      <c r="D612" s="37" t="s">
        <v>116</v>
      </c>
    </row>
    <row r="613" spans="1:4" x14ac:dyDescent="0.25">
      <c r="A613" s="37" t="s">
        <v>1592</v>
      </c>
      <c r="B613" s="37" t="s">
        <v>1593</v>
      </c>
      <c r="C613" s="37" t="s">
        <v>481</v>
      </c>
      <c r="D613" s="37" t="s">
        <v>116</v>
      </c>
    </row>
    <row r="614" spans="1:4" x14ac:dyDescent="0.25">
      <c r="A614" s="37" t="s">
        <v>1594</v>
      </c>
      <c r="B614" s="37" t="s">
        <v>1595</v>
      </c>
      <c r="C614" s="37" t="s">
        <v>1596</v>
      </c>
      <c r="D614" s="37" t="s">
        <v>116</v>
      </c>
    </row>
    <row r="615" spans="1:4" x14ac:dyDescent="0.25">
      <c r="A615" s="37" t="s">
        <v>1597</v>
      </c>
      <c r="B615" s="37" t="s">
        <v>1410</v>
      </c>
      <c r="C615" s="37" t="s">
        <v>706</v>
      </c>
      <c r="D615" s="37" t="s">
        <v>116</v>
      </c>
    </row>
    <row r="616" spans="1:4" x14ac:dyDescent="0.25">
      <c r="A616" s="37" t="s">
        <v>1598</v>
      </c>
      <c r="B616" s="37" t="s">
        <v>1599</v>
      </c>
      <c r="C616" s="37" t="s">
        <v>1600</v>
      </c>
      <c r="D616" s="37" t="s">
        <v>116</v>
      </c>
    </row>
    <row r="617" spans="1:4" x14ac:dyDescent="0.25">
      <c r="A617" s="37" t="s">
        <v>1601</v>
      </c>
      <c r="B617" s="37" t="s">
        <v>1602</v>
      </c>
      <c r="C617" s="37" t="s">
        <v>788</v>
      </c>
      <c r="D617" s="37" t="s">
        <v>116</v>
      </c>
    </row>
    <row r="618" spans="1:4" x14ac:dyDescent="0.25">
      <c r="A618" s="37" t="s">
        <v>1603</v>
      </c>
      <c r="B618" s="37" t="s">
        <v>1602</v>
      </c>
      <c r="C618" s="37" t="s">
        <v>788</v>
      </c>
      <c r="D618" s="37" t="s">
        <v>116</v>
      </c>
    </row>
    <row r="619" spans="1:4" x14ac:dyDescent="0.25">
      <c r="A619" s="37" t="s">
        <v>1604</v>
      </c>
      <c r="B619" s="37" t="s">
        <v>1602</v>
      </c>
      <c r="C619" s="37" t="s">
        <v>788</v>
      </c>
      <c r="D619" s="37" t="s">
        <v>116</v>
      </c>
    </row>
    <row r="620" spans="1:4" x14ac:dyDescent="0.25">
      <c r="A620" s="37" t="s">
        <v>1605</v>
      </c>
      <c r="B620" s="37" t="s">
        <v>423</v>
      </c>
      <c r="C620" s="37" t="s">
        <v>219</v>
      </c>
      <c r="D620" s="37" t="s">
        <v>116</v>
      </c>
    </row>
    <row r="621" spans="1:4" x14ac:dyDescent="0.25">
      <c r="A621" s="37" t="s">
        <v>1606</v>
      </c>
      <c r="B621" s="37" t="s">
        <v>1607</v>
      </c>
      <c r="C621" s="37" t="s">
        <v>1221</v>
      </c>
      <c r="D621" s="37" t="s">
        <v>116</v>
      </c>
    </row>
    <row r="622" spans="1:4" x14ac:dyDescent="0.25">
      <c r="A622" s="37" t="s">
        <v>1608</v>
      </c>
      <c r="B622" s="37" t="s">
        <v>1609</v>
      </c>
      <c r="C622" s="37" t="s">
        <v>1016</v>
      </c>
      <c r="D622" s="37" t="s">
        <v>116</v>
      </c>
    </row>
    <row r="623" spans="1:4" x14ac:dyDescent="0.25">
      <c r="A623" s="37" t="s">
        <v>1610</v>
      </c>
      <c r="B623" s="37" t="s">
        <v>809</v>
      </c>
      <c r="C623" s="37" t="s">
        <v>531</v>
      </c>
      <c r="D623" s="37" t="s">
        <v>116</v>
      </c>
    </row>
    <row r="624" spans="1:4" x14ac:dyDescent="0.25">
      <c r="A624" s="37" t="s">
        <v>1611</v>
      </c>
      <c r="B624" s="37" t="s">
        <v>1612</v>
      </c>
      <c r="C624" s="37" t="s">
        <v>1613</v>
      </c>
      <c r="D624" s="37" t="s">
        <v>116</v>
      </c>
    </row>
    <row r="625" spans="1:4" x14ac:dyDescent="0.25">
      <c r="A625" s="37" t="s">
        <v>1614</v>
      </c>
      <c r="B625" s="37" t="s">
        <v>1615</v>
      </c>
      <c r="C625" s="37" t="s">
        <v>1616</v>
      </c>
      <c r="D625" s="37" t="s">
        <v>116</v>
      </c>
    </row>
    <row r="626" spans="1:4" x14ac:dyDescent="0.25">
      <c r="A626" s="37" t="s">
        <v>1617</v>
      </c>
      <c r="B626" s="37" t="s">
        <v>1618</v>
      </c>
      <c r="C626" s="37" t="s">
        <v>1613</v>
      </c>
      <c r="D626" s="37" t="s">
        <v>116</v>
      </c>
    </row>
    <row r="627" spans="1:4" x14ac:dyDescent="0.25">
      <c r="A627" s="37" t="s">
        <v>286</v>
      </c>
      <c r="B627" s="37" t="s">
        <v>1619</v>
      </c>
      <c r="C627" s="37" t="s">
        <v>149</v>
      </c>
      <c r="D627" s="37" t="s">
        <v>116</v>
      </c>
    </row>
    <row r="628" spans="1:4" x14ac:dyDescent="0.25">
      <c r="A628" s="37" t="s">
        <v>1620</v>
      </c>
      <c r="B628" s="37" t="s">
        <v>1621</v>
      </c>
      <c r="C628" s="37" t="s">
        <v>994</v>
      </c>
      <c r="D628" s="37" t="s">
        <v>116</v>
      </c>
    </row>
    <row r="629" spans="1:4" x14ac:dyDescent="0.25">
      <c r="A629" s="37" t="s">
        <v>1622</v>
      </c>
      <c r="B629" s="37" t="s">
        <v>1623</v>
      </c>
      <c r="C629" s="37" t="s">
        <v>1247</v>
      </c>
      <c r="D629" s="37" t="s">
        <v>116</v>
      </c>
    </row>
    <row r="630" spans="1:4" x14ac:dyDescent="0.25">
      <c r="A630" s="37" t="s">
        <v>240</v>
      </c>
      <c r="B630" s="37" t="s">
        <v>1624</v>
      </c>
      <c r="C630" s="37" t="s">
        <v>1625</v>
      </c>
      <c r="D630" s="37" t="s">
        <v>116</v>
      </c>
    </row>
    <row r="631" spans="1:4" x14ac:dyDescent="0.25">
      <c r="A631" s="37" t="s">
        <v>1626</v>
      </c>
      <c r="B631" s="37" t="s">
        <v>469</v>
      </c>
      <c r="C631" s="37" t="s">
        <v>1627</v>
      </c>
      <c r="D631" s="37" t="s">
        <v>116</v>
      </c>
    </row>
    <row r="632" spans="1:4" x14ac:dyDescent="0.25">
      <c r="A632" s="37">
        <v>9096556</v>
      </c>
      <c r="B632" s="37" t="s">
        <v>1628</v>
      </c>
      <c r="C632" s="37" t="s">
        <v>1629</v>
      </c>
      <c r="D632" s="37" t="s">
        <v>116</v>
      </c>
    </row>
    <row r="633" spans="1:4" x14ac:dyDescent="0.25">
      <c r="A633" s="37">
        <v>3555599</v>
      </c>
      <c r="B633" s="37" t="s">
        <v>973</v>
      </c>
      <c r="C633" s="37" t="s">
        <v>1630</v>
      </c>
      <c r="D633" s="37" t="s">
        <v>116</v>
      </c>
    </row>
    <row r="634" spans="1:4" x14ac:dyDescent="0.25">
      <c r="A634" s="37">
        <v>5689525</v>
      </c>
      <c r="B634" s="37" t="s">
        <v>1000</v>
      </c>
      <c r="C634" s="37" t="s">
        <v>1631</v>
      </c>
      <c r="D634" s="37" t="s">
        <v>116</v>
      </c>
    </row>
    <row r="635" spans="1:4" x14ac:dyDescent="0.25">
      <c r="A635" s="37">
        <v>4512151</v>
      </c>
      <c r="B635" s="37" t="s">
        <v>501</v>
      </c>
      <c r="C635" s="37" t="s">
        <v>1015</v>
      </c>
      <c r="D635" s="37" t="s">
        <v>116</v>
      </c>
    </row>
    <row r="636" spans="1:4" x14ac:dyDescent="0.25">
      <c r="A636" s="37">
        <v>2863526</v>
      </c>
      <c r="B636" s="37" t="s">
        <v>311</v>
      </c>
      <c r="C636" s="37" t="s">
        <v>1632</v>
      </c>
      <c r="D636" s="37" t="s">
        <v>116</v>
      </c>
    </row>
    <row r="637" spans="1:4" x14ac:dyDescent="0.25">
      <c r="A637" s="37">
        <v>2822623</v>
      </c>
      <c r="B637" s="37" t="s">
        <v>1633</v>
      </c>
      <c r="C637" s="37" t="s">
        <v>1634</v>
      </c>
      <c r="D637" s="37" t="s">
        <v>116</v>
      </c>
    </row>
    <row r="638" spans="1:4" x14ac:dyDescent="0.25">
      <c r="A638" s="37">
        <v>1807047</v>
      </c>
      <c r="B638" s="37" t="s">
        <v>632</v>
      </c>
      <c r="C638" s="37" t="s">
        <v>673</v>
      </c>
      <c r="D638" s="37" t="s">
        <v>116</v>
      </c>
    </row>
    <row r="639" spans="1:4" x14ac:dyDescent="0.25">
      <c r="A639" s="37">
        <v>1186371</v>
      </c>
      <c r="B639" s="37" t="s">
        <v>3174</v>
      </c>
      <c r="C639" s="37" t="s">
        <v>516</v>
      </c>
      <c r="D639" s="37" t="s">
        <v>116</v>
      </c>
    </row>
    <row r="640" spans="1:4" x14ac:dyDescent="0.25">
      <c r="A640" s="37">
        <v>5246715</v>
      </c>
      <c r="B640" s="37" t="s">
        <v>1635</v>
      </c>
      <c r="C640" s="37" t="s">
        <v>1636</v>
      </c>
      <c r="D640" s="37" t="s">
        <v>116</v>
      </c>
    </row>
    <row r="641" spans="1:4" x14ac:dyDescent="0.25">
      <c r="A641" s="37">
        <v>2085626</v>
      </c>
      <c r="B641" s="37" t="s">
        <v>301</v>
      </c>
      <c r="C641" s="37" t="s">
        <v>783</v>
      </c>
      <c r="D641" s="37" t="s">
        <v>116</v>
      </c>
    </row>
    <row r="642" spans="1:4" x14ac:dyDescent="0.25">
      <c r="A642" s="37">
        <v>2082656</v>
      </c>
      <c r="B642" s="37" t="s">
        <v>169</v>
      </c>
      <c r="C642" s="37" t="s">
        <v>1637</v>
      </c>
      <c r="D642" s="37" t="s">
        <v>116</v>
      </c>
    </row>
    <row r="643" spans="1:4" x14ac:dyDescent="0.25">
      <c r="A643" s="37">
        <v>7519666</v>
      </c>
      <c r="B643" s="37" t="s">
        <v>1638</v>
      </c>
      <c r="C643" s="37" t="s">
        <v>191</v>
      </c>
      <c r="D643" s="37" t="s">
        <v>116</v>
      </c>
    </row>
    <row r="644" spans="1:4" x14ac:dyDescent="0.25">
      <c r="A644" s="37">
        <v>4879500</v>
      </c>
      <c r="B644" s="37" t="s">
        <v>1639</v>
      </c>
      <c r="C644" s="37" t="s">
        <v>1640</v>
      </c>
      <c r="D644" s="37" t="s">
        <v>116</v>
      </c>
    </row>
    <row r="645" spans="1:4" x14ac:dyDescent="0.25">
      <c r="A645" s="37">
        <v>4789621</v>
      </c>
      <c r="B645" s="37" t="s">
        <v>3114</v>
      </c>
      <c r="C645" s="37" t="s">
        <v>2585</v>
      </c>
      <c r="D645" s="37" t="s">
        <v>116</v>
      </c>
    </row>
    <row r="646" spans="1:4" x14ac:dyDescent="0.25">
      <c r="A646" s="37">
        <v>4578523</v>
      </c>
      <c r="B646" s="37" t="s">
        <v>1641</v>
      </c>
      <c r="C646" s="37" t="s">
        <v>319</v>
      </c>
      <c r="D646" s="37" t="s">
        <v>116</v>
      </c>
    </row>
    <row r="647" spans="1:4" x14ac:dyDescent="0.25">
      <c r="A647" s="37">
        <v>4445575</v>
      </c>
      <c r="B647" s="37" t="s">
        <v>1642</v>
      </c>
      <c r="C647" s="37" t="s">
        <v>1643</v>
      </c>
      <c r="D647" s="37" t="s">
        <v>116</v>
      </c>
    </row>
    <row r="648" spans="1:4" x14ac:dyDescent="0.25">
      <c r="A648" s="37">
        <v>2643680</v>
      </c>
      <c r="B648" s="37" t="s">
        <v>1644</v>
      </c>
      <c r="C648" s="37" t="s">
        <v>1645</v>
      </c>
      <c r="D648" s="37" t="s">
        <v>116</v>
      </c>
    </row>
    <row r="649" spans="1:4" x14ac:dyDescent="0.25">
      <c r="A649" s="37">
        <v>1693181</v>
      </c>
      <c r="B649" s="37" t="s">
        <v>333</v>
      </c>
      <c r="C649" s="37" t="s">
        <v>574</v>
      </c>
      <c r="D649" s="37" t="s">
        <v>116</v>
      </c>
    </row>
    <row r="650" spans="1:4" x14ac:dyDescent="0.25">
      <c r="A650" s="37">
        <v>1234561</v>
      </c>
      <c r="B650" s="37" t="s">
        <v>1646</v>
      </c>
      <c r="C650" s="37" t="s">
        <v>1647</v>
      </c>
      <c r="D650" s="37" t="s">
        <v>116</v>
      </c>
    </row>
    <row r="651" spans="1:4" x14ac:dyDescent="0.25">
      <c r="A651" s="37">
        <v>4521232</v>
      </c>
      <c r="B651" s="37" t="s">
        <v>1648</v>
      </c>
      <c r="C651" s="37" t="s">
        <v>1649</v>
      </c>
      <c r="D651" s="37" t="s">
        <v>116</v>
      </c>
    </row>
    <row r="652" spans="1:4" x14ac:dyDescent="0.25">
      <c r="A652" s="37">
        <v>5323621</v>
      </c>
      <c r="B652" s="37" t="s">
        <v>1650</v>
      </c>
      <c r="C652" s="37" t="s">
        <v>962</v>
      </c>
      <c r="D652" s="37" t="s">
        <v>116</v>
      </c>
    </row>
    <row r="653" spans="1:4" x14ac:dyDescent="0.25">
      <c r="A653" s="37">
        <v>1796376</v>
      </c>
      <c r="B653" s="37" t="s">
        <v>3253</v>
      </c>
      <c r="C653" s="37" t="s">
        <v>659</v>
      </c>
      <c r="D653" s="37" t="s">
        <v>116</v>
      </c>
    </row>
    <row r="654" spans="1:4" x14ac:dyDescent="0.25">
      <c r="A654" s="37">
        <v>2409788</v>
      </c>
      <c r="B654" s="37" t="s">
        <v>455</v>
      </c>
      <c r="C654" s="37" t="s">
        <v>143</v>
      </c>
      <c r="D654" s="37" t="s">
        <v>116</v>
      </c>
    </row>
    <row r="655" spans="1:4" x14ac:dyDescent="0.25">
      <c r="A655" s="37">
        <v>1798720</v>
      </c>
      <c r="B655" s="37" t="s">
        <v>1363</v>
      </c>
      <c r="C655" s="37" t="s">
        <v>1651</v>
      </c>
      <c r="D655" s="37" t="s">
        <v>116</v>
      </c>
    </row>
    <row r="656" spans="1:4" x14ac:dyDescent="0.25">
      <c r="A656" s="37">
        <v>6233302</v>
      </c>
      <c r="B656" s="37" t="s">
        <v>1081</v>
      </c>
      <c r="C656" s="37" t="s">
        <v>593</v>
      </c>
      <c r="D656" s="37" t="s">
        <v>116</v>
      </c>
    </row>
    <row r="657" spans="1:4" x14ac:dyDescent="0.25">
      <c r="A657" s="37">
        <v>3225637</v>
      </c>
      <c r="B657" s="37" t="s">
        <v>1650</v>
      </c>
      <c r="C657" s="37" t="s">
        <v>962</v>
      </c>
      <c r="D657" s="37" t="s">
        <v>116</v>
      </c>
    </row>
    <row r="658" spans="1:4" x14ac:dyDescent="0.25">
      <c r="A658" s="37">
        <v>6066752</v>
      </c>
      <c r="B658" s="37" t="s">
        <v>1652</v>
      </c>
      <c r="C658" s="37" t="s">
        <v>1653</v>
      </c>
      <c r="D658" s="37" t="s">
        <v>116</v>
      </c>
    </row>
    <row r="659" spans="1:4" x14ac:dyDescent="0.25">
      <c r="A659" s="37">
        <v>4545212</v>
      </c>
      <c r="B659" s="37" t="s">
        <v>1654</v>
      </c>
      <c r="C659" s="37" t="s">
        <v>1655</v>
      </c>
      <c r="D659" s="37" t="s">
        <v>116</v>
      </c>
    </row>
    <row r="660" spans="1:4" x14ac:dyDescent="0.25">
      <c r="A660" s="37">
        <v>2048458</v>
      </c>
      <c r="B660" s="37" t="s">
        <v>1656</v>
      </c>
      <c r="C660" s="37" t="s">
        <v>1016</v>
      </c>
      <c r="D660" s="37" t="s">
        <v>116</v>
      </c>
    </row>
    <row r="661" spans="1:4" x14ac:dyDescent="0.25">
      <c r="A661" s="37">
        <v>3354511</v>
      </c>
      <c r="B661" s="37" t="s">
        <v>1657</v>
      </c>
      <c r="C661" s="37" t="s">
        <v>1658</v>
      </c>
      <c r="D661" s="37" t="s">
        <v>116</v>
      </c>
    </row>
    <row r="662" spans="1:4" x14ac:dyDescent="0.25">
      <c r="A662" s="37">
        <v>7858719</v>
      </c>
      <c r="B662" s="37" t="s">
        <v>1659</v>
      </c>
      <c r="C662" s="37" t="s">
        <v>1647</v>
      </c>
      <c r="D662" s="37" t="s">
        <v>116</v>
      </c>
    </row>
    <row r="663" spans="1:4" x14ac:dyDescent="0.25">
      <c r="A663" s="37" t="s">
        <v>1660</v>
      </c>
      <c r="B663" s="37" t="s">
        <v>1661</v>
      </c>
      <c r="C663" s="37" t="s">
        <v>219</v>
      </c>
      <c r="D663" s="37" t="s">
        <v>116</v>
      </c>
    </row>
    <row r="664" spans="1:4" x14ac:dyDescent="0.25">
      <c r="A664" s="37" t="s">
        <v>1662</v>
      </c>
      <c r="B664" s="37" t="s">
        <v>1447</v>
      </c>
      <c r="C664" s="37" t="s">
        <v>1663</v>
      </c>
      <c r="D664" s="37" t="s">
        <v>116</v>
      </c>
    </row>
    <row r="665" spans="1:4" x14ac:dyDescent="0.25">
      <c r="A665" s="37" t="s">
        <v>1664</v>
      </c>
      <c r="B665" s="37" t="s">
        <v>272</v>
      </c>
      <c r="C665" s="37" t="s">
        <v>1665</v>
      </c>
      <c r="D665" s="37" t="s">
        <v>116</v>
      </c>
    </row>
    <row r="666" spans="1:4" x14ac:dyDescent="0.25">
      <c r="A666" s="37" t="s">
        <v>1666</v>
      </c>
      <c r="B666" s="37" t="s">
        <v>755</v>
      </c>
      <c r="C666" s="37" t="s">
        <v>673</v>
      </c>
      <c r="D666" s="37" t="s">
        <v>116</v>
      </c>
    </row>
    <row r="667" spans="1:4" x14ac:dyDescent="0.25">
      <c r="A667" s="37" t="s">
        <v>1667</v>
      </c>
      <c r="B667" s="37" t="s">
        <v>1668</v>
      </c>
      <c r="C667" s="37" t="s">
        <v>1669</v>
      </c>
      <c r="D667" s="37" t="s">
        <v>116</v>
      </c>
    </row>
    <row r="668" spans="1:4" x14ac:dyDescent="0.25">
      <c r="A668" s="37" t="s">
        <v>1670</v>
      </c>
      <c r="B668" s="37" t="s">
        <v>1671</v>
      </c>
      <c r="C668" s="37" t="s">
        <v>1672</v>
      </c>
      <c r="D668" s="37" t="s">
        <v>116</v>
      </c>
    </row>
    <row r="669" spans="1:4" x14ac:dyDescent="0.25">
      <c r="A669" s="37" t="s">
        <v>1673</v>
      </c>
      <c r="B669" s="37" t="s">
        <v>1674</v>
      </c>
      <c r="C669" s="37" t="s">
        <v>1675</v>
      </c>
      <c r="D669" s="37" t="s">
        <v>116</v>
      </c>
    </row>
    <row r="670" spans="1:4" x14ac:dyDescent="0.25">
      <c r="A670" s="37" t="s">
        <v>1676</v>
      </c>
      <c r="B670" s="37" t="s">
        <v>1677</v>
      </c>
      <c r="C670" s="37" t="s">
        <v>1678</v>
      </c>
      <c r="D670" s="37" t="s">
        <v>116</v>
      </c>
    </row>
    <row r="671" spans="1:4" x14ac:dyDescent="0.25">
      <c r="A671" s="37" t="s">
        <v>1679</v>
      </c>
      <c r="B671" s="37" t="s">
        <v>398</v>
      </c>
      <c r="C671" s="37" t="s">
        <v>802</v>
      </c>
      <c r="D671" s="37" t="s">
        <v>116</v>
      </c>
    </row>
    <row r="672" spans="1:4" x14ac:dyDescent="0.25">
      <c r="A672" s="37" t="s">
        <v>1680</v>
      </c>
      <c r="B672" s="37" t="s">
        <v>1081</v>
      </c>
      <c r="C672" s="37" t="s">
        <v>1681</v>
      </c>
      <c r="D672" s="37" t="s">
        <v>116</v>
      </c>
    </row>
    <row r="673" spans="1:4" x14ac:dyDescent="0.25">
      <c r="A673" s="37" t="s">
        <v>1682</v>
      </c>
      <c r="B673" s="37" t="s">
        <v>323</v>
      </c>
      <c r="C673" s="37" t="s">
        <v>405</v>
      </c>
      <c r="D673" s="37" t="s">
        <v>116</v>
      </c>
    </row>
    <row r="674" spans="1:4" x14ac:dyDescent="0.25">
      <c r="A674" s="37" t="s">
        <v>1683</v>
      </c>
      <c r="B674" s="37" t="s">
        <v>1684</v>
      </c>
      <c r="C674" s="37" t="s">
        <v>788</v>
      </c>
      <c r="D674" s="37" t="s">
        <v>116</v>
      </c>
    </row>
    <row r="675" spans="1:4" x14ac:dyDescent="0.25">
      <c r="A675" s="37" t="s">
        <v>1685</v>
      </c>
      <c r="B675" s="37" t="s">
        <v>1686</v>
      </c>
      <c r="C675" s="37" t="s">
        <v>1687</v>
      </c>
      <c r="D675" s="37" t="s">
        <v>116</v>
      </c>
    </row>
    <row r="676" spans="1:4" x14ac:dyDescent="0.25">
      <c r="A676" s="37" t="s">
        <v>1688</v>
      </c>
      <c r="B676" s="37" t="s">
        <v>1689</v>
      </c>
      <c r="C676" s="37" t="s">
        <v>1690</v>
      </c>
      <c r="D676" s="37" t="s">
        <v>116</v>
      </c>
    </row>
    <row r="677" spans="1:4" x14ac:dyDescent="0.25">
      <c r="A677" s="37" t="s">
        <v>1691</v>
      </c>
      <c r="B677" s="37" t="s">
        <v>1692</v>
      </c>
      <c r="C677" s="37" t="s">
        <v>1693</v>
      </c>
      <c r="D677" s="37" t="s">
        <v>116</v>
      </c>
    </row>
    <row r="678" spans="1:4" x14ac:dyDescent="0.25">
      <c r="A678" s="37" t="s">
        <v>1694</v>
      </c>
      <c r="B678" s="37" t="s">
        <v>1695</v>
      </c>
      <c r="C678" s="37" t="s">
        <v>1696</v>
      </c>
      <c r="D678" s="37" t="s">
        <v>116</v>
      </c>
    </row>
    <row r="679" spans="1:4" x14ac:dyDescent="0.25">
      <c r="A679" s="37" t="s">
        <v>1697</v>
      </c>
      <c r="B679" s="37" t="s">
        <v>1698</v>
      </c>
      <c r="C679" s="37" t="s">
        <v>1699</v>
      </c>
      <c r="D679" s="37" t="s">
        <v>116</v>
      </c>
    </row>
    <row r="680" spans="1:4" x14ac:dyDescent="0.25">
      <c r="A680" s="37" t="s">
        <v>1700</v>
      </c>
      <c r="B680" s="37" t="s">
        <v>1701</v>
      </c>
      <c r="C680" s="37" t="s">
        <v>1702</v>
      </c>
      <c r="D680" s="37" t="s">
        <v>116</v>
      </c>
    </row>
    <row r="681" spans="1:4" x14ac:dyDescent="0.25">
      <c r="A681" s="37" t="s">
        <v>1703</v>
      </c>
      <c r="B681" s="37" t="s">
        <v>1074</v>
      </c>
      <c r="C681" s="37" t="s">
        <v>1884</v>
      </c>
      <c r="D681" s="37" t="s">
        <v>116</v>
      </c>
    </row>
    <row r="682" spans="1:4" x14ac:dyDescent="0.25">
      <c r="A682" s="37" t="s">
        <v>1705</v>
      </c>
      <c r="B682" s="37" t="s">
        <v>1706</v>
      </c>
      <c r="C682" s="37" t="s">
        <v>1707</v>
      </c>
      <c r="D682" s="37" t="s">
        <v>116</v>
      </c>
    </row>
    <row r="683" spans="1:4" x14ac:dyDescent="0.25">
      <c r="A683" s="37" t="s">
        <v>1708</v>
      </c>
      <c r="B683" s="37" t="s">
        <v>1709</v>
      </c>
      <c r="C683" s="37" t="s">
        <v>242</v>
      </c>
      <c r="D683" s="37" t="s">
        <v>116</v>
      </c>
    </row>
    <row r="684" spans="1:4" x14ac:dyDescent="0.25">
      <c r="A684" s="37" t="s">
        <v>1710</v>
      </c>
      <c r="B684" s="37" t="s">
        <v>1711</v>
      </c>
      <c r="C684" s="37" t="s">
        <v>485</v>
      </c>
      <c r="D684" s="37" t="s">
        <v>116</v>
      </c>
    </row>
    <row r="685" spans="1:4" x14ac:dyDescent="0.25">
      <c r="A685" s="37" t="s">
        <v>1712</v>
      </c>
      <c r="B685" s="37" t="s">
        <v>211</v>
      </c>
      <c r="C685" s="37" t="s">
        <v>1208</v>
      </c>
      <c r="D685" s="37" t="s">
        <v>116</v>
      </c>
    </row>
    <row r="686" spans="1:4" x14ac:dyDescent="0.25">
      <c r="A686" s="37" t="s">
        <v>1713</v>
      </c>
      <c r="B686" s="37" t="s">
        <v>671</v>
      </c>
      <c r="C686" s="37" t="s">
        <v>1714</v>
      </c>
      <c r="D686" s="37" t="s">
        <v>116</v>
      </c>
    </row>
    <row r="687" spans="1:4" x14ac:dyDescent="0.25">
      <c r="A687" s="37" t="s">
        <v>1715</v>
      </c>
      <c r="B687" s="37" t="s">
        <v>1716</v>
      </c>
      <c r="C687" s="37" t="s">
        <v>1717</v>
      </c>
      <c r="D687" s="37" t="s">
        <v>116</v>
      </c>
    </row>
    <row r="688" spans="1:4" x14ac:dyDescent="0.25">
      <c r="A688" s="37" t="s">
        <v>1718</v>
      </c>
      <c r="B688" s="37" t="s">
        <v>695</v>
      </c>
      <c r="C688" s="37" t="s">
        <v>1719</v>
      </c>
      <c r="D688" s="37" t="s">
        <v>116</v>
      </c>
    </row>
    <row r="689" spans="1:4" x14ac:dyDescent="0.25">
      <c r="A689" s="37" t="s">
        <v>1720</v>
      </c>
      <c r="B689" s="37" t="s">
        <v>1721</v>
      </c>
      <c r="C689" s="37" t="s">
        <v>1424</v>
      </c>
      <c r="D689" s="37" t="s">
        <v>116</v>
      </c>
    </row>
    <row r="690" spans="1:4" x14ac:dyDescent="0.25">
      <c r="A690" s="37" t="s">
        <v>1722</v>
      </c>
      <c r="B690" s="37" t="s">
        <v>1723</v>
      </c>
      <c r="C690" s="37" t="s">
        <v>1418</v>
      </c>
      <c r="D690" s="37" t="s">
        <v>116</v>
      </c>
    </row>
    <row r="691" spans="1:4" x14ac:dyDescent="0.25">
      <c r="A691" s="37" t="s">
        <v>1724</v>
      </c>
      <c r="B691" s="37" t="s">
        <v>900</v>
      </c>
      <c r="C691" s="37" t="s">
        <v>1725</v>
      </c>
      <c r="D691" s="37" t="s">
        <v>116</v>
      </c>
    </row>
    <row r="692" spans="1:4" x14ac:dyDescent="0.25">
      <c r="A692" s="37" t="s">
        <v>1726</v>
      </c>
      <c r="B692" s="37" t="s">
        <v>1727</v>
      </c>
      <c r="C692" s="37" t="s">
        <v>1728</v>
      </c>
      <c r="D692" s="37" t="s">
        <v>116</v>
      </c>
    </row>
    <row r="693" spans="1:4" x14ac:dyDescent="0.25">
      <c r="A693" s="37" t="s">
        <v>1729</v>
      </c>
      <c r="B693" s="37" t="s">
        <v>1391</v>
      </c>
      <c r="C693" s="37" t="s">
        <v>555</v>
      </c>
      <c r="D693" s="37" t="s">
        <v>116</v>
      </c>
    </row>
    <row r="694" spans="1:4" x14ac:dyDescent="0.25">
      <c r="A694" s="37" t="s">
        <v>1730</v>
      </c>
      <c r="B694" s="37" t="s">
        <v>790</v>
      </c>
      <c r="C694" s="37" t="s">
        <v>890</v>
      </c>
      <c r="D694" s="37" t="s">
        <v>116</v>
      </c>
    </row>
    <row r="695" spans="1:4" x14ac:dyDescent="0.25">
      <c r="A695" s="37" t="s">
        <v>1731</v>
      </c>
      <c r="B695" s="37" t="s">
        <v>1732</v>
      </c>
      <c r="C695" s="37" t="s">
        <v>916</v>
      </c>
      <c r="D695" s="37" t="s">
        <v>116</v>
      </c>
    </row>
    <row r="696" spans="1:4" x14ac:dyDescent="0.25">
      <c r="A696" s="37" t="s">
        <v>1733</v>
      </c>
      <c r="B696" s="37" t="s">
        <v>1734</v>
      </c>
      <c r="C696" s="37" t="s">
        <v>1645</v>
      </c>
      <c r="D696" s="37" t="s">
        <v>116</v>
      </c>
    </row>
    <row r="697" spans="1:4" x14ac:dyDescent="0.25">
      <c r="A697" s="37" t="s">
        <v>1735</v>
      </c>
      <c r="B697" s="37" t="s">
        <v>1736</v>
      </c>
      <c r="C697" s="37" t="s">
        <v>266</v>
      </c>
      <c r="D697" s="37" t="s">
        <v>116</v>
      </c>
    </row>
    <row r="698" spans="1:4" x14ac:dyDescent="0.25">
      <c r="A698" s="37" t="s">
        <v>1737</v>
      </c>
      <c r="B698" s="37" t="s">
        <v>1738</v>
      </c>
      <c r="C698" s="37" t="s">
        <v>1739</v>
      </c>
      <c r="D698" s="37" t="s">
        <v>116</v>
      </c>
    </row>
    <row r="699" spans="1:4" x14ac:dyDescent="0.25">
      <c r="A699" s="37" t="s">
        <v>255</v>
      </c>
      <c r="B699" s="37" t="s">
        <v>253</v>
      </c>
      <c r="C699" s="37" t="s">
        <v>254</v>
      </c>
      <c r="D699" s="37" t="s">
        <v>116</v>
      </c>
    </row>
    <row r="700" spans="1:4" x14ac:dyDescent="0.25">
      <c r="A700" s="37" t="s">
        <v>1740</v>
      </c>
      <c r="B700" s="37" t="s">
        <v>526</v>
      </c>
      <c r="C700" s="37" t="s">
        <v>197</v>
      </c>
      <c r="D700" s="37" t="s">
        <v>116</v>
      </c>
    </row>
    <row r="701" spans="1:4" x14ac:dyDescent="0.25">
      <c r="A701" s="37" t="s">
        <v>1741</v>
      </c>
      <c r="B701" s="37" t="s">
        <v>1742</v>
      </c>
      <c r="C701" s="37" t="s">
        <v>1743</v>
      </c>
      <c r="D701" s="37" t="s">
        <v>116</v>
      </c>
    </row>
    <row r="702" spans="1:4" x14ac:dyDescent="0.25">
      <c r="A702" s="37" t="s">
        <v>1744</v>
      </c>
      <c r="B702" s="37" t="s">
        <v>408</v>
      </c>
      <c r="C702" s="37" t="s">
        <v>1745</v>
      </c>
      <c r="D702" s="37" t="s">
        <v>116</v>
      </c>
    </row>
    <row r="703" spans="1:4" x14ac:dyDescent="0.25">
      <c r="A703" s="37" t="s">
        <v>1746</v>
      </c>
      <c r="B703" s="37" t="s">
        <v>753</v>
      </c>
      <c r="C703" s="37" t="s">
        <v>1747</v>
      </c>
      <c r="D703" s="37" t="s">
        <v>116</v>
      </c>
    </row>
    <row r="704" spans="1:4" x14ac:dyDescent="0.25">
      <c r="A704" s="37" t="s">
        <v>1748</v>
      </c>
      <c r="B704" s="37" t="s">
        <v>1749</v>
      </c>
      <c r="C704" s="37" t="s">
        <v>1750</v>
      </c>
      <c r="D704" s="37" t="s">
        <v>116</v>
      </c>
    </row>
    <row r="705" spans="1:4" x14ac:dyDescent="0.25">
      <c r="A705" s="37" t="s">
        <v>1751</v>
      </c>
      <c r="B705" s="37" t="s">
        <v>1752</v>
      </c>
      <c r="C705" s="37" t="s">
        <v>1753</v>
      </c>
      <c r="D705" s="37" t="s">
        <v>116</v>
      </c>
    </row>
    <row r="706" spans="1:4" x14ac:dyDescent="0.25">
      <c r="A706" s="37" t="s">
        <v>1754</v>
      </c>
      <c r="B706" s="37" t="s">
        <v>401</v>
      </c>
      <c r="C706" s="37" t="s">
        <v>1755</v>
      </c>
      <c r="D706" s="37" t="s">
        <v>116</v>
      </c>
    </row>
    <row r="707" spans="1:4" x14ac:dyDescent="0.25">
      <c r="A707" s="37" t="s">
        <v>1756</v>
      </c>
      <c r="B707" s="37" t="s">
        <v>1757</v>
      </c>
      <c r="C707" s="37" t="s">
        <v>1758</v>
      </c>
      <c r="D707" s="37" t="s">
        <v>116</v>
      </c>
    </row>
    <row r="708" spans="1:4" x14ac:dyDescent="0.25">
      <c r="A708" s="37" t="s">
        <v>1759</v>
      </c>
      <c r="B708" s="37" t="s">
        <v>1760</v>
      </c>
      <c r="C708" s="37" t="s">
        <v>1761</v>
      </c>
      <c r="D708" s="37" t="s">
        <v>116</v>
      </c>
    </row>
    <row r="709" spans="1:4" x14ac:dyDescent="0.25">
      <c r="A709" s="37" t="s">
        <v>1762</v>
      </c>
      <c r="B709" s="37" t="s">
        <v>1763</v>
      </c>
      <c r="C709" s="37" t="s">
        <v>254</v>
      </c>
      <c r="D709" s="37" t="s">
        <v>116</v>
      </c>
    </row>
    <row r="710" spans="1:4" x14ac:dyDescent="0.25">
      <c r="A710" s="37" t="s">
        <v>1764</v>
      </c>
      <c r="B710" s="37" t="s">
        <v>1765</v>
      </c>
      <c r="C710" s="37" t="s">
        <v>1247</v>
      </c>
      <c r="D710" s="37" t="s">
        <v>116</v>
      </c>
    </row>
    <row r="711" spans="1:4" x14ac:dyDescent="0.25">
      <c r="A711" s="37" t="s">
        <v>1766</v>
      </c>
      <c r="B711" s="37" t="s">
        <v>272</v>
      </c>
      <c r="C711" s="37" t="s">
        <v>1672</v>
      </c>
      <c r="D711" s="37" t="s">
        <v>116</v>
      </c>
    </row>
    <row r="712" spans="1:4" x14ac:dyDescent="0.25">
      <c r="A712" s="37" t="s">
        <v>1767</v>
      </c>
      <c r="B712" s="37" t="s">
        <v>1768</v>
      </c>
      <c r="C712" s="37" t="s">
        <v>149</v>
      </c>
      <c r="D712" s="37" t="s">
        <v>116</v>
      </c>
    </row>
    <row r="713" spans="1:4" x14ac:dyDescent="0.25">
      <c r="A713" s="37" t="s">
        <v>1769</v>
      </c>
      <c r="B713" s="37" t="s">
        <v>1770</v>
      </c>
      <c r="C713" s="37" t="s">
        <v>1373</v>
      </c>
      <c r="D713" s="37" t="s">
        <v>116</v>
      </c>
    </row>
    <row r="714" spans="1:4" x14ac:dyDescent="0.25">
      <c r="A714" s="37" t="s">
        <v>1771</v>
      </c>
      <c r="B714" s="37" t="s">
        <v>538</v>
      </c>
      <c r="C714" s="37" t="s">
        <v>1772</v>
      </c>
      <c r="D714" s="37" t="s">
        <v>116</v>
      </c>
    </row>
    <row r="715" spans="1:4" x14ac:dyDescent="0.25">
      <c r="A715" s="37" t="s">
        <v>1773</v>
      </c>
      <c r="B715" s="37" t="s">
        <v>1774</v>
      </c>
      <c r="C715" s="37" t="s">
        <v>1775</v>
      </c>
      <c r="D715" s="37" t="s">
        <v>116</v>
      </c>
    </row>
    <row r="716" spans="1:4" x14ac:dyDescent="0.25">
      <c r="A716" s="37" t="s">
        <v>1776</v>
      </c>
      <c r="B716" s="37" t="s">
        <v>1777</v>
      </c>
      <c r="C716" s="37" t="s">
        <v>242</v>
      </c>
      <c r="D716" s="37" t="s">
        <v>116</v>
      </c>
    </row>
    <row r="717" spans="1:4" x14ac:dyDescent="0.25">
      <c r="A717" s="37" t="s">
        <v>422</v>
      </c>
      <c r="B717" s="37" t="s">
        <v>1777</v>
      </c>
      <c r="C717" s="37" t="s">
        <v>242</v>
      </c>
      <c r="D717" s="37" t="s">
        <v>116</v>
      </c>
    </row>
    <row r="718" spans="1:4" x14ac:dyDescent="0.25">
      <c r="A718" s="37" t="s">
        <v>1778</v>
      </c>
      <c r="B718" s="37" t="s">
        <v>1779</v>
      </c>
      <c r="C718" s="37" t="s">
        <v>1780</v>
      </c>
      <c r="D718" s="37" t="s">
        <v>116</v>
      </c>
    </row>
    <row r="719" spans="1:4" x14ac:dyDescent="0.25">
      <c r="A719" s="37" t="s">
        <v>392</v>
      </c>
      <c r="B719" s="37" t="s">
        <v>1781</v>
      </c>
      <c r="C719" s="37" t="s">
        <v>266</v>
      </c>
      <c r="D719" s="37" t="s">
        <v>116</v>
      </c>
    </row>
    <row r="720" spans="1:4" x14ac:dyDescent="0.25">
      <c r="A720" s="37" t="s">
        <v>1782</v>
      </c>
      <c r="B720" s="37" t="s">
        <v>802</v>
      </c>
      <c r="C720" s="37" t="s">
        <v>1783</v>
      </c>
      <c r="D720" s="37" t="s">
        <v>116</v>
      </c>
    </row>
    <row r="721" spans="1:4" x14ac:dyDescent="0.25">
      <c r="A721" s="37" t="s">
        <v>1784</v>
      </c>
      <c r="B721" s="37" t="s">
        <v>221</v>
      </c>
      <c r="C721" s="37" t="s">
        <v>1785</v>
      </c>
      <c r="D721" s="37" t="s">
        <v>116</v>
      </c>
    </row>
    <row r="722" spans="1:4" x14ac:dyDescent="0.25">
      <c r="A722" s="37" t="s">
        <v>1786</v>
      </c>
      <c r="B722" s="37" t="s">
        <v>1787</v>
      </c>
      <c r="C722" s="37" t="s">
        <v>541</v>
      </c>
      <c r="D722" s="37" t="s">
        <v>116</v>
      </c>
    </row>
    <row r="723" spans="1:4" x14ac:dyDescent="0.25">
      <c r="A723" s="37" t="s">
        <v>1788</v>
      </c>
      <c r="B723" s="37" t="s">
        <v>753</v>
      </c>
      <c r="C723" s="37" t="s">
        <v>1789</v>
      </c>
      <c r="D723" s="37" t="s">
        <v>116</v>
      </c>
    </row>
    <row r="724" spans="1:4" x14ac:dyDescent="0.25">
      <c r="A724" s="37" t="s">
        <v>1790</v>
      </c>
      <c r="B724" s="37" t="s">
        <v>447</v>
      </c>
      <c r="C724" s="37" t="s">
        <v>503</v>
      </c>
      <c r="D724" s="37" t="s">
        <v>116</v>
      </c>
    </row>
    <row r="725" spans="1:4" x14ac:dyDescent="0.25">
      <c r="A725" s="37" t="s">
        <v>1791</v>
      </c>
      <c r="B725" s="37" t="s">
        <v>466</v>
      </c>
      <c r="C725" s="37" t="s">
        <v>1792</v>
      </c>
      <c r="D725" s="37" t="s">
        <v>116</v>
      </c>
    </row>
    <row r="726" spans="1:4" x14ac:dyDescent="0.25">
      <c r="A726" s="37" t="s">
        <v>1793</v>
      </c>
      <c r="B726" s="37" t="s">
        <v>1794</v>
      </c>
      <c r="C726" s="37" t="s">
        <v>1795</v>
      </c>
      <c r="D726" s="37" t="s">
        <v>116</v>
      </c>
    </row>
    <row r="727" spans="1:4" x14ac:dyDescent="0.25">
      <c r="A727" s="37" t="s">
        <v>1796</v>
      </c>
      <c r="B727" s="37" t="s">
        <v>1351</v>
      </c>
      <c r="C727" s="37" t="s">
        <v>1797</v>
      </c>
      <c r="D727" s="37" t="s">
        <v>116</v>
      </c>
    </row>
    <row r="728" spans="1:4" x14ac:dyDescent="0.25">
      <c r="A728" s="37" t="s">
        <v>1798</v>
      </c>
      <c r="B728" s="37" t="s">
        <v>1799</v>
      </c>
      <c r="C728" s="37" t="s">
        <v>651</v>
      </c>
      <c r="D728" s="37" t="s">
        <v>116</v>
      </c>
    </row>
    <row r="729" spans="1:4" x14ac:dyDescent="0.25">
      <c r="A729" s="37" t="s">
        <v>1800</v>
      </c>
      <c r="B729" s="37" t="s">
        <v>1801</v>
      </c>
      <c r="C729" s="37" t="s">
        <v>1802</v>
      </c>
      <c r="D729" s="37" t="s">
        <v>116</v>
      </c>
    </row>
    <row r="730" spans="1:4" x14ac:dyDescent="0.25">
      <c r="A730" s="37" t="s">
        <v>1803</v>
      </c>
      <c r="B730" s="37" t="s">
        <v>1804</v>
      </c>
      <c r="C730" s="37" t="s">
        <v>1424</v>
      </c>
      <c r="D730" s="37" t="s">
        <v>116</v>
      </c>
    </row>
    <row r="731" spans="1:4" x14ac:dyDescent="0.25">
      <c r="A731" s="37" t="s">
        <v>1805</v>
      </c>
      <c r="B731" s="37" t="s">
        <v>1806</v>
      </c>
      <c r="C731" s="37" t="s">
        <v>686</v>
      </c>
      <c r="D731" s="37" t="s">
        <v>116</v>
      </c>
    </row>
    <row r="732" spans="1:4" x14ac:dyDescent="0.25">
      <c r="A732" s="37" t="s">
        <v>1807</v>
      </c>
      <c r="B732" s="37" t="s">
        <v>1808</v>
      </c>
      <c r="C732" s="37" t="s">
        <v>962</v>
      </c>
      <c r="D732" s="37" t="s">
        <v>116</v>
      </c>
    </row>
    <row r="733" spans="1:4" x14ac:dyDescent="0.25">
      <c r="A733" s="37" t="s">
        <v>1809</v>
      </c>
      <c r="B733" s="37" t="s">
        <v>1810</v>
      </c>
      <c r="C733" s="37" t="s">
        <v>1811</v>
      </c>
      <c r="D733" s="37" t="s">
        <v>116</v>
      </c>
    </row>
    <row r="734" spans="1:4" x14ac:dyDescent="0.25">
      <c r="A734" s="37" t="s">
        <v>1812</v>
      </c>
      <c r="B734" s="37" t="s">
        <v>1813</v>
      </c>
      <c r="C734" s="37" t="s">
        <v>1814</v>
      </c>
      <c r="D734" s="37" t="s">
        <v>116</v>
      </c>
    </row>
    <row r="735" spans="1:4" x14ac:dyDescent="0.25">
      <c r="A735" s="37" t="s">
        <v>1815</v>
      </c>
      <c r="B735" s="37" t="s">
        <v>1816</v>
      </c>
      <c r="C735" s="37" t="s">
        <v>1817</v>
      </c>
      <c r="D735" s="37" t="s">
        <v>116</v>
      </c>
    </row>
    <row r="736" spans="1:4" x14ac:dyDescent="0.25">
      <c r="A736" s="37" t="s">
        <v>1818</v>
      </c>
      <c r="B736" s="37" t="s">
        <v>1819</v>
      </c>
      <c r="C736" s="37" t="s">
        <v>974</v>
      </c>
      <c r="D736" s="37" t="s">
        <v>116</v>
      </c>
    </row>
    <row r="737" spans="1:4" x14ac:dyDescent="0.25">
      <c r="A737" s="37" t="s">
        <v>1820</v>
      </c>
      <c r="B737" s="37" t="s">
        <v>549</v>
      </c>
      <c r="C737" s="37" t="s">
        <v>280</v>
      </c>
      <c r="D737" s="37" t="s">
        <v>116</v>
      </c>
    </row>
    <row r="738" spans="1:4" x14ac:dyDescent="0.25">
      <c r="A738" s="37" t="s">
        <v>1821</v>
      </c>
      <c r="B738" s="37" t="s">
        <v>1822</v>
      </c>
      <c r="C738" s="37" t="s">
        <v>1823</v>
      </c>
      <c r="D738" s="37" t="s">
        <v>116</v>
      </c>
    </row>
    <row r="739" spans="1:4" x14ac:dyDescent="0.25">
      <c r="A739" s="37" t="s">
        <v>1824</v>
      </c>
      <c r="B739" s="37" t="s">
        <v>1032</v>
      </c>
      <c r="C739" s="37" t="s">
        <v>574</v>
      </c>
      <c r="D739" s="37" t="s">
        <v>116</v>
      </c>
    </row>
    <row r="740" spans="1:4" x14ac:dyDescent="0.25">
      <c r="A740" s="37" t="s">
        <v>1825</v>
      </c>
      <c r="B740" s="37" t="s">
        <v>435</v>
      </c>
      <c r="C740" s="37" t="s">
        <v>1826</v>
      </c>
      <c r="D740" s="37" t="s">
        <v>116</v>
      </c>
    </row>
    <row r="741" spans="1:4" x14ac:dyDescent="0.25">
      <c r="A741" s="37" t="s">
        <v>1827</v>
      </c>
      <c r="B741" s="37" t="s">
        <v>1828</v>
      </c>
      <c r="C741" s="37" t="s">
        <v>783</v>
      </c>
      <c r="D741" s="37" t="s">
        <v>116</v>
      </c>
    </row>
    <row r="742" spans="1:4" x14ac:dyDescent="0.25">
      <c r="A742" s="37" t="s">
        <v>1829</v>
      </c>
      <c r="B742" s="37" t="s">
        <v>1013</v>
      </c>
      <c r="C742" s="37" t="s">
        <v>531</v>
      </c>
      <c r="D742" s="37" t="s">
        <v>116</v>
      </c>
    </row>
    <row r="743" spans="1:4" x14ac:dyDescent="0.25">
      <c r="A743" s="37" t="s">
        <v>1830</v>
      </c>
      <c r="B743" s="37" t="s">
        <v>1831</v>
      </c>
      <c r="C743" s="37" t="s">
        <v>1832</v>
      </c>
      <c r="D743" s="37" t="s">
        <v>116</v>
      </c>
    </row>
    <row r="744" spans="1:4" x14ac:dyDescent="0.25">
      <c r="A744" s="37" t="s">
        <v>1833</v>
      </c>
      <c r="B744" s="37" t="s">
        <v>1834</v>
      </c>
      <c r="C744" s="37" t="s">
        <v>1835</v>
      </c>
      <c r="D744" s="37" t="s">
        <v>116</v>
      </c>
    </row>
    <row r="745" spans="1:4" x14ac:dyDescent="0.25">
      <c r="A745" s="37" t="s">
        <v>1836</v>
      </c>
      <c r="B745" s="37" t="s">
        <v>1837</v>
      </c>
      <c r="C745" s="37" t="s">
        <v>496</v>
      </c>
      <c r="D745" s="37" t="s">
        <v>116</v>
      </c>
    </row>
    <row r="746" spans="1:4" x14ac:dyDescent="0.25">
      <c r="A746" s="37" t="s">
        <v>1838</v>
      </c>
      <c r="B746" s="37" t="s">
        <v>1837</v>
      </c>
      <c r="C746" s="37" t="s">
        <v>1839</v>
      </c>
      <c r="D746" s="37" t="s">
        <v>116</v>
      </c>
    </row>
    <row r="747" spans="1:4" x14ac:dyDescent="0.25">
      <c r="A747" s="37" t="s">
        <v>1840</v>
      </c>
      <c r="B747" s="37" t="s">
        <v>1841</v>
      </c>
      <c r="C747" s="37" t="s">
        <v>1842</v>
      </c>
      <c r="D747" s="37" t="s">
        <v>116</v>
      </c>
    </row>
    <row r="748" spans="1:4" x14ac:dyDescent="0.25">
      <c r="A748" s="37" t="s">
        <v>1843</v>
      </c>
      <c r="B748" s="37" t="s">
        <v>1844</v>
      </c>
      <c r="C748" s="37" t="s">
        <v>1845</v>
      </c>
      <c r="D748" s="37" t="s">
        <v>116</v>
      </c>
    </row>
    <row r="749" spans="1:4" x14ac:dyDescent="0.25">
      <c r="A749" s="37" t="s">
        <v>1846</v>
      </c>
      <c r="B749" s="37" t="s">
        <v>866</v>
      </c>
      <c r="C749" s="37" t="s">
        <v>1847</v>
      </c>
      <c r="D749" s="37" t="s">
        <v>116</v>
      </c>
    </row>
    <row r="750" spans="1:4" x14ac:dyDescent="0.25">
      <c r="A750" s="37" t="s">
        <v>1848</v>
      </c>
      <c r="B750" s="37" t="s">
        <v>1074</v>
      </c>
      <c r="C750" s="37" t="s">
        <v>1849</v>
      </c>
      <c r="D750" s="37" t="s">
        <v>116</v>
      </c>
    </row>
    <row r="751" spans="1:4" x14ac:dyDescent="0.25">
      <c r="A751" s="37" t="s">
        <v>1850</v>
      </c>
      <c r="B751" s="37" t="s">
        <v>942</v>
      </c>
      <c r="C751" s="37" t="s">
        <v>295</v>
      </c>
      <c r="D751" s="37" t="s">
        <v>116</v>
      </c>
    </row>
    <row r="752" spans="1:4" x14ac:dyDescent="0.25">
      <c r="A752" s="37" t="s">
        <v>1851</v>
      </c>
      <c r="B752" s="37" t="s">
        <v>1852</v>
      </c>
      <c r="C752" s="37" t="s">
        <v>1853</v>
      </c>
      <c r="D752" s="37" t="s">
        <v>116</v>
      </c>
    </row>
    <row r="753" spans="1:4" x14ac:dyDescent="0.25">
      <c r="A753" s="37" t="s">
        <v>1854</v>
      </c>
      <c r="B753" s="37" t="s">
        <v>1855</v>
      </c>
      <c r="C753" s="37" t="s">
        <v>1856</v>
      </c>
      <c r="D753" s="37" t="s">
        <v>116</v>
      </c>
    </row>
    <row r="754" spans="1:4" x14ac:dyDescent="0.25">
      <c r="A754" s="37" t="s">
        <v>1857</v>
      </c>
      <c r="B754" s="37" t="s">
        <v>1333</v>
      </c>
      <c r="C754" s="37" t="s">
        <v>1858</v>
      </c>
      <c r="D754" s="37" t="s">
        <v>116</v>
      </c>
    </row>
    <row r="755" spans="1:4" x14ac:dyDescent="0.25">
      <c r="A755" s="37" t="s">
        <v>1859</v>
      </c>
      <c r="B755" s="37" t="s">
        <v>1860</v>
      </c>
      <c r="C755" s="37" t="s">
        <v>1861</v>
      </c>
      <c r="D755" s="37" t="s">
        <v>116</v>
      </c>
    </row>
    <row r="756" spans="1:4" x14ac:dyDescent="0.25">
      <c r="A756" s="37">
        <v>1066601</v>
      </c>
      <c r="B756" s="37" t="s">
        <v>3254</v>
      </c>
      <c r="C756" s="37" t="s">
        <v>516</v>
      </c>
      <c r="D756" s="37" t="s">
        <v>462</v>
      </c>
    </row>
    <row r="757" spans="1:4" x14ac:dyDescent="0.25">
      <c r="A757" s="37">
        <v>1524925</v>
      </c>
      <c r="B757" s="37" t="s">
        <v>1862</v>
      </c>
      <c r="C757" s="37" t="s">
        <v>1863</v>
      </c>
      <c r="D757" s="37" t="s">
        <v>462</v>
      </c>
    </row>
    <row r="758" spans="1:4" x14ac:dyDescent="0.25">
      <c r="A758" s="37">
        <v>1597128</v>
      </c>
      <c r="B758" s="37" t="s">
        <v>1864</v>
      </c>
      <c r="C758" s="37" t="s">
        <v>1865</v>
      </c>
      <c r="D758" s="37" t="s">
        <v>462</v>
      </c>
    </row>
    <row r="759" spans="1:4" x14ac:dyDescent="0.25">
      <c r="A759" s="37">
        <v>1938178</v>
      </c>
      <c r="B759" s="37" t="s">
        <v>1866</v>
      </c>
      <c r="C759" s="37" t="s">
        <v>1867</v>
      </c>
      <c r="D759" s="37" t="s">
        <v>462</v>
      </c>
    </row>
    <row r="760" spans="1:4" x14ac:dyDescent="0.25">
      <c r="A760" s="37">
        <v>2291744</v>
      </c>
      <c r="B760" s="37" t="s">
        <v>632</v>
      </c>
      <c r="C760" s="37" t="s">
        <v>1868</v>
      </c>
      <c r="D760" s="37" t="s">
        <v>462</v>
      </c>
    </row>
    <row r="761" spans="1:4" x14ac:dyDescent="0.25">
      <c r="A761" s="37">
        <v>2417727</v>
      </c>
      <c r="B761" s="37" t="s">
        <v>1869</v>
      </c>
      <c r="C761" s="37" t="s">
        <v>1470</v>
      </c>
      <c r="D761" s="37" t="s">
        <v>462</v>
      </c>
    </row>
    <row r="762" spans="1:4" x14ac:dyDescent="0.25">
      <c r="A762" s="37" t="s">
        <v>1870</v>
      </c>
      <c r="B762" s="37" t="s">
        <v>653</v>
      </c>
      <c r="C762" s="37" t="s">
        <v>1858</v>
      </c>
      <c r="D762" s="37" t="s">
        <v>462</v>
      </c>
    </row>
    <row r="763" spans="1:4" x14ac:dyDescent="0.25">
      <c r="A763" s="37" t="s">
        <v>1871</v>
      </c>
      <c r="B763" s="37" t="s">
        <v>1872</v>
      </c>
      <c r="C763" s="37" t="s">
        <v>1873</v>
      </c>
      <c r="D763" s="37" t="s">
        <v>462</v>
      </c>
    </row>
    <row r="764" spans="1:4" x14ac:dyDescent="0.25">
      <c r="A764" s="37" t="s">
        <v>1874</v>
      </c>
      <c r="B764" s="37" t="s">
        <v>1875</v>
      </c>
      <c r="C764" s="37" t="s">
        <v>1095</v>
      </c>
      <c r="D764" s="37" t="s">
        <v>462</v>
      </c>
    </row>
    <row r="765" spans="1:4" x14ac:dyDescent="0.25">
      <c r="A765" s="37" t="s">
        <v>1876</v>
      </c>
      <c r="B765" s="37" t="s">
        <v>1176</v>
      </c>
      <c r="C765" s="37" t="s">
        <v>1435</v>
      </c>
      <c r="D765" s="37" t="s">
        <v>462</v>
      </c>
    </row>
    <row r="766" spans="1:4" x14ac:dyDescent="0.25">
      <c r="A766" s="37" t="s">
        <v>1877</v>
      </c>
      <c r="B766" s="37" t="s">
        <v>1878</v>
      </c>
      <c r="C766" s="37" t="s">
        <v>149</v>
      </c>
      <c r="D766" s="37" t="s">
        <v>462</v>
      </c>
    </row>
    <row r="767" spans="1:4" x14ac:dyDescent="0.25">
      <c r="A767" s="37" t="s">
        <v>1879</v>
      </c>
      <c r="B767" s="37" t="s">
        <v>1880</v>
      </c>
      <c r="C767" s="37" t="s">
        <v>1347</v>
      </c>
      <c r="D767" s="37" t="s">
        <v>462</v>
      </c>
    </row>
    <row r="768" spans="1:4" x14ac:dyDescent="0.25">
      <c r="A768" s="37" t="s">
        <v>1881</v>
      </c>
      <c r="B768" s="37" t="s">
        <v>3243</v>
      </c>
      <c r="C768" s="37" t="s">
        <v>1529</v>
      </c>
      <c r="D768" s="37" t="s">
        <v>462</v>
      </c>
    </row>
    <row r="769" spans="1:4" x14ac:dyDescent="0.25">
      <c r="A769" s="37" t="s">
        <v>1882</v>
      </c>
      <c r="B769" s="37" t="s">
        <v>1883</v>
      </c>
      <c r="C769" s="37" t="s">
        <v>1884</v>
      </c>
      <c r="D769" s="37" t="s">
        <v>462</v>
      </c>
    </row>
    <row r="770" spans="1:4" x14ac:dyDescent="0.25">
      <c r="A770" s="37" t="s">
        <v>1885</v>
      </c>
      <c r="B770" s="37" t="s">
        <v>1886</v>
      </c>
      <c r="C770" s="37" t="s">
        <v>1887</v>
      </c>
      <c r="D770" s="37" t="s">
        <v>462</v>
      </c>
    </row>
    <row r="771" spans="1:4" x14ac:dyDescent="0.25">
      <c r="A771" s="37" t="s">
        <v>1888</v>
      </c>
      <c r="B771" s="37" t="s">
        <v>1889</v>
      </c>
      <c r="C771" s="37" t="s">
        <v>477</v>
      </c>
      <c r="D771" s="37" t="s">
        <v>462</v>
      </c>
    </row>
    <row r="772" spans="1:4" x14ac:dyDescent="0.25">
      <c r="A772" s="37" t="s">
        <v>1890</v>
      </c>
      <c r="B772" s="37" t="s">
        <v>1891</v>
      </c>
      <c r="C772" s="37" t="s">
        <v>1892</v>
      </c>
      <c r="D772" s="37" t="s">
        <v>462</v>
      </c>
    </row>
    <row r="773" spans="1:4" x14ac:dyDescent="0.25">
      <c r="A773" s="37" t="s">
        <v>1893</v>
      </c>
      <c r="B773" s="37" t="s">
        <v>1894</v>
      </c>
      <c r="C773" s="37" t="s">
        <v>299</v>
      </c>
      <c r="D773" s="37" t="s">
        <v>462</v>
      </c>
    </row>
    <row r="774" spans="1:4" x14ac:dyDescent="0.25">
      <c r="A774" s="37" t="s">
        <v>1895</v>
      </c>
      <c r="B774" s="37" t="s">
        <v>1896</v>
      </c>
      <c r="C774" s="37" t="s">
        <v>229</v>
      </c>
      <c r="D774" s="37" t="s">
        <v>462</v>
      </c>
    </row>
    <row r="775" spans="1:4" x14ac:dyDescent="0.25">
      <c r="A775" s="37" t="s">
        <v>1897</v>
      </c>
      <c r="B775" s="37" t="s">
        <v>1898</v>
      </c>
      <c r="C775" s="37" t="s">
        <v>1899</v>
      </c>
      <c r="D775" s="37" t="s">
        <v>462</v>
      </c>
    </row>
    <row r="776" spans="1:4" x14ac:dyDescent="0.25">
      <c r="A776" s="37" t="s">
        <v>1900</v>
      </c>
      <c r="B776" s="37" t="s">
        <v>1901</v>
      </c>
      <c r="C776" s="37" t="s">
        <v>492</v>
      </c>
      <c r="D776" s="37" t="s">
        <v>462</v>
      </c>
    </row>
    <row r="777" spans="1:4" x14ac:dyDescent="0.25">
      <c r="A777" s="37" t="s">
        <v>1902</v>
      </c>
      <c r="B777" s="37" t="s">
        <v>1903</v>
      </c>
      <c r="C777" s="37" t="s">
        <v>242</v>
      </c>
      <c r="D777" s="37" t="s">
        <v>462</v>
      </c>
    </row>
    <row r="778" spans="1:4" x14ac:dyDescent="0.25">
      <c r="A778" s="37" t="s">
        <v>1904</v>
      </c>
      <c r="B778" s="37" t="s">
        <v>398</v>
      </c>
      <c r="C778" s="37" t="s">
        <v>1905</v>
      </c>
      <c r="D778" s="37" t="s">
        <v>462</v>
      </c>
    </row>
    <row r="779" spans="1:4" x14ac:dyDescent="0.25">
      <c r="A779" s="37" t="s">
        <v>1906</v>
      </c>
      <c r="B779" s="37" t="s">
        <v>790</v>
      </c>
      <c r="C779" s="37" t="s">
        <v>552</v>
      </c>
      <c r="D779" s="37" t="s">
        <v>462</v>
      </c>
    </row>
    <row r="780" spans="1:4" x14ac:dyDescent="0.25">
      <c r="A780" s="37" t="s">
        <v>1907</v>
      </c>
      <c r="B780" s="37" t="s">
        <v>1908</v>
      </c>
      <c r="C780" s="37" t="s">
        <v>1909</v>
      </c>
      <c r="D780" s="37" t="s">
        <v>462</v>
      </c>
    </row>
    <row r="781" spans="1:4" x14ac:dyDescent="0.25">
      <c r="A781" s="37" t="s">
        <v>1910</v>
      </c>
      <c r="B781" s="37" t="s">
        <v>1911</v>
      </c>
      <c r="C781" s="37" t="s">
        <v>1912</v>
      </c>
      <c r="D781" s="37" t="s">
        <v>462</v>
      </c>
    </row>
    <row r="782" spans="1:4" x14ac:dyDescent="0.25">
      <c r="A782" s="37" t="s">
        <v>1913</v>
      </c>
      <c r="B782" s="37" t="s">
        <v>1914</v>
      </c>
      <c r="C782" s="37" t="s">
        <v>780</v>
      </c>
      <c r="D782" s="37" t="s">
        <v>462</v>
      </c>
    </row>
    <row r="783" spans="1:4" x14ac:dyDescent="0.25">
      <c r="A783" s="37" t="s">
        <v>1915</v>
      </c>
      <c r="B783" s="37" t="s">
        <v>1333</v>
      </c>
      <c r="C783" s="37" t="s">
        <v>531</v>
      </c>
      <c r="D783" s="37" t="s">
        <v>462</v>
      </c>
    </row>
    <row r="784" spans="1:4" x14ac:dyDescent="0.25">
      <c r="A784" s="37" t="s">
        <v>1916</v>
      </c>
      <c r="B784" s="37" t="s">
        <v>1917</v>
      </c>
      <c r="C784" s="37" t="s">
        <v>1918</v>
      </c>
      <c r="D784" s="37" t="s">
        <v>462</v>
      </c>
    </row>
    <row r="785" spans="1:4" x14ac:dyDescent="0.25">
      <c r="A785" s="37" t="s">
        <v>1919</v>
      </c>
      <c r="B785" s="37" t="s">
        <v>1920</v>
      </c>
      <c r="C785" s="37" t="s">
        <v>1921</v>
      </c>
      <c r="D785" s="37" t="s">
        <v>462</v>
      </c>
    </row>
    <row r="786" spans="1:4" x14ac:dyDescent="0.25">
      <c r="A786" s="37">
        <v>2774130</v>
      </c>
      <c r="B786" s="37" t="s">
        <v>1922</v>
      </c>
      <c r="C786" s="37" t="s">
        <v>1452</v>
      </c>
      <c r="D786" s="37" t="s">
        <v>462</v>
      </c>
    </row>
    <row r="787" spans="1:4" x14ac:dyDescent="0.25">
      <c r="A787" s="37">
        <v>1451698</v>
      </c>
      <c r="B787" s="37" t="s">
        <v>790</v>
      </c>
      <c r="C787" s="37" t="s">
        <v>552</v>
      </c>
      <c r="D787" s="37" t="s">
        <v>462</v>
      </c>
    </row>
    <row r="788" spans="1:4" x14ac:dyDescent="0.25">
      <c r="A788" s="37">
        <v>1713067</v>
      </c>
      <c r="B788" s="37" t="s">
        <v>1923</v>
      </c>
      <c r="C788" s="37" t="s">
        <v>780</v>
      </c>
      <c r="D788" s="37" t="s">
        <v>462</v>
      </c>
    </row>
    <row r="789" spans="1:4" x14ac:dyDescent="0.25">
      <c r="A789" s="37">
        <v>1017674</v>
      </c>
      <c r="B789" s="37" t="s">
        <v>542</v>
      </c>
      <c r="C789" s="37" t="s">
        <v>1924</v>
      </c>
      <c r="D789" s="37" t="s">
        <v>462</v>
      </c>
    </row>
    <row r="790" spans="1:4" x14ac:dyDescent="0.25">
      <c r="A790" s="37" t="s">
        <v>1925</v>
      </c>
      <c r="B790" s="37" t="s">
        <v>1926</v>
      </c>
      <c r="C790" s="37" t="s">
        <v>1927</v>
      </c>
      <c r="D790" s="37" t="s">
        <v>462</v>
      </c>
    </row>
    <row r="791" spans="1:4" x14ac:dyDescent="0.25">
      <c r="A791" s="37" t="s">
        <v>1928</v>
      </c>
      <c r="B791" s="37" t="s">
        <v>1929</v>
      </c>
      <c r="C791" s="37" t="s">
        <v>553</v>
      </c>
      <c r="D791" s="37" t="s">
        <v>462</v>
      </c>
    </row>
    <row r="792" spans="1:4" x14ac:dyDescent="0.25">
      <c r="A792" s="37" t="s">
        <v>1930</v>
      </c>
      <c r="B792" s="37" t="s">
        <v>1931</v>
      </c>
      <c r="C792" s="37" t="s">
        <v>1932</v>
      </c>
      <c r="D792" s="37" t="s">
        <v>462</v>
      </c>
    </row>
    <row r="793" spans="1:4" x14ac:dyDescent="0.25">
      <c r="A793" s="37" t="s">
        <v>1933</v>
      </c>
      <c r="B793" s="37" t="s">
        <v>482</v>
      </c>
      <c r="C793" s="37" t="s">
        <v>765</v>
      </c>
      <c r="D793" s="37" t="s">
        <v>462</v>
      </c>
    </row>
    <row r="794" spans="1:4" x14ac:dyDescent="0.25">
      <c r="A794" s="37" t="s">
        <v>1934</v>
      </c>
      <c r="B794" s="37" t="s">
        <v>1935</v>
      </c>
      <c r="C794" s="37" t="s">
        <v>492</v>
      </c>
      <c r="D794" s="37" t="s">
        <v>462</v>
      </c>
    </row>
    <row r="795" spans="1:4" x14ac:dyDescent="0.25">
      <c r="A795" s="37" t="s">
        <v>1936</v>
      </c>
      <c r="B795" s="37" t="s">
        <v>1937</v>
      </c>
      <c r="C795" s="37" t="s">
        <v>1938</v>
      </c>
      <c r="D795" s="37" t="s">
        <v>1939</v>
      </c>
    </row>
    <row r="796" spans="1:4" x14ac:dyDescent="0.25">
      <c r="A796" s="37" t="s">
        <v>1940</v>
      </c>
      <c r="B796" s="37" t="s">
        <v>1310</v>
      </c>
      <c r="C796" s="37" t="s">
        <v>1941</v>
      </c>
      <c r="D796" s="37" t="s">
        <v>1939</v>
      </c>
    </row>
    <row r="797" spans="1:4" x14ac:dyDescent="0.25">
      <c r="A797" s="37" t="s">
        <v>1942</v>
      </c>
      <c r="B797" s="37" t="s">
        <v>1943</v>
      </c>
      <c r="C797" s="37" t="s">
        <v>1944</v>
      </c>
      <c r="D797" s="37" t="s">
        <v>1939</v>
      </c>
    </row>
    <row r="798" spans="1:4" x14ac:dyDescent="0.25">
      <c r="A798" s="37" t="s">
        <v>1945</v>
      </c>
      <c r="B798" s="37" t="s">
        <v>1946</v>
      </c>
      <c r="C798" s="37" t="s">
        <v>783</v>
      </c>
      <c r="D798" s="37" t="s">
        <v>1939</v>
      </c>
    </row>
    <row r="799" spans="1:4" x14ac:dyDescent="0.25">
      <c r="A799" s="37" t="s">
        <v>1947</v>
      </c>
      <c r="B799" s="37" t="s">
        <v>1948</v>
      </c>
      <c r="C799" s="37" t="s">
        <v>1826</v>
      </c>
      <c r="D799" s="37" t="s">
        <v>1939</v>
      </c>
    </row>
    <row r="800" spans="1:4" x14ac:dyDescent="0.25">
      <c r="A800" s="37" t="s">
        <v>1949</v>
      </c>
      <c r="B800" s="37" t="s">
        <v>1950</v>
      </c>
      <c r="C800" s="37" t="s">
        <v>260</v>
      </c>
      <c r="D800" s="37" t="s">
        <v>71</v>
      </c>
    </row>
    <row r="801" spans="1:4" x14ac:dyDescent="0.25">
      <c r="A801" s="37" t="s">
        <v>1951</v>
      </c>
      <c r="B801" s="37" t="s">
        <v>1952</v>
      </c>
      <c r="C801" s="37" t="s">
        <v>1953</v>
      </c>
      <c r="D801" s="37" t="s">
        <v>116</v>
      </c>
    </row>
    <row r="802" spans="1:4" x14ac:dyDescent="0.25">
      <c r="A802" s="37" t="s">
        <v>1954</v>
      </c>
      <c r="B802" s="37" t="s">
        <v>542</v>
      </c>
      <c r="C802" s="37" t="s">
        <v>1955</v>
      </c>
      <c r="D802" s="37" t="s">
        <v>116</v>
      </c>
    </row>
    <row r="803" spans="1:4" x14ac:dyDescent="0.25">
      <c r="A803" s="37" t="s">
        <v>1956</v>
      </c>
      <c r="B803" s="37" t="s">
        <v>1957</v>
      </c>
      <c r="C803" s="37" t="s">
        <v>1182</v>
      </c>
      <c r="D803" s="37" t="s">
        <v>71</v>
      </c>
    </row>
    <row r="804" spans="1:4" x14ac:dyDescent="0.25">
      <c r="A804" s="37" t="s">
        <v>1958</v>
      </c>
      <c r="B804" s="37" t="s">
        <v>1959</v>
      </c>
      <c r="C804" s="37" t="s">
        <v>1960</v>
      </c>
      <c r="D804" s="37" t="s">
        <v>71</v>
      </c>
    </row>
    <row r="805" spans="1:4" x14ac:dyDescent="0.25">
      <c r="A805" s="37" t="s">
        <v>1961</v>
      </c>
      <c r="B805" s="37" t="s">
        <v>1962</v>
      </c>
      <c r="C805" s="37" t="s">
        <v>1247</v>
      </c>
      <c r="D805" s="37" t="s">
        <v>116</v>
      </c>
    </row>
    <row r="806" spans="1:4" x14ac:dyDescent="0.25">
      <c r="A806" s="37" t="s">
        <v>1963</v>
      </c>
      <c r="B806" s="37" t="s">
        <v>1964</v>
      </c>
      <c r="C806" s="37" t="s">
        <v>509</v>
      </c>
      <c r="D806" s="37" t="s">
        <v>116</v>
      </c>
    </row>
    <row r="807" spans="1:4" x14ac:dyDescent="0.25">
      <c r="A807" s="37" t="s">
        <v>1965</v>
      </c>
      <c r="B807" s="37" t="s">
        <v>1966</v>
      </c>
      <c r="C807" s="37" t="s">
        <v>1967</v>
      </c>
      <c r="D807" s="37" t="s">
        <v>116</v>
      </c>
    </row>
    <row r="808" spans="1:4" x14ac:dyDescent="0.25">
      <c r="A808" s="37" t="s">
        <v>1968</v>
      </c>
      <c r="B808" s="37" t="s">
        <v>1969</v>
      </c>
      <c r="C808" s="37" t="s">
        <v>1955</v>
      </c>
      <c r="D808" s="37" t="s">
        <v>462</v>
      </c>
    </row>
    <row r="809" spans="1:4" x14ac:dyDescent="0.25">
      <c r="A809" s="37" t="s">
        <v>1970</v>
      </c>
      <c r="B809" s="37" t="s">
        <v>1971</v>
      </c>
      <c r="C809" s="37" t="s">
        <v>242</v>
      </c>
      <c r="D809" s="37" t="s">
        <v>462</v>
      </c>
    </row>
    <row r="810" spans="1:4" x14ac:dyDescent="0.25">
      <c r="A810" s="37" t="s">
        <v>1972</v>
      </c>
      <c r="B810" s="37" t="s">
        <v>1973</v>
      </c>
      <c r="C810" s="37" t="s">
        <v>1974</v>
      </c>
      <c r="D810" s="37" t="s">
        <v>71</v>
      </c>
    </row>
    <row r="811" spans="1:4" x14ac:dyDescent="0.25">
      <c r="A811" s="37" t="s">
        <v>1975</v>
      </c>
      <c r="B811" s="37" t="s">
        <v>1976</v>
      </c>
      <c r="C811" s="37" t="s">
        <v>1977</v>
      </c>
      <c r="D811" s="37" t="s">
        <v>71</v>
      </c>
    </row>
    <row r="812" spans="1:4" x14ac:dyDescent="0.25">
      <c r="A812" s="37" t="s">
        <v>1978</v>
      </c>
      <c r="B812" s="37" t="s">
        <v>1979</v>
      </c>
      <c r="C812" s="37" t="s">
        <v>1980</v>
      </c>
      <c r="D812" s="37" t="s">
        <v>116</v>
      </c>
    </row>
    <row r="813" spans="1:4" x14ac:dyDescent="0.25">
      <c r="A813" s="37" t="s">
        <v>1981</v>
      </c>
      <c r="B813" s="37" t="s">
        <v>1677</v>
      </c>
      <c r="C813" s="37" t="s">
        <v>1678</v>
      </c>
      <c r="D813" s="37" t="s">
        <v>116</v>
      </c>
    </row>
    <row r="814" spans="1:4" x14ac:dyDescent="0.25">
      <c r="A814" s="37" t="s">
        <v>1982</v>
      </c>
      <c r="B814" s="37" t="s">
        <v>1983</v>
      </c>
      <c r="C814" s="37" t="s">
        <v>1984</v>
      </c>
      <c r="D814" s="37" t="s">
        <v>71</v>
      </c>
    </row>
    <row r="815" spans="1:4" x14ac:dyDescent="0.25">
      <c r="A815" s="37" t="s">
        <v>1985</v>
      </c>
      <c r="B815" s="37" t="s">
        <v>1986</v>
      </c>
      <c r="C815" s="37" t="s">
        <v>1247</v>
      </c>
      <c r="D815" s="37" t="s">
        <v>71</v>
      </c>
    </row>
    <row r="816" spans="1:4" x14ac:dyDescent="0.25">
      <c r="A816" s="37" t="s">
        <v>1987</v>
      </c>
      <c r="B816" s="37" t="s">
        <v>1988</v>
      </c>
      <c r="C816" s="37" t="s">
        <v>1678</v>
      </c>
      <c r="D816" s="37" t="s">
        <v>116</v>
      </c>
    </row>
    <row r="817" spans="1:4" x14ac:dyDescent="0.25">
      <c r="A817" s="37" t="s">
        <v>1989</v>
      </c>
      <c r="B817" s="37" t="s">
        <v>1990</v>
      </c>
      <c r="C817" s="37" t="s">
        <v>219</v>
      </c>
      <c r="D817" s="37" t="s">
        <v>462</v>
      </c>
    </row>
    <row r="818" spans="1:4" x14ac:dyDescent="0.25">
      <c r="A818" s="37" t="s">
        <v>1991</v>
      </c>
      <c r="B818" s="37" t="s">
        <v>1701</v>
      </c>
      <c r="C818" s="37" t="s">
        <v>1702</v>
      </c>
      <c r="D818" s="37" t="s">
        <v>116</v>
      </c>
    </row>
    <row r="819" spans="1:4" x14ac:dyDescent="0.25">
      <c r="A819" s="37" t="s">
        <v>1992</v>
      </c>
      <c r="B819" s="37" t="s">
        <v>1993</v>
      </c>
      <c r="C819" s="37" t="s">
        <v>1977</v>
      </c>
      <c r="D819" s="37" t="s">
        <v>116</v>
      </c>
    </row>
    <row r="820" spans="1:4" x14ac:dyDescent="0.25">
      <c r="A820" s="37" t="s">
        <v>1994</v>
      </c>
      <c r="B820" s="37" t="s">
        <v>1995</v>
      </c>
      <c r="C820" s="37" t="s">
        <v>1277</v>
      </c>
      <c r="D820" s="37" t="s">
        <v>71</v>
      </c>
    </row>
    <row r="821" spans="1:4" x14ac:dyDescent="0.25">
      <c r="A821" s="37" t="s">
        <v>1996</v>
      </c>
      <c r="B821" s="37" t="s">
        <v>1997</v>
      </c>
      <c r="C821" s="37" t="s">
        <v>1998</v>
      </c>
      <c r="D821" s="37" t="s">
        <v>116</v>
      </c>
    </row>
    <row r="822" spans="1:4" x14ac:dyDescent="0.25">
      <c r="A822" s="37" t="s">
        <v>1999</v>
      </c>
      <c r="B822" s="37" t="s">
        <v>2000</v>
      </c>
      <c r="C822" s="37" t="s">
        <v>1356</v>
      </c>
      <c r="D822" s="37" t="s">
        <v>71</v>
      </c>
    </row>
    <row r="823" spans="1:4" x14ac:dyDescent="0.25">
      <c r="A823" s="37" t="s">
        <v>2001</v>
      </c>
      <c r="B823" s="37" t="s">
        <v>2002</v>
      </c>
      <c r="C823" s="37" t="s">
        <v>1250</v>
      </c>
      <c r="D823" s="37" t="s">
        <v>71</v>
      </c>
    </row>
    <row r="824" spans="1:4" x14ac:dyDescent="0.25">
      <c r="A824" s="37" t="s">
        <v>2003</v>
      </c>
      <c r="B824" s="37" t="s">
        <v>2004</v>
      </c>
      <c r="C824" s="37" t="s">
        <v>2005</v>
      </c>
      <c r="D824" s="37" t="s">
        <v>71</v>
      </c>
    </row>
    <row r="825" spans="1:4" x14ac:dyDescent="0.25">
      <c r="A825" s="37" t="s">
        <v>2006</v>
      </c>
      <c r="B825" s="37" t="s">
        <v>2007</v>
      </c>
      <c r="C825" s="37" t="s">
        <v>2008</v>
      </c>
      <c r="D825" s="37" t="s">
        <v>71</v>
      </c>
    </row>
    <row r="826" spans="1:4" x14ac:dyDescent="0.25">
      <c r="A826" s="37" t="s">
        <v>2009</v>
      </c>
      <c r="B826" s="37" t="s">
        <v>162</v>
      </c>
      <c r="C826" s="37" t="s">
        <v>2010</v>
      </c>
      <c r="D826" s="37" t="s">
        <v>71</v>
      </c>
    </row>
    <row r="827" spans="1:4" x14ac:dyDescent="0.25">
      <c r="A827" s="37" t="s">
        <v>2011</v>
      </c>
      <c r="B827" s="37" t="s">
        <v>2012</v>
      </c>
      <c r="C827" s="37" t="s">
        <v>2013</v>
      </c>
      <c r="D827" s="37" t="s">
        <v>71</v>
      </c>
    </row>
    <row r="828" spans="1:4" x14ac:dyDescent="0.25">
      <c r="A828" s="37" t="s">
        <v>2014</v>
      </c>
      <c r="B828" s="37" t="s">
        <v>617</v>
      </c>
      <c r="C828" s="37" t="s">
        <v>2015</v>
      </c>
      <c r="D828" s="37" t="s">
        <v>116</v>
      </c>
    </row>
    <row r="829" spans="1:4" x14ac:dyDescent="0.25">
      <c r="A829" s="37" t="s">
        <v>2016</v>
      </c>
      <c r="B829" s="37" t="s">
        <v>2017</v>
      </c>
      <c r="C829" s="37" t="s">
        <v>2018</v>
      </c>
      <c r="D829" s="37" t="s">
        <v>71</v>
      </c>
    </row>
    <row r="830" spans="1:4" x14ac:dyDescent="0.25">
      <c r="A830" s="37" t="s">
        <v>2019</v>
      </c>
      <c r="B830" s="37" t="s">
        <v>138</v>
      </c>
      <c r="C830" s="37" t="s">
        <v>1016</v>
      </c>
      <c r="D830" s="37" t="s">
        <v>71</v>
      </c>
    </row>
    <row r="831" spans="1:4" x14ac:dyDescent="0.25">
      <c r="A831" s="37" t="s">
        <v>2020</v>
      </c>
      <c r="B831" s="37" t="s">
        <v>1732</v>
      </c>
      <c r="C831" s="37" t="s">
        <v>876</v>
      </c>
      <c r="D831" s="37" t="s">
        <v>71</v>
      </c>
    </row>
    <row r="832" spans="1:4" x14ac:dyDescent="0.25">
      <c r="A832" s="37" t="s">
        <v>2021</v>
      </c>
      <c r="B832" s="37" t="s">
        <v>513</v>
      </c>
      <c r="C832" s="37" t="s">
        <v>2022</v>
      </c>
      <c r="D832" s="37" t="s">
        <v>71</v>
      </c>
    </row>
    <row r="833" spans="1:4" x14ac:dyDescent="0.25">
      <c r="A833" s="37" t="s">
        <v>2023</v>
      </c>
      <c r="B833" s="37" t="s">
        <v>2024</v>
      </c>
      <c r="C833" s="37" t="s">
        <v>295</v>
      </c>
      <c r="D833" s="37" t="s">
        <v>116</v>
      </c>
    </row>
    <row r="834" spans="1:4" x14ac:dyDescent="0.25">
      <c r="A834" s="37" t="s">
        <v>2025</v>
      </c>
      <c r="B834" s="37" t="s">
        <v>2026</v>
      </c>
      <c r="C834" s="37" t="s">
        <v>479</v>
      </c>
      <c r="D834" s="37" t="s">
        <v>71</v>
      </c>
    </row>
    <row r="835" spans="1:4" x14ac:dyDescent="0.25">
      <c r="A835" s="37" t="s">
        <v>2027</v>
      </c>
      <c r="B835" s="37" t="s">
        <v>447</v>
      </c>
      <c r="C835" s="37" t="s">
        <v>2028</v>
      </c>
      <c r="D835" s="37" t="s">
        <v>116</v>
      </c>
    </row>
    <row r="836" spans="1:4" x14ac:dyDescent="0.25">
      <c r="A836" s="37" t="s">
        <v>2029</v>
      </c>
      <c r="B836" s="37" t="s">
        <v>2030</v>
      </c>
      <c r="C836" s="37" t="s">
        <v>2031</v>
      </c>
      <c r="D836" s="37" t="s">
        <v>71</v>
      </c>
    </row>
    <row r="837" spans="1:4" x14ac:dyDescent="0.25">
      <c r="A837" s="37" t="s">
        <v>2032</v>
      </c>
      <c r="B837" s="37" t="s">
        <v>1557</v>
      </c>
      <c r="C837" s="37" t="s">
        <v>1470</v>
      </c>
      <c r="D837" s="37" t="s">
        <v>71</v>
      </c>
    </row>
    <row r="838" spans="1:4" x14ac:dyDescent="0.25">
      <c r="A838" s="37" t="s">
        <v>2033</v>
      </c>
      <c r="B838" s="37" t="s">
        <v>2034</v>
      </c>
      <c r="C838" s="37" t="s">
        <v>2035</v>
      </c>
      <c r="D838" s="37" t="s">
        <v>116</v>
      </c>
    </row>
    <row r="839" spans="1:4" x14ac:dyDescent="0.25">
      <c r="A839" s="37" t="s">
        <v>2036</v>
      </c>
      <c r="B839" s="37" t="s">
        <v>2037</v>
      </c>
      <c r="C839" s="37" t="s">
        <v>1291</v>
      </c>
      <c r="D839" s="37" t="s">
        <v>71</v>
      </c>
    </row>
    <row r="840" spans="1:4" x14ac:dyDescent="0.25">
      <c r="A840" s="37" t="s">
        <v>2038</v>
      </c>
      <c r="B840" s="37" t="s">
        <v>2039</v>
      </c>
      <c r="C840" s="37" t="s">
        <v>2040</v>
      </c>
      <c r="D840" s="37" t="s">
        <v>462</v>
      </c>
    </row>
    <row r="841" spans="1:4" x14ac:dyDescent="0.25">
      <c r="A841" s="37" t="s">
        <v>2041</v>
      </c>
      <c r="B841" s="37" t="s">
        <v>2042</v>
      </c>
      <c r="C841" s="37" t="s">
        <v>1048</v>
      </c>
      <c r="D841" s="37" t="s">
        <v>116</v>
      </c>
    </row>
    <row r="842" spans="1:4" x14ac:dyDescent="0.25">
      <c r="A842" s="37" t="s">
        <v>2043</v>
      </c>
      <c r="B842" s="37" t="s">
        <v>2044</v>
      </c>
      <c r="C842" s="37" t="s">
        <v>2045</v>
      </c>
      <c r="D842" s="37" t="s">
        <v>116</v>
      </c>
    </row>
    <row r="843" spans="1:4" x14ac:dyDescent="0.25">
      <c r="A843" s="37" t="s">
        <v>2046</v>
      </c>
      <c r="B843" s="37" t="s">
        <v>1313</v>
      </c>
      <c r="C843" s="37" t="s">
        <v>2047</v>
      </c>
      <c r="D843" s="37" t="s">
        <v>71</v>
      </c>
    </row>
    <row r="844" spans="1:4" x14ac:dyDescent="0.25">
      <c r="A844" s="37" t="s">
        <v>2048</v>
      </c>
      <c r="B844" s="37" t="s">
        <v>2049</v>
      </c>
      <c r="C844" s="37" t="s">
        <v>2050</v>
      </c>
      <c r="D844" s="37" t="s">
        <v>71</v>
      </c>
    </row>
    <row r="845" spans="1:4" x14ac:dyDescent="0.25">
      <c r="A845" s="37" t="s">
        <v>2051</v>
      </c>
      <c r="B845" s="37" t="s">
        <v>2052</v>
      </c>
      <c r="C845" s="37" t="s">
        <v>2053</v>
      </c>
      <c r="D845" s="37" t="s">
        <v>71</v>
      </c>
    </row>
    <row r="846" spans="1:4" x14ac:dyDescent="0.25">
      <c r="A846" s="37" t="s">
        <v>2054</v>
      </c>
      <c r="B846" s="37" t="s">
        <v>2055</v>
      </c>
      <c r="C846" s="37" t="s">
        <v>506</v>
      </c>
      <c r="D846" s="37" t="s">
        <v>71</v>
      </c>
    </row>
    <row r="847" spans="1:4" x14ac:dyDescent="0.25">
      <c r="A847" s="37" t="s">
        <v>2056</v>
      </c>
      <c r="B847" s="37" t="s">
        <v>2057</v>
      </c>
      <c r="C847" s="37" t="s">
        <v>1252</v>
      </c>
      <c r="D847" s="37" t="s">
        <v>71</v>
      </c>
    </row>
    <row r="848" spans="1:4" x14ac:dyDescent="0.25">
      <c r="A848" s="37" t="s">
        <v>2058</v>
      </c>
      <c r="B848" s="37" t="s">
        <v>2059</v>
      </c>
      <c r="C848" s="37" t="s">
        <v>1792</v>
      </c>
      <c r="D848" s="37" t="s">
        <v>116</v>
      </c>
    </row>
    <row r="849" spans="1:4" x14ac:dyDescent="0.25">
      <c r="A849" s="37" t="s">
        <v>2060</v>
      </c>
      <c r="B849" s="37" t="s">
        <v>2061</v>
      </c>
      <c r="C849" s="37" t="s">
        <v>1704</v>
      </c>
      <c r="D849" s="37" t="s">
        <v>116</v>
      </c>
    </row>
    <row r="850" spans="1:4" x14ac:dyDescent="0.25">
      <c r="A850" s="37" t="s">
        <v>2062</v>
      </c>
      <c r="B850" s="37" t="s">
        <v>2063</v>
      </c>
      <c r="C850" s="37" t="s">
        <v>2064</v>
      </c>
      <c r="D850" s="37" t="s">
        <v>462</v>
      </c>
    </row>
    <row r="851" spans="1:4" x14ac:dyDescent="0.25">
      <c r="A851" s="37" t="s">
        <v>2065</v>
      </c>
      <c r="B851" s="37" t="s">
        <v>2066</v>
      </c>
      <c r="C851" s="37" t="s">
        <v>1247</v>
      </c>
      <c r="D851" s="37" t="s">
        <v>116</v>
      </c>
    </row>
    <row r="852" spans="1:4" x14ac:dyDescent="0.25">
      <c r="A852" s="37" t="s">
        <v>2067</v>
      </c>
      <c r="B852" s="37" t="s">
        <v>1040</v>
      </c>
      <c r="C852" s="37" t="s">
        <v>876</v>
      </c>
      <c r="D852" s="37" t="s">
        <v>71</v>
      </c>
    </row>
    <row r="853" spans="1:4" x14ac:dyDescent="0.25">
      <c r="A853" s="37" t="s">
        <v>2068</v>
      </c>
      <c r="B853" s="37" t="s">
        <v>202</v>
      </c>
      <c r="C853" s="37" t="s">
        <v>2069</v>
      </c>
      <c r="D853" s="37" t="s">
        <v>71</v>
      </c>
    </row>
    <row r="854" spans="1:4" x14ac:dyDescent="0.25">
      <c r="A854" s="37" t="s">
        <v>2070</v>
      </c>
      <c r="B854" s="37" t="s">
        <v>2071</v>
      </c>
      <c r="C854" s="37" t="s">
        <v>1286</v>
      </c>
      <c r="D854" s="37" t="s">
        <v>116</v>
      </c>
    </row>
    <row r="855" spans="1:4" x14ac:dyDescent="0.25">
      <c r="A855" s="37" t="s">
        <v>2072</v>
      </c>
      <c r="B855" s="37" t="s">
        <v>187</v>
      </c>
      <c r="C855" s="37" t="s">
        <v>2073</v>
      </c>
      <c r="D855" s="37" t="s">
        <v>116</v>
      </c>
    </row>
    <row r="856" spans="1:4" x14ac:dyDescent="0.25">
      <c r="A856" s="37" t="s">
        <v>2074</v>
      </c>
      <c r="B856" s="37" t="s">
        <v>2075</v>
      </c>
      <c r="C856" s="37" t="s">
        <v>2076</v>
      </c>
      <c r="D856" s="37" t="s">
        <v>116</v>
      </c>
    </row>
    <row r="857" spans="1:4" x14ac:dyDescent="0.25">
      <c r="A857" s="37" t="s">
        <v>2077</v>
      </c>
      <c r="B857" s="37" t="s">
        <v>522</v>
      </c>
      <c r="C857" s="37" t="s">
        <v>479</v>
      </c>
      <c r="D857" s="37" t="s">
        <v>116</v>
      </c>
    </row>
    <row r="858" spans="1:4" x14ac:dyDescent="0.25">
      <c r="A858" s="37" t="s">
        <v>2078</v>
      </c>
      <c r="B858" s="37" t="s">
        <v>2079</v>
      </c>
      <c r="C858" s="37" t="s">
        <v>1329</v>
      </c>
      <c r="D858" s="37" t="s">
        <v>116</v>
      </c>
    </row>
    <row r="859" spans="1:4" x14ac:dyDescent="0.25">
      <c r="A859" s="37" t="s">
        <v>2080</v>
      </c>
      <c r="B859" s="37" t="s">
        <v>2081</v>
      </c>
      <c r="C859" s="37" t="s">
        <v>2082</v>
      </c>
      <c r="D859" s="37" t="s">
        <v>116</v>
      </c>
    </row>
    <row r="860" spans="1:4" x14ac:dyDescent="0.25">
      <c r="A860" s="37" t="s">
        <v>2083</v>
      </c>
      <c r="B860" s="37" t="s">
        <v>493</v>
      </c>
      <c r="C860" s="37" t="s">
        <v>998</v>
      </c>
      <c r="D860" s="37" t="s">
        <v>116</v>
      </c>
    </row>
    <row r="861" spans="1:4" x14ac:dyDescent="0.25">
      <c r="A861" s="37" t="s">
        <v>2084</v>
      </c>
      <c r="B861" s="37" t="s">
        <v>2085</v>
      </c>
      <c r="C861" s="37" t="s">
        <v>635</v>
      </c>
      <c r="D861" s="37" t="s">
        <v>1939</v>
      </c>
    </row>
    <row r="862" spans="1:4" x14ac:dyDescent="0.25">
      <c r="A862" s="37" t="s">
        <v>2086</v>
      </c>
      <c r="B862" s="37" t="s">
        <v>2087</v>
      </c>
      <c r="C862" s="37" t="s">
        <v>2088</v>
      </c>
      <c r="D862" s="37" t="s">
        <v>116</v>
      </c>
    </row>
    <row r="863" spans="1:4" x14ac:dyDescent="0.25">
      <c r="A863" s="37" t="s">
        <v>2089</v>
      </c>
      <c r="B863" s="37" t="s">
        <v>1033</v>
      </c>
      <c r="C863" s="37" t="s">
        <v>367</v>
      </c>
      <c r="D863" s="37" t="s">
        <v>71</v>
      </c>
    </row>
    <row r="864" spans="1:4" x14ac:dyDescent="0.25">
      <c r="A864" s="37" t="s">
        <v>2090</v>
      </c>
      <c r="B864" s="37" t="s">
        <v>2091</v>
      </c>
      <c r="C864" s="37" t="s">
        <v>316</v>
      </c>
      <c r="D864" s="37" t="s">
        <v>71</v>
      </c>
    </row>
    <row r="865" spans="1:4" x14ac:dyDescent="0.25">
      <c r="A865" s="37" t="s">
        <v>2092</v>
      </c>
      <c r="B865" s="37" t="s">
        <v>1313</v>
      </c>
      <c r="C865" s="37" t="s">
        <v>229</v>
      </c>
      <c r="D865" s="37" t="s">
        <v>71</v>
      </c>
    </row>
    <row r="866" spans="1:4" x14ac:dyDescent="0.25">
      <c r="A866" s="37" t="s">
        <v>2093</v>
      </c>
      <c r="B866" s="37" t="s">
        <v>1184</v>
      </c>
      <c r="C866" s="37" t="s">
        <v>2094</v>
      </c>
      <c r="D866" s="37" t="s">
        <v>71</v>
      </c>
    </row>
    <row r="867" spans="1:4" x14ac:dyDescent="0.25">
      <c r="A867" s="37" t="s">
        <v>2095</v>
      </c>
      <c r="B867" s="37" t="s">
        <v>1319</v>
      </c>
      <c r="C867" s="37" t="s">
        <v>807</v>
      </c>
      <c r="D867" s="37" t="s">
        <v>71</v>
      </c>
    </row>
    <row r="868" spans="1:4" x14ac:dyDescent="0.25">
      <c r="A868" s="37" t="s">
        <v>2096</v>
      </c>
      <c r="B868" s="37" t="s">
        <v>534</v>
      </c>
      <c r="C868" s="37" t="s">
        <v>496</v>
      </c>
      <c r="D868" s="37" t="s">
        <v>116</v>
      </c>
    </row>
    <row r="869" spans="1:4" x14ac:dyDescent="0.25">
      <c r="A869" s="37" t="s">
        <v>2097</v>
      </c>
      <c r="B869" s="37" t="s">
        <v>2098</v>
      </c>
      <c r="C869" s="37" t="s">
        <v>1311</v>
      </c>
      <c r="D869" s="37" t="s">
        <v>116</v>
      </c>
    </row>
    <row r="870" spans="1:4" x14ac:dyDescent="0.25">
      <c r="A870" s="37" t="s">
        <v>2099</v>
      </c>
      <c r="B870" s="37" t="s">
        <v>562</v>
      </c>
      <c r="C870" s="37" t="s">
        <v>516</v>
      </c>
      <c r="D870" s="37" t="s">
        <v>71</v>
      </c>
    </row>
    <row r="871" spans="1:4" x14ac:dyDescent="0.25">
      <c r="A871" s="37" t="s">
        <v>2100</v>
      </c>
      <c r="B871" s="37" t="s">
        <v>2101</v>
      </c>
      <c r="C871" s="37" t="s">
        <v>2102</v>
      </c>
      <c r="D871" s="37" t="s">
        <v>116</v>
      </c>
    </row>
    <row r="872" spans="1:4" x14ac:dyDescent="0.25">
      <c r="A872" s="37" t="s">
        <v>2103</v>
      </c>
      <c r="B872" s="37" t="s">
        <v>2104</v>
      </c>
      <c r="C872" s="37" t="s">
        <v>2105</v>
      </c>
      <c r="D872" s="37" t="s">
        <v>71</v>
      </c>
    </row>
    <row r="873" spans="1:4" x14ac:dyDescent="0.25">
      <c r="A873" s="37" t="s">
        <v>2106</v>
      </c>
      <c r="B873" s="37" t="s">
        <v>2107</v>
      </c>
      <c r="C873" s="37" t="s">
        <v>182</v>
      </c>
      <c r="D873" s="37" t="s">
        <v>116</v>
      </c>
    </row>
    <row r="874" spans="1:4" x14ac:dyDescent="0.25">
      <c r="A874" s="37" t="s">
        <v>2108</v>
      </c>
      <c r="B874" s="37" t="s">
        <v>526</v>
      </c>
      <c r="C874" s="37" t="s">
        <v>217</v>
      </c>
      <c r="D874" s="37" t="s">
        <v>71</v>
      </c>
    </row>
    <row r="875" spans="1:4" x14ac:dyDescent="0.25">
      <c r="A875" s="37" t="s">
        <v>2109</v>
      </c>
      <c r="B875" s="37" t="s">
        <v>2110</v>
      </c>
      <c r="C875" s="37" t="s">
        <v>2111</v>
      </c>
      <c r="D875" s="37" t="s">
        <v>116</v>
      </c>
    </row>
    <row r="876" spans="1:4" x14ac:dyDescent="0.25">
      <c r="A876" s="37" t="s">
        <v>2112</v>
      </c>
      <c r="B876" s="37" t="s">
        <v>837</v>
      </c>
      <c r="C876" s="37" t="s">
        <v>329</v>
      </c>
      <c r="D876" s="37" t="s">
        <v>71</v>
      </c>
    </row>
    <row r="877" spans="1:4" x14ac:dyDescent="0.25">
      <c r="A877" s="37" t="s">
        <v>2113</v>
      </c>
      <c r="B877" s="37" t="s">
        <v>2114</v>
      </c>
      <c r="C877" s="37" t="s">
        <v>807</v>
      </c>
      <c r="D877" s="37" t="s">
        <v>71</v>
      </c>
    </row>
    <row r="878" spans="1:4" x14ac:dyDescent="0.25">
      <c r="A878" s="37" t="s">
        <v>2115</v>
      </c>
      <c r="B878" s="37" t="s">
        <v>2116</v>
      </c>
      <c r="C878" s="37" t="s">
        <v>1380</v>
      </c>
      <c r="D878" s="37" t="s">
        <v>71</v>
      </c>
    </row>
    <row r="879" spans="1:4" x14ac:dyDescent="0.25">
      <c r="A879" s="37" t="s">
        <v>2117</v>
      </c>
      <c r="B879" s="37" t="s">
        <v>2118</v>
      </c>
      <c r="C879" s="37" t="s">
        <v>1506</v>
      </c>
      <c r="D879" s="37" t="s">
        <v>116</v>
      </c>
    </row>
    <row r="880" spans="1:4" x14ac:dyDescent="0.25">
      <c r="A880" s="37" t="s">
        <v>2119</v>
      </c>
      <c r="B880" s="37" t="s">
        <v>2120</v>
      </c>
      <c r="C880" s="37" t="s">
        <v>1405</v>
      </c>
      <c r="D880" s="37" t="s">
        <v>116</v>
      </c>
    </row>
    <row r="881" spans="1:4" x14ac:dyDescent="0.25">
      <c r="A881" s="37" t="s">
        <v>2121</v>
      </c>
      <c r="B881" s="37" t="s">
        <v>1290</v>
      </c>
      <c r="C881" s="37" t="s">
        <v>1087</v>
      </c>
      <c r="D881" s="37" t="s">
        <v>116</v>
      </c>
    </row>
    <row r="882" spans="1:4" x14ac:dyDescent="0.25">
      <c r="A882" s="37" t="s">
        <v>2123</v>
      </c>
      <c r="B882" s="37" t="s">
        <v>2124</v>
      </c>
      <c r="C882" s="37" t="s">
        <v>2125</v>
      </c>
      <c r="D882" s="37" t="s">
        <v>71</v>
      </c>
    </row>
    <row r="883" spans="1:4" x14ac:dyDescent="0.25">
      <c r="A883" s="37" t="s">
        <v>2126</v>
      </c>
      <c r="B883" s="37" t="s">
        <v>2127</v>
      </c>
      <c r="C883" s="37" t="s">
        <v>2128</v>
      </c>
      <c r="D883" s="37" t="s">
        <v>116</v>
      </c>
    </row>
    <row r="884" spans="1:4" x14ac:dyDescent="0.25">
      <c r="A884" s="37" t="s">
        <v>2129</v>
      </c>
      <c r="B884" s="37" t="s">
        <v>525</v>
      </c>
      <c r="C884" s="37" t="s">
        <v>1369</v>
      </c>
      <c r="D884" s="37" t="s">
        <v>116</v>
      </c>
    </row>
    <row r="885" spans="1:4" x14ac:dyDescent="0.25">
      <c r="A885" s="37" t="s">
        <v>2130</v>
      </c>
      <c r="B885" s="37" t="s">
        <v>2131</v>
      </c>
      <c r="C885" s="37" t="s">
        <v>492</v>
      </c>
      <c r="D885" s="37" t="s">
        <v>71</v>
      </c>
    </row>
    <row r="886" spans="1:4" x14ac:dyDescent="0.25">
      <c r="A886" s="37" t="s">
        <v>2132</v>
      </c>
      <c r="B886" s="37" t="s">
        <v>2133</v>
      </c>
      <c r="C886" s="37" t="s">
        <v>666</v>
      </c>
      <c r="D886" s="37" t="s">
        <v>71</v>
      </c>
    </row>
    <row r="887" spans="1:4" x14ac:dyDescent="0.25">
      <c r="A887" s="37" t="s">
        <v>2134</v>
      </c>
      <c r="B887" s="37" t="s">
        <v>169</v>
      </c>
      <c r="C887" s="37" t="s">
        <v>783</v>
      </c>
      <c r="D887" s="37" t="s">
        <v>116</v>
      </c>
    </row>
    <row r="888" spans="1:4" x14ac:dyDescent="0.25">
      <c r="A888" s="37" t="s">
        <v>2135</v>
      </c>
      <c r="B888" s="37" t="s">
        <v>2136</v>
      </c>
      <c r="C888" s="37" t="s">
        <v>2137</v>
      </c>
      <c r="D888" s="37" t="s">
        <v>71</v>
      </c>
    </row>
    <row r="889" spans="1:4" x14ac:dyDescent="0.25">
      <c r="A889" s="37" t="s">
        <v>2138</v>
      </c>
      <c r="B889" s="37" t="s">
        <v>2139</v>
      </c>
      <c r="C889" s="37" t="s">
        <v>2140</v>
      </c>
      <c r="D889" s="37" t="s">
        <v>462</v>
      </c>
    </row>
    <row r="890" spans="1:4" x14ac:dyDescent="0.25">
      <c r="A890" s="37" t="s">
        <v>2141</v>
      </c>
      <c r="B890" s="37" t="s">
        <v>1406</v>
      </c>
      <c r="C890" s="37" t="s">
        <v>1584</v>
      </c>
      <c r="D890" s="37" t="s">
        <v>71</v>
      </c>
    </row>
    <row r="891" spans="1:4" x14ac:dyDescent="0.25">
      <c r="A891" s="37" t="s">
        <v>2142</v>
      </c>
      <c r="B891" s="37" t="s">
        <v>2143</v>
      </c>
      <c r="C891" s="37" t="s">
        <v>2144</v>
      </c>
      <c r="D891" s="37" t="s">
        <v>116</v>
      </c>
    </row>
    <row r="892" spans="1:4" x14ac:dyDescent="0.25">
      <c r="A892" s="37" t="s">
        <v>2145</v>
      </c>
      <c r="B892" s="37" t="s">
        <v>1948</v>
      </c>
      <c r="C892" s="37" t="s">
        <v>666</v>
      </c>
      <c r="D892" s="37" t="s">
        <v>71</v>
      </c>
    </row>
    <row r="893" spans="1:4" x14ac:dyDescent="0.25">
      <c r="A893" s="37" t="s">
        <v>2146</v>
      </c>
      <c r="B893" s="37" t="s">
        <v>2147</v>
      </c>
      <c r="C893" s="37" t="s">
        <v>1630</v>
      </c>
      <c r="D893" s="37" t="s">
        <v>71</v>
      </c>
    </row>
    <row r="894" spans="1:4" x14ac:dyDescent="0.25">
      <c r="A894" s="37" t="s">
        <v>2148</v>
      </c>
      <c r="B894" s="37" t="s">
        <v>1186</v>
      </c>
      <c r="C894" s="37" t="s">
        <v>1187</v>
      </c>
      <c r="D894" s="37" t="s">
        <v>71</v>
      </c>
    </row>
    <row r="895" spans="1:4" x14ac:dyDescent="0.25">
      <c r="A895" s="37" t="s">
        <v>2149</v>
      </c>
      <c r="B895" s="37" t="s">
        <v>2150</v>
      </c>
      <c r="C895" s="37" t="s">
        <v>547</v>
      </c>
      <c r="D895" s="37" t="s">
        <v>71</v>
      </c>
    </row>
    <row r="896" spans="1:4" x14ac:dyDescent="0.25">
      <c r="A896" s="37" t="s">
        <v>2151</v>
      </c>
      <c r="B896" s="37" t="s">
        <v>1648</v>
      </c>
      <c r="C896" s="37" t="s">
        <v>1649</v>
      </c>
      <c r="D896" s="37" t="s">
        <v>116</v>
      </c>
    </row>
    <row r="897" spans="1:4" x14ac:dyDescent="0.25">
      <c r="A897" s="37" t="s">
        <v>2152</v>
      </c>
      <c r="B897" s="37" t="s">
        <v>272</v>
      </c>
      <c r="C897" s="37" t="s">
        <v>1672</v>
      </c>
      <c r="D897" s="37" t="s">
        <v>116</v>
      </c>
    </row>
    <row r="898" spans="1:4" x14ac:dyDescent="0.25">
      <c r="A898" s="37" t="s">
        <v>2153</v>
      </c>
      <c r="B898" s="37" t="s">
        <v>1573</v>
      </c>
      <c r="C898" s="37" t="s">
        <v>1574</v>
      </c>
      <c r="D898" s="37" t="s">
        <v>116</v>
      </c>
    </row>
    <row r="899" spans="1:4" x14ac:dyDescent="0.25">
      <c r="A899" s="37" t="s">
        <v>2154</v>
      </c>
      <c r="B899" s="37" t="s">
        <v>1384</v>
      </c>
      <c r="C899" s="37" t="s">
        <v>1558</v>
      </c>
      <c r="D899" s="37" t="s">
        <v>116</v>
      </c>
    </row>
    <row r="900" spans="1:4" x14ac:dyDescent="0.25">
      <c r="A900" s="37" t="s">
        <v>2155</v>
      </c>
      <c r="B900" s="37" t="s">
        <v>2156</v>
      </c>
      <c r="C900" s="37" t="s">
        <v>1057</v>
      </c>
      <c r="D900" s="37" t="s">
        <v>71</v>
      </c>
    </row>
    <row r="901" spans="1:4" x14ac:dyDescent="0.25">
      <c r="A901" s="37" t="s">
        <v>2157</v>
      </c>
      <c r="B901" s="37" t="s">
        <v>2158</v>
      </c>
      <c r="C901" s="37" t="s">
        <v>2159</v>
      </c>
      <c r="D901" s="37" t="s">
        <v>71</v>
      </c>
    </row>
    <row r="902" spans="1:4" x14ac:dyDescent="0.25">
      <c r="A902" s="37" t="s">
        <v>2160</v>
      </c>
      <c r="B902" s="37" t="s">
        <v>360</v>
      </c>
      <c r="C902" s="37" t="s">
        <v>361</v>
      </c>
      <c r="D902" s="37" t="s">
        <v>71</v>
      </c>
    </row>
    <row r="903" spans="1:4" x14ac:dyDescent="0.25">
      <c r="A903" s="37" t="s">
        <v>2161</v>
      </c>
      <c r="B903" s="37" t="s">
        <v>366</v>
      </c>
      <c r="C903" s="37" t="s">
        <v>2162</v>
      </c>
      <c r="D903" s="37" t="s">
        <v>71</v>
      </c>
    </row>
    <row r="904" spans="1:4" x14ac:dyDescent="0.25">
      <c r="A904" s="37" t="s">
        <v>2163</v>
      </c>
      <c r="B904" s="37" t="s">
        <v>2164</v>
      </c>
      <c r="C904" s="37" t="s">
        <v>176</v>
      </c>
      <c r="D904" s="37" t="s">
        <v>71</v>
      </c>
    </row>
    <row r="905" spans="1:4" x14ac:dyDescent="0.25">
      <c r="A905" s="37" t="s">
        <v>2165</v>
      </c>
      <c r="B905" s="37" t="s">
        <v>2166</v>
      </c>
      <c r="C905" s="37" t="s">
        <v>2167</v>
      </c>
      <c r="D905" s="37" t="s">
        <v>116</v>
      </c>
    </row>
    <row r="906" spans="1:4" x14ac:dyDescent="0.25">
      <c r="A906" s="37" t="s">
        <v>2168</v>
      </c>
      <c r="B906" s="37" t="s">
        <v>525</v>
      </c>
      <c r="C906" s="37" t="s">
        <v>721</v>
      </c>
      <c r="D906" s="37" t="s">
        <v>116</v>
      </c>
    </row>
    <row r="907" spans="1:4" x14ac:dyDescent="0.25">
      <c r="A907" s="37" t="s">
        <v>2169</v>
      </c>
      <c r="B907" s="37" t="s">
        <v>2170</v>
      </c>
      <c r="C907" s="37" t="s">
        <v>1435</v>
      </c>
      <c r="D907" s="37" t="s">
        <v>116</v>
      </c>
    </row>
    <row r="908" spans="1:4" x14ac:dyDescent="0.25">
      <c r="A908" s="37" t="s">
        <v>2171</v>
      </c>
      <c r="B908" s="37" t="s">
        <v>2172</v>
      </c>
      <c r="C908" s="37" t="s">
        <v>673</v>
      </c>
      <c r="D908" s="37" t="s">
        <v>116</v>
      </c>
    </row>
    <row r="909" spans="1:4" x14ac:dyDescent="0.25">
      <c r="A909" s="37" t="s">
        <v>2173</v>
      </c>
      <c r="B909" s="37" t="s">
        <v>2174</v>
      </c>
      <c r="C909" s="37" t="s">
        <v>796</v>
      </c>
      <c r="D909" s="37" t="s">
        <v>71</v>
      </c>
    </row>
    <row r="910" spans="1:4" x14ac:dyDescent="0.25">
      <c r="A910" s="37" t="s">
        <v>2175</v>
      </c>
      <c r="B910" s="37" t="s">
        <v>169</v>
      </c>
      <c r="C910" s="37" t="s">
        <v>788</v>
      </c>
      <c r="D910" s="37" t="s">
        <v>71</v>
      </c>
    </row>
    <row r="911" spans="1:4" x14ac:dyDescent="0.25">
      <c r="A911" s="37" t="s">
        <v>2176</v>
      </c>
      <c r="B911" s="37" t="s">
        <v>2177</v>
      </c>
      <c r="C911" s="37" t="s">
        <v>364</v>
      </c>
      <c r="D911" s="37" t="s">
        <v>71</v>
      </c>
    </row>
    <row r="912" spans="1:4" x14ac:dyDescent="0.25">
      <c r="A912" s="37" t="s">
        <v>2178</v>
      </c>
      <c r="B912" s="37" t="s">
        <v>2179</v>
      </c>
      <c r="C912" s="37" t="s">
        <v>2180</v>
      </c>
      <c r="D912" s="37" t="s">
        <v>116</v>
      </c>
    </row>
    <row r="913" spans="1:4" x14ac:dyDescent="0.25">
      <c r="A913" s="37" t="s">
        <v>2181</v>
      </c>
      <c r="B913" s="37" t="s">
        <v>2182</v>
      </c>
      <c r="C913" s="37" t="s">
        <v>1314</v>
      </c>
      <c r="D913" s="37" t="s">
        <v>71</v>
      </c>
    </row>
    <row r="914" spans="1:4" x14ac:dyDescent="0.25">
      <c r="A914" s="37" t="s">
        <v>2183</v>
      </c>
      <c r="B914" s="37" t="s">
        <v>2184</v>
      </c>
      <c r="C914" s="37" t="s">
        <v>1208</v>
      </c>
      <c r="D914" s="37" t="s">
        <v>71</v>
      </c>
    </row>
    <row r="915" spans="1:4" x14ac:dyDescent="0.25">
      <c r="A915" s="37" t="s">
        <v>2185</v>
      </c>
      <c r="B915" s="37" t="s">
        <v>2186</v>
      </c>
      <c r="C915" s="37" t="s">
        <v>1974</v>
      </c>
      <c r="D915" s="37" t="s">
        <v>71</v>
      </c>
    </row>
    <row r="916" spans="1:4" x14ac:dyDescent="0.25">
      <c r="A916" s="37" t="s">
        <v>374</v>
      </c>
      <c r="B916" s="37" t="s">
        <v>372</v>
      </c>
      <c r="C916" s="37" t="s">
        <v>373</v>
      </c>
      <c r="D916" s="37" t="s">
        <v>116</v>
      </c>
    </row>
    <row r="917" spans="1:4" x14ac:dyDescent="0.25">
      <c r="A917" s="37" t="s">
        <v>2187</v>
      </c>
      <c r="B917" s="37" t="s">
        <v>2188</v>
      </c>
      <c r="C917" s="37" t="s">
        <v>2189</v>
      </c>
      <c r="D917" s="37" t="s">
        <v>116</v>
      </c>
    </row>
    <row r="918" spans="1:4" x14ac:dyDescent="0.25">
      <c r="A918" s="37" t="s">
        <v>2190</v>
      </c>
      <c r="B918" s="37" t="s">
        <v>2191</v>
      </c>
      <c r="C918" s="37" t="s">
        <v>2192</v>
      </c>
      <c r="D918" s="37" t="s">
        <v>71</v>
      </c>
    </row>
    <row r="919" spans="1:4" x14ac:dyDescent="0.25">
      <c r="A919" s="37" t="s">
        <v>2193</v>
      </c>
      <c r="B919" s="37" t="s">
        <v>2194</v>
      </c>
      <c r="C919" s="37" t="s">
        <v>574</v>
      </c>
      <c r="D919" s="37" t="s">
        <v>71</v>
      </c>
    </row>
    <row r="920" spans="1:4" x14ac:dyDescent="0.25">
      <c r="A920" s="37" t="s">
        <v>2195</v>
      </c>
      <c r="B920" s="37" t="s">
        <v>2196</v>
      </c>
      <c r="C920" s="37" t="s">
        <v>531</v>
      </c>
      <c r="D920" s="37" t="s">
        <v>116</v>
      </c>
    </row>
    <row r="921" spans="1:4" x14ac:dyDescent="0.25">
      <c r="A921" s="37" t="s">
        <v>2197</v>
      </c>
      <c r="B921" s="37" t="s">
        <v>2198</v>
      </c>
      <c r="C921" s="37" t="s">
        <v>2199</v>
      </c>
      <c r="D921" s="37" t="s">
        <v>71</v>
      </c>
    </row>
    <row r="922" spans="1:4" x14ac:dyDescent="0.25">
      <c r="A922" s="37" t="s">
        <v>2200</v>
      </c>
      <c r="B922" s="37" t="s">
        <v>378</v>
      </c>
      <c r="C922" s="37" t="s">
        <v>341</v>
      </c>
      <c r="D922" s="37" t="s">
        <v>71</v>
      </c>
    </row>
    <row r="923" spans="1:4" x14ac:dyDescent="0.25">
      <c r="A923" s="37" t="s">
        <v>2201</v>
      </c>
      <c r="B923" s="37" t="s">
        <v>829</v>
      </c>
      <c r="C923" s="37" t="s">
        <v>2202</v>
      </c>
      <c r="D923" s="37" t="s">
        <v>71</v>
      </c>
    </row>
    <row r="924" spans="1:4" x14ac:dyDescent="0.25">
      <c r="A924" s="37" t="s">
        <v>110</v>
      </c>
      <c r="B924" s="37" t="s">
        <v>108</v>
      </c>
      <c r="C924" s="37" t="s">
        <v>109</v>
      </c>
      <c r="D924" s="37" t="s">
        <v>71</v>
      </c>
    </row>
    <row r="925" spans="1:4" x14ac:dyDescent="0.25">
      <c r="A925" s="37" t="s">
        <v>113</v>
      </c>
      <c r="B925" s="37" t="s">
        <v>111</v>
      </c>
      <c r="C925" s="37" t="s">
        <v>112</v>
      </c>
      <c r="D925" s="37" t="s">
        <v>71</v>
      </c>
    </row>
    <row r="926" spans="1:4" x14ac:dyDescent="0.25">
      <c r="A926" s="37" t="s">
        <v>117</v>
      </c>
      <c r="B926" s="37" t="s">
        <v>114</v>
      </c>
      <c r="C926" s="37" t="s">
        <v>115</v>
      </c>
      <c r="D926" s="37" t="s">
        <v>116</v>
      </c>
    </row>
    <row r="927" spans="1:4" x14ac:dyDescent="0.25">
      <c r="A927" s="37" t="s">
        <v>121</v>
      </c>
      <c r="B927" s="37" t="s">
        <v>119</v>
      </c>
      <c r="C927" s="37" t="s">
        <v>120</v>
      </c>
      <c r="D927" s="37" t="s">
        <v>116</v>
      </c>
    </row>
    <row r="928" spans="1:4" x14ac:dyDescent="0.25">
      <c r="A928" s="37" t="s">
        <v>125</v>
      </c>
      <c r="B928" s="37" t="s">
        <v>123</v>
      </c>
      <c r="C928" s="37" t="s">
        <v>124</v>
      </c>
      <c r="D928" s="37" t="s">
        <v>71</v>
      </c>
    </row>
    <row r="929" spans="1:4" x14ac:dyDescent="0.25">
      <c r="A929" s="37" t="s">
        <v>128</v>
      </c>
      <c r="B929" s="37" t="s">
        <v>126</v>
      </c>
      <c r="C929" s="37" t="s">
        <v>127</v>
      </c>
      <c r="D929" s="37" t="s">
        <v>71</v>
      </c>
    </row>
    <row r="930" spans="1:4" x14ac:dyDescent="0.25">
      <c r="A930" s="37" t="s">
        <v>131</v>
      </c>
      <c r="B930" s="37" t="s">
        <v>129</v>
      </c>
      <c r="C930" s="37" t="s">
        <v>130</v>
      </c>
      <c r="D930" s="37" t="s">
        <v>116</v>
      </c>
    </row>
    <row r="931" spans="1:4" x14ac:dyDescent="0.25">
      <c r="A931" s="37" t="s">
        <v>134</v>
      </c>
      <c r="B931" s="37" t="s">
        <v>132</v>
      </c>
      <c r="C931" s="37" t="s">
        <v>133</v>
      </c>
      <c r="D931" s="37" t="s">
        <v>116</v>
      </c>
    </row>
    <row r="932" spans="1:4" x14ac:dyDescent="0.25">
      <c r="A932" s="37" t="s">
        <v>137</v>
      </c>
      <c r="B932" s="37" t="s">
        <v>135</v>
      </c>
      <c r="C932" s="37" t="s">
        <v>136</v>
      </c>
      <c r="D932" s="37" t="s">
        <v>71</v>
      </c>
    </row>
    <row r="933" spans="1:4" x14ac:dyDescent="0.25">
      <c r="A933" s="37" t="s">
        <v>140</v>
      </c>
      <c r="B933" s="37" t="s">
        <v>138</v>
      </c>
      <c r="C933" s="37" t="s">
        <v>139</v>
      </c>
      <c r="D933" s="37" t="s">
        <v>116</v>
      </c>
    </row>
    <row r="934" spans="1:4" x14ac:dyDescent="0.25">
      <c r="A934" s="37" t="s">
        <v>144</v>
      </c>
      <c r="B934" s="37" t="s">
        <v>142</v>
      </c>
      <c r="C934" s="37" t="s">
        <v>143</v>
      </c>
      <c r="D934" s="37" t="s">
        <v>116</v>
      </c>
    </row>
    <row r="935" spans="1:4" x14ac:dyDescent="0.25">
      <c r="A935" s="37" t="s">
        <v>147</v>
      </c>
      <c r="B935" s="37" t="s">
        <v>145</v>
      </c>
      <c r="C935" s="37" t="s">
        <v>146</v>
      </c>
      <c r="D935" s="37" t="s">
        <v>116</v>
      </c>
    </row>
    <row r="936" spans="1:4" x14ac:dyDescent="0.25">
      <c r="A936" s="37" t="s">
        <v>150</v>
      </c>
      <c r="B936" s="37" t="s">
        <v>148</v>
      </c>
      <c r="C936" s="37" t="s">
        <v>149</v>
      </c>
      <c r="D936" s="37" t="s">
        <v>116</v>
      </c>
    </row>
    <row r="937" spans="1:4" x14ac:dyDescent="0.25">
      <c r="A937" s="37" t="s">
        <v>152</v>
      </c>
      <c r="B937" s="37" t="s">
        <v>457</v>
      </c>
      <c r="C937" s="37" t="s">
        <v>458</v>
      </c>
      <c r="D937" s="37" t="s">
        <v>116</v>
      </c>
    </row>
    <row r="938" spans="1:4" x14ac:dyDescent="0.25">
      <c r="A938" s="37" t="s">
        <v>155</v>
      </c>
      <c r="B938" s="37" t="s">
        <v>153</v>
      </c>
      <c r="C938" s="37" t="s">
        <v>154</v>
      </c>
      <c r="D938" s="37" t="s">
        <v>71</v>
      </c>
    </row>
    <row r="939" spans="1:4" x14ac:dyDescent="0.25">
      <c r="A939" s="37" t="s">
        <v>158</v>
      </c>
      <c r="B939" s="37" t="s">
        <v>156</v>
      </c>
      <c r="C939" s="37" t="s">
        <v>157</v>
      </c>
      <c r="D939" s="37" t="s">
        <v>116</v>
      </c>
    </row>
    <row r="940" spans="1:4" x14ac:dyDescent="0.25">
      <c r="A940" s="37" t="s">
        <v>161</v>
      </c>
      <c r="B940" s="37" t="s">
        <v>159</v>
      </c>
      <c r="C940" s="37" t="s">
        <v>160</v>
      </c>
      <c r="D940" s="37" t="s">
        <v>116</v>
      </c>
    </row>
    <row r="941" spans="1:4" x14ac:dyDescent="0.25">
      <c r="A941" s="37" t="s">
        <v>164</v>
      </c>
      <c r="B941" s="37" t="s">
        <v>162</v>
      </c>
      <c r="C941" s="37" t="s">
        <v>163</v>
      </c>
      <c r="D941" s="37" t="s">
        <v>71</v>
      </c>
    </row>
    <row r="942" spans="1:4" x14ac:dyDescent="0.25">
      <c r="A942" s="37" t="s">
        <v>168</v>
      </c>
      <c r="B942" s="37" t="s">
        <v>166</v>
      </c>
      <c r="C942" s="37" t="s">
        <v>167</v>
      </c>
      <c r="D942" s="37" t="s">
        <v>116</v>
      </c>
    </row>
    <row r="943" spans="1:4" x14ac:dyDescent="0.25">
      <c r="A943" s="37" t="s">
        <v>171</v>
      </c>
      <c r="B943" s="37" t="s">
        <v>169</v>
      </c>
      <c r="C943" s="37" t="s">
        <v>170</v>
      </c>
      <c r="D943" s="37" t="s">
        <v>71</v>
      </c>
    </row>
    <row r="944" spans="1:4" x14ac:dyDescent="0.25">
      <c r="A944" s="37" t="s">
        <v>174</v>
      </c>
      <c r="B944" s="37" t="s">
        <v>172</v>
      </c>
      <c r="C944" s="37" t="s">
        <v>173</v>
      </c>
      <c r="D944" s="37" t="s">
        <v>71</v>
      </c>
    </row>
    <row r="945" spans="1:4" x14ac:dyDescent="0.25">
      <c r="A945" s="37" t="s">
        <v>177</v>
      </c>
      <c r="B945" s="37" t="s">
        <v>175</v>
      </c>
      <c r="C945" s="37" t="s">
        <v>176</v>
      </c>
      <c r="D945" s="37" t="s">
        <v>71</v>
      </c>
    </row>
    <row r="946" spans="1:4" x14ac:dyDescent="0.25">
      <c r="A946" s="37" t="s">
        <v>180</v>
      </c>
      <c r="B946" s="37" t="s">
        <v>178</v>
      </c>
      <c r="C946" s="37" t="s">
        <v>179</v>
      </c>
      <c r="D946" s="37" t="s">
        <v>116</v>
      </c>
    </row>
    <row r="947" spans="1:4" x14ac:dyDescent="0.25">
      <c r="A947" s="37" t="s">
        <v>183</v>
      </c>
      <c r="B947" s="37" t="s">
        <v>181</v>
      </c>
      <c r="C947" s="37" t="s">
        <v>182</v>
      </c>
      <c r="D947" s="37" t="s">
        <v>116</v>
      </c>
    </row>
    <row r="948" spans="1:4" x14ac:dyDescent="0.25">
      <c r="A948" s="37" t="s">
        <v>186</v>
      </c>
      <c r="B948" s="37" t="s">
        <v>184</v>
      </c>
      <c r="C948" s="37" t="s">
        <v>185</v>
      </c>
      <c r="D948" s="37" t="s">
        <v>116</v>
      </c>
    </row>
    <row r="949" spans="1:4" x14ac:dyDescent="0.25">
      <c r="A949" s="37" t="s">
        <v>189</v>
      </c>
      <c r="B949" s="37" t="s">
        <v>187</v>
      </c>
      <c r="C949" s="37" t="s">
        <v>188</v>
      </c>
      <c r="D949" s="37" t="s">
        <v>71</v>
      </c>
    </row>
    <row r="950" spans="1:4" x14ac:dyDescent="0.25">
      <c r="A950" s="37" t="s">
        <v>192</v>
      </c>
      <c r="B950" s="37" t="s">
        <v>190</v>
      </c>
      <c r="C950" s="37" t="s">
        <v>191</v>
      </c>
      <c r="D950" s="37" t="s">
        <v>116</v>
      </c>
    </row>
    <row r="951" spans="1:4" x14ac:dyDescent="0.25">
      <c r="A951" s="37" t="s">
        <v>195</v>
      </c>
      <c r="B951" s="37" t="s">
        <v>193</v>
      </c>
      <c r="C951" s="37" t="s">
        <v>194</v>
      </c>
      <c r="D951" s="37" t="s">
        <v>71</v>
      </c>
    </row>
    <row r="952" spans="1:4" x14ac:dyDescent="0.25">
      <c r="A952" s="37" t="s">
        <v>201</v>
      </c>
      <c r="B952" s="37" t="s">
        <v>199</v>
      </c>
      <c r="C952" s="37" t="s">
        <v>200</v>
      </c>
      <c r="D952" s="37" t="s">
        <v>116</v>
      </c>
    </row>
    <row r="953" spans="1:4" x14ac:dyDescent="0.25">
      <c r="A953" s="37" t="s">
        <v>204</v>
      </c>
      <c r="B953" s="37" t="s">
        <v>202</v>
      </c>
      <c r="C953" s="37" t="s">
        <v>203</v>
      </c>
      <c r="D953" s="37" t="s">
        <v>71</v>
      </c>
    </row>
    <row r="954" spans="1:4" x14ac:dyDescent="0.25">
      <c r="A954" s="37" t="s">
        <v>205</v>
      </c>
      <c r="B954" s="37" t="s">
        <v>429</v>
      </c>
      <c r="C954" s="37" t="s">
        <v>430</v>
      </c>
      <c r="D954" s="37" t="s">
        <v>71</v>
      </c>
    </row>
    <row r="955" spans="1:4" x14ac:dyDescent="0.25">
      <c r="A955" s="37" t="s">
        <v>208</v>
      </c>
      <c r="B955" s="37" t="s">
        <v>206</v>
      </c>
      <c r="C955" s="37" t="s">
        <v>207</v>
      </c>
      <c r="D955" s="37" t="s">
        <v>116</v>
      </c>
    </row>
    <row r="956" spans="1:4" x14ac:dyDescent="0.25">
      <c r="A956" s="37" t="s">
        <v>210</v>
      </c>
      <c r="B956" s="37" t="s">
        <v>447</v>
      </c>
      <c r="C956" s="37" t="s">
        <v>448</v>
      </c>
      <c r="D956" s="37" t="s">
        <v>71</v>
      </c>
    </row>
    <row r="957" spans="1:4" x14ac:dyDescent="0.25">
      <c r="A957" s="37" t="s">
        <v>213</v>
      </c>
      <c r="B957" s="37" t="s">
        <v>211</v>
      </c>
      <c r="C957" s="37" t="s">
        <v>212</v>
      </c>
      <c r="D957" s="37" t="s">
        <v>71</v>
      </c>
    </row>
    <row r="958" spans="1:4" x14ac:dyDescent="0.25">
      <c r="A958" s="37" t="s">
        <v>214</v>
      </c>
      <c r="B958" s="37" t="s">
        <v>3116</v>
      </c>
      <c r="C958" s="37" t="s">
        <v>120</v>
      </c>
      <c r="D958" s="37" t="s">
        <v>71</v>
      </c>
    </row>
    <row r="959" spans="1:4" x14ac:dyDescent="0.25">
      <c r="A959" s="37" t="s">
        <v>218</v>
      </c>
      <c r="B959" s="37" t="s">
        <v>216</v>
      </c>
      <c r="C959" s="37" t="s">
        <v>217</v>
      </c>
      <c r="D959" s="37" t="s">
        <v>71</v>
      </c>
    </row>
    <row r="960" spans="1:4" x14ac:dyDescent="0.25">
      <c r="A960" s="37" t="s">
        <v>223</v>
      </c>
      <c r="B960" s="37" t="s">
        <v>221</v>
      </c>
      <c r="C960" s="37" t="s">
        <v>222</v>
      </c>
      <c r="D960" s="37" t="s">
        <v>116</v>
      </c>
    </row>
    <row r="961" spans="1:4" x14ac:dyDescent="0.25">
      <c r="A961" s="37" t="s">
        <v>226</v>
      </c>
      <c r="B961" s="37" t="s">
        <v>224</v>
      </c>
      <c r="C961" s="37" t="s">
        <v>225</v>
      </c>
      <c r="D961" s="37" t="s">
        <v>71</v>
      </c>
    </row>
    <row r="962" spans="1:4" x14ac:dyDescent="0.25">
      <c r="A962" s="37" t="s">
        <v>230</v>
      </c>
      <c r="B962" s="37" t="s">
        <v>228</v>
      </c>
      <c r="C962" s="37" t="s">
        <v>229</v>
      </c>
      <c r="D962" s="37" t="s">
        <v>116</v>
      </c>
    </row>
    <row r="963" spans="1:4" x14ac:dyDescent="0.25">
      <c r="A963" s="37" t="s">
        <v>236</v>
      </c>
      <c r="B963" s="37" t="s">
        <v>234</v>
      </c>
      <c r="C963" s="37" t="s">
        <v>235</v>
      </c>
      <c r="D963" s="37" t="s">
        <v>71</v>
      </c>
    </row>
    <row r="964" spans="1:4" x14ac:dyDescent="0.25">
      <c r="A964" s="37" t="s">
        <v>239</v>
      </c>
      <c r="B964" s="37" t="s">
        <v>237</v>
      </c>
      <c r="C964" s="37" t="s">
        <v>238</v>
      </c>
      <c r="D964" s="37" t="s">
        <v>71</v>
      </c>
    </row>
    <row r="965" spans="1:4" x14ac:dyDescent="0.25">
      <c r="A965" s="37" t="s">
        <v>243</v>
      </c>
      <c r="B965" s="37" t="s">
        <v>241</v>
      </c>
      <c r="C965" s="37" t="s">
        <v>242</v>
      </c>
      <c r="D965" s="37" t="s">
        <v>116</v>
      </c>
    </row>
    <row r="966" spans="1:4" x14ac:dyDescent="0.25">
      <c r="A966" s="37" t="s">
        <v>244</v>
      </c>
      <c r="B966" s="37" t="s">
        <v>445</v>
      </c>
      <c r="C966" s="37" t="s">
        <v>446</v>
      </c>
      <c r="D966" s="37" t="s">
        <v>71</v>
      </c>
    </row>
    <row r="967" spans="1:4" x14ac:dyDescent="0.25">
      <c r="A967" s="37" t="s">
        <v>247</v>
      </c>
      <c r="B967" s="37" t="s">
        <v>246</v>
      </c>
      <c r="C967" s="37" t="s">
        <v>245</v>
      </c>
      <c r="D967" s="37" t="s">
        <v>71</v>
      </c>
    </row>
    <row r="968" spans="1:4" x14ac:dyDescent="0.25">
      <c r="A968" s="37" t="s">
        <v>249</v>
      </c>
      <c r="B968" s="37" t="s">
        <v>248</v>
      </c>
      <c r="C968" s="37" t="s">
        <v>200</v>
      </c>
      <c r="D968" s="37" t="s">
        <v>71</v>
      </c>
    </row>
    <row r="969" spans="1:4" x14ac:dyDescent="0.25">
      <c r="A969" s="37" t="s">
        <v>252</v>
      </c>
      <c r="B969" s="37" t="s">
        <v>250</v>
      </c>
      <c r="C969" s="37" t="s">
        <v>251</v>
      </c>
      <c r="D969" s="37" t="s">
        <v>71</v>
      </c>
    </row>
    <row r="970" spans="1:4" x14ac:dyDescent="0.25">
      <c r="A970" s="37" t="s">
        <v>261</v>
      </c>
      <c r="B970" s="37" t="s">
        <v>259</v>
      </c>
      <c r="C970" s="37" t="s">
        <v>260</v>
      </c>
      <c r="D970" s="37" t="s">
        <v>116</v>
      </c>
    </row>
    <row r="971" spans="1:4" x14ac:dyDescent="0.25">
      <c r="A971" s="37" t="s">
        <v>264</v>
      </c>
      <c r="B971" s="37" t="s">
        <v>262</v>
      </c>
      <c r="C971" s="37" t="s">
        <v>263</v>
      </c>
      <c r="D971" s="37" t="s">
        <v>71</v>
      </c>
    </row>
    <row r="972" spans="1:4" x14ac:dyDescent="0.25">
      <c r="A972" s="37" t="s">
        <v>265</v>
      </c>
      <c r="B972" s="37" t="s">
        <v>455</v>
      </c>
      <c r="C972" s="37" t="s">
        <v>456</v>
      </c>
      <c r="D972" s="37" t="s">
        <v>116</v>
      </c>
    </row>
    <row r="973" spans="1:4" x14ac:dyDescent="0.25">
      <c r="A973" s="37" t="s">
        <v>269</v>
      </c>
      <c r="B973" s="37" t="s">
        <v>267</v>
      </c>
      <c r="C973" s="37" t="s">
        <v>268</v>
      </c>
      <c r="D973" s="37" t="s">
        <v>116</v>
      </c>
    </row>
    <row r="974" spans="1:4" x14ac:dyDescent="0.25">
      <c r="A974" s="37" t="s">
        <v>270</v>
      </c>
      <c r="B974" s="37" t="s">
        <v>433</v>
      </c>
      <c r="C974" s="37" t="s">
        <v>434</v>
      </c>
      <c r="D974" s="37" t="s">
        <v>71</v>
      </c>
    </row>
    <row r="975" spans="1:4" x14ac:dyDescent="0.25">
      <c r="A975" s="37" t="s">
        <v>273</v>
      </c>
      <c r="B975" s="37" t="s">
        <v>271</v>
      </c>
      <c r="C975" s="37" t="s">
        <v>272</v>
      </c>
      <c r="D975" s="37" t="s">
        <v>116</v>
      </c>
    </row>
    <row r="976" spans="1:4" x14ac:dyDescent="0.25">
      <c r="A976" s="37" t="s">
        <v>278</v>
      </c>
      <c r="B976" s="37" t="s">
        <v>276</v>
      </c>
      <c r="C976" s="37" t="s">
        <v>277</v>
      </c>
      <c r="D976" s="37" t="s">
        <v>71</v>
      </c>
    </row>
    <row r="977" spans="1:4" x14ac:dyDescent="0.25">
      <c r="A977" s="37" t="s">
        <v>281</v>
      </c>
      <c r="B977" s="37" t="s">
        <v>279</v>
      </c>
      <c r="C977" s="37" t="s">
        <v>280</v>
      </c>
      <c r="D977" s="37" t="s">
        <v>116</v>
      </c>
    </row>
    <row r="978" spans="1:4" x14ac:dyDescent="0.25">
      <c r="A978" s="37" t="s">
        <v>284</v>
      </c>
      <c r="B978" s="37" t="s">
        <v>282</v>
      </c>
      <c r="C978" s="37" t="s">
        <v>283</v>
      </c>
      <c r="D978" s="37" t="s">
        <v>71</v>
      </c>
    </row>
    <row r="979" spans="1:4" x14ac:dyDescent="0.25">
      <c r="A979" s="37" t="s">
        <v>289</v>
      </c>
      <c r="B979" s="37" t="s">
        <v>287</v>
      </c>
      <c r="C979" s="37" t="s">
        <v>288</v>
      </c>
      <c r="D979" s="37" t="s">
        <v>116</v>
      </c>
    </row>
    <row r="980" spans="1:4" x14ac:dyDescent="0.25">
      <c r="A980" s="37" t="s">
        <v>292</v>
      </c>
      <c r="B980" s="37" t="s">
        <v>290</v>
      </c>
      <c r="C980" s="37" t="s">
        <v>291</v>
      </c>
      <c r="D980" s="37" t="s">
        <v>116</v>
      </c>
    </row>
    <row r="981" spans="1:4" x14ac:dyDescent="0.25">
      <c r="A981" s="37" t="s">
        <v>293</v>
      </c>
      <c r="B981" s="37" t="s">
        <v>423</v>
      </c>
      <c r="C981" s="37" t="s">
        <v>424</v>
      </c>
      <c r="D981" s="37" t="s">
        <v>71</v>
      </c>
    </row>
    <row r="982" spans="1:4" x14ac:dyDescent="0.25">
      <c r="A982" s="37" t="s">
        <v>294</v>
      </c>
      <c r="B982" s="37" t="s">
        <v>431</v>
      </c>
      <c r="C982" s="37" t="s">
        <v>432</v>
      </c>
      <c r="D982" s="37" t="s">
        <v>71</v>
      </c>
    </row>
    <row r="983" spans="1:4" x14ac:dyDescent="0.25">
      <c r="A983" s="37" t="s">
        <v>298</v>
      </c>
      <c r="B983" s="37" t="s">
        <v>297</v>
      </c>
      <c r="C983" s="37" t="s">
        <v>452</v>
      </c>
      <c r="D983" s="37" t="s">
        <v>116</v>
      </c>
    </row>
    <row r="984" spans="1:4" x14ac:dyDescent="0.25">
      <c r="A984" s="37" t="s">
        <v>303</v>
      </c>
      <c r="B984" s="37" t="s">
        <v>425</v>
      </c>
      <c r="C984" s="37" t="s">
        <v>426</v>
      </c>
      <c r="D984" s="37" t="s">
        <v>71</v>
      </c>
    </row>
    <row r="985" spans="1:4" x14ac:dyDescent="0.25">
      <c r="A985" s="37" t="s">
        <v>304</v>
      </c>
      <c r="B985" s="37" t="s">
        <v>453</v>
      </c>
      <c r="C985" s="37" t="s">
        <v>454</v>
      </c>
      <c r="D985" s="37" t="s">
        <v>116</v>
      </c>
    </row>
    <row r="986" spans="1:4" x14ac:dyDescent="0.25">
      <c r="A986" s="37" t="s">
        <v>305</v>
      </c>
      <c r="B986" s="37" t="s">
        <v>437</v>
      </c>
      <c r="C986" s="37" t="s">
        <v>438</v>
      </c>
      <c r="D986" s="37" t="s">
        <v>71</v>
      </c>
    </row>
    <row r="987" spans="1:4" x14ac:dyDescent="0.25">
      <c r="A987" s="37" t="s">
        <v>306</v>
      </c>
      <c r="B987" s="37" t="s">
        <v>450</v>
      </c>
      <c r="C987" s="37" t="s">
        <v>451</v>
      </c>
      <c r="D987" s="37" t="s">
        <v>116</v>
      </c>
    </row>
    <row r="988" spans="1:4" x14ac:dyDescent="0.25">
      <c r="A988" s="37" t="s">
        <v>307</v>
      </c>
      <c r="B988" s="37" t="s">
        <v>427</v>
      </c>
      <c r="C988" s="37" t="s">
        <v>428</v>
      </c>
      <c r="D988" s="37" t="s">
        <v>71</v>
      </c>
    </row>
    <row r="989" spans="1:4" x14ac:dyDescent="0.25">
      <c r="A989" s="37" t="s">
        <v>310</v>
      </c>
      <c r="B989" s="37" t="s">
        <v>308</v>
      </c>
      <c r="C989" s="37" t="s">
        <v>309</v>
      </c>
      <c r="D989" s="37" t="s">
        <v>116</v>
      </c>
    </row>
    <row r="990" spans="1:4" x14ac:dyDescent="0.25">
      <c r="A990" s="37" t="s">
        <v>313</v>
      </c>
      <c r="B990" s="37" t="s">
        <v>311</v>
      </c>
      <c r="C990" s="37" t="s">
        <v>312</v>
      </c>
      <c r="D990" s="37" t="s">
        <v>116</v>
      </c>
    </row>
    <row r="991" spans="1:4" x14ac:dyDescent="0.25">
      <c r="A991" s="37" t="s">
        <v>314</v>
      </c>
      <c r="B991" s="37" t="s">
        <v>439</v>
      </c>
      <c r="C991" s="37" t="s">
        <v>440</v>
      </c>
      <c r="D991" s="37" t="s">
        <v>71</v>
      </c>
    </row>
    <row r="992" spans="1:4" x14ac:dyDescent="0.25">
      <c r="A992" s="37" t="s">
        <v>317</v>
      </c>
      <c r="B992" s="37" t="s">
        <v>315</v>
      </c>
      <c r="C992" s="37" t="s">
        <v>316</v>
      </c>
      <c r="D992" s="37" t="s">
        <v>71</v>
      </c>
    </row>
    <row r="993" spans="1:4" x14ac:dyDescent="0.25">
      <c r="A993" s="37" t="s">
        <v>320</v>
      </c>
      <c r="B993" s="37" t="s">
        <v>318</v>
      </c>
      <c r="C993" s="37" t="s">
        <v>319</v>
      </c>
      <c r="D993" s="37" t="s">
        <v>116</v>
      </c>
    </row>
    <row r="994" spans="1:4" x14ac:dyDescent="0.25">
      <c r="A994" s="37" t="s">
        <v>322</v>
      </c>
      <c r="B994" s="37" t="s">
        <v>321</v>
      </c>
      <c r="C994" s="37" t="s">
        <v>266</v>
      </c>
      <c r="D994" s="37" t="s">
        <v>71</v>
      </c>
    </row>
    <row r="995" spans="1:4" x14ac:dyDescent="0.25">
      <c r="A995" s="37" t="s">
        <v>327</v>
      </c>
      <c r="B995" s="37" t="s">
        <v>435</v>
      </c>
      <c r="C995" s="37" t="s">
        <v>436</v>
      </c>
      <c r="D995" s="37" t="s">
        <v>71</v>
      </c>
    </row>
    <row r="996" spans="1:4" x14ac:dyDescent="0.25">
      <c r="A996" s="37" t="s">
        <v>330</v>
      </c>
      <c r="B996" s="37" t="s">
        <v>328</v>
      </c>
      <c r="C996" s="37" t="s">
        <v>329</v>
      </c>
      <c r="D996" s="37" t="s">
        <v>116</v>
      </c>
    </row>
    <row r="997" spans="1:4" x14ac:dyDescent="0.25">
      <c r="A997" s="37" t="s">
        <v>332</v>
      </c>
      <c r="B997" s="37" t="s">
        <v>331</v>
      </c>
      <c r="C997" s="37" t="s">
        <v>329</v>
      </c>
      <c r="D997" s="37" t="s">
        <v>71</v>
      </c>
    </row>
    <row r="998" spans="1:4" x14ac:dyDescent="0.25">
      <c r="A998" s="37" t="s">
        <v>335</v>
      </c>
      <c r="B998" s="37" t="s">
        <v>333</v>
      </c>
      <c r="C998" s="37" t="s">
        <v>334</v>
      </c>
      <c r="D998" s="37" t="s">
        <v>71</v>
      </c>
    </row>
    <row r="999" spans="1:4" x14ac:dyDescent="0.25">
      <c r="A999" s="37" t="s">
        <v>338</v>
      </c>
      <c r="B999" s="37" t="s">
        <v>336</v>
      </c>
      <c r="C999" s="37" t="s">
        <v>337</v>
      </c>
      <c r="D999" s="37" t="s">
        <v>71</v>
      </c>
    </row>
    <row r="1000" spans="1:4" x14ac:dyDescent="0.25">
      <c r="A1000" s="37" t="s">
        <v>339</v>
      </c>
      <c r="B1000" s="37" t="s">
        <v>441</v>
      </c>
      <c r="C1000" s="37" t="s">
        <v>442</v>
      </c>
      <c r="D1000" s="37" t="s">
        <v>71</v>
      </c>
    </row>
    <row r="1001" spans="1:4" x14ac:dyDescent="0.25">
      <c r="A1001" s="37" t="s">
        <v>342</v>
      </c>
      <c r="B1001" s="37" t="s">
        <v>340</v>
      </c>
      <c r="C1001" s="37" t="s">
        <v>341</v>
      </c>
      <c r="D1001" s="37" t="s">
        <v>71</v>
      </c>
    </row>
    <row r="1002" spans="1:4" x14ac:dyDescent="0.25">
      <c r="A1002" s="37" t="s">
        <v>344</v>
      </c>
      <c r="B1002" s="37" t="s">
        <v>343</v>
      </c>
      <c r="C1002" s="37" t="s">
        <v>299</v>
      </c>
      <c r="D1002" s="37" t="s">
        <v>116</v>
      </c>
    </row>
    <row r="1003" spans="1:4" x14ac:dyDescent="0.25">
      <c r="A1003" s="37" t="s">
        <v>345</v>
      </c>
      <c r="B1003" s="37" t="s">
        <v>443</v>
      </c>
      <c r="C1003" s="37" t="s">
        <v>444</v>
      </c>
      <c r="D1003" s="37" t="s">
        <v>71</v>
      </c>
    </row>
    <row r="1004" spans="1:4" x14ac:dyDescent="0.25">
      <c r="A1004" s="37" t="s">
        <v>346</v>
      </c>
      <c r="B1004" s="37" t="s">
        <v>3237</v>
      </c>
      <c r="C1004" s="37" t="s">
        <v>449</v>
      </c>
      <c r="D1004" s="37" t="s">
        <v>116</v>
      </c>
    </row>
    <row r="1005" spans="1:4" x14ac:dyDescent="0.25">
      <c r="A1005" s="37" t="s">
        <v>348</v>
      </c>
      <c r="B1005" s="37" t="s">
        <v>3215</v>
      </c>
      <c r="C1005" s="37" t="s">
        <v>347</v>
      </c>
      <c r="D1005" s="37" t="s">
        <v>71</v>
      </c>
    </row>
    <row r="1006" spans="1:4" x14ac:dyDescent="0.25">
      <c r="A1006" s="37" t="s">
        <v>350</v>
      </c>
      <c r="B1006" s="37" t="s">
        <v>349</v>
      </c>
      <c r="C1006" s="37" t="s">
        <v>219</v>
      </c>
      <c r="D1006" s="37" t="s">
        <v>71</v>
      </c>
    </row>
    <row r="1007" spans="1:4" x14ac:dyDescent="0.25">
      <c r="A1007" s="37" t="s">
        <v>352</v>
      </c>
      <c r="B1007" s="37" t="s">
        <v>351</v>
      </c>
      <c r="C1007" s="37" t="s">
        <v>242</v>
      </c>
      <c r="D1007" s="37" t="s">
        <v>71</v>
      </c>
    </row>
    <row r="1008" spans="1:4" x14ac:dyDescent="0.25">
      <c r="A1008" s="37" t="s">
        <v>355</v>
      </c>
      <c r="B1008" s="37" t="s">
        <v>353</v>
      </c>
      <c r="C1008" s="37" t="s">
        <v>354</v>
      </c>
      <c r="D1008" s="37" t="s">
        <v>71</v>
      </c>
    </row>
    <row r="1009" spans="1:4" x14ac:dyDescent="0.25">
      <c r="A1009" s="37" t="s">
        <v>358</v>
      </c>
      <c r="B1009" s="37" t="s">
        <v>356</v>
      </c>
      <c r="C1009" s="37" t="s">
        <v>357</v>
      </c>
      <c r="D1009" s="37" t="s">
        <v>116</v>
      </c>
    </row>
    <row r="1010" spans="1:4" x14ac:dyDescent="0.25">
      <c r="A1010" s="37" t="s">
        <v>362</v>
      </c>
      <c r="B1010" s="37" t="s">
        <v>360</v>
      </c>
      <c r="C1010" s="37" t="s">
        <v>361</v>
      </c>
      <c r="D1010" s="37" t="s">
        <v>71</v>
      </c>
    </row>
    <row r="1011" spans="1:4" x14ac:dyDescent="0.25">
      <c r="A1011" s="37" t="s">
        <v>365</v>
      </c>
      <c r="B1011" s="37" t="s">
        <v>363</v>
      </c>
      <c r="C1011" s="37" t="s">
        <v>3164</v>
      </c>
      <c r="D1011" s="37" t="s">
        <v>71</v>
      </c>
    </row>
    <row r="1012" spans="1:4" x14ac:dyDescent="0.25">
      <c r="A1012" s="37" t="s">
        <v>368</v>
      </c>
      <c r="B1012" s="37" t="s">
        <v>366</v>
      </c>
      <c r="C1012" s="37" t="s">
        <v>367</v>
      </c>
      <c r="D1012" s="37" t="s">
        <v>71</v>
      </c>
    </row>
    <row r="1013" spans="1:4" x14ac:dyDescent="0.25">
      <c r="A1013" s="37" t="s">
        <v>371</v>
      </c>
      <c r="B1013" s="37" t="s">
        <v>369</v>
      </c>
      <c r="C1013" s="37" t="s">
        <v>370</v>
      </c>
      <c r="D1013" s="37" t="s">
        <v>116</v>
      </c>
    </row>
    <row r="1014" spans="1:4" x14ac:dyDescent="0.25">
      <c r="A1014" s="37" t="s">
        <v>377</v>
      </c>
      <c r="B1014" s="37" t="s">
        <v>375</v>
      </c>
      <c r="C1014" s="37" t="s">
        <v>376</v>
      </c>
      <c r="D1014" s="37" t="s">
        <v>116</v>
      </c>
    </row>
    <row r="1015" spans="1:4" x14ac:dyDescent="0.25">
      <c r="A1015" s="37" t="s">
        <v>382</v>
      </c>
      <c r="B1015" s="37" t="s">
        <v>381</v>
      </c>
      <c r="C1015" s="37" t="s">
        <v>143</v>
      </c>
      <c r="D1015" s="37" t="s">
        <v>116</v>
      </c>
    </row>
    <row r="1016" spans="1:4" x14ac:dyDescent="0.25">
      <c r="A1016" s="37" t="s">
        <v>385</v>
      </c>
      <c r="B1016" s="37" t="s">
        <v>383</v>
      </c>
      <c r="C1016" s="37" t="s">
        <v>384</v>
      </c>
      <c r="D1016" s="37" t="s">
        <v>71</v>
      </c>
    </row>
    <row r="1017" spans="1:4" x14ac:dyDescent="0.25">
      <c r="A1017" s="37" t="s">
        <v>388</v>
      </c>
      <c r="B1017" s="37" t="s">
        <v>386</v>
      </c>
      <c r="C1017" s="37" t="s">
        <v>387</v>
      </c>
      <c r="D1017" s="37" t="s">
        <v>116</v>
      </c>
    </row>
    <row r="1018" spans="1:4" x14ac:dyDescent="0.25">
      <c r="A1018" s="37" t="s">
        <v>391</v>
      </c>
      <c r="B1018" s="37" t="s">
        <v>389</v>
      </c>
      <c r="C1018" s="37" t="s">
        <v>390</v>
      </c>
      <c r="D1018" s="37" t="s">
        <v>71</v>
      </c>
    </row>
    <row r="1019" spans="1:4" x14ac:dyDescent="0.25">
      <c r="A1019" s="37" t="s">
        <v>395</v>
      </c>
      <c r="B1019" s="37" t="s">
        <v>393</v>
      </c>
      <c r="C1019" s="37" t="s">
        <v>394</v>
      </c>
      <c r="D1019" s="37" t="s">
        <v>71</v>
      </c>
    </row>
    <row r="1020" spans="1:4" x14ac:dyDescent="0.25">
      <c r="A1020" s="37" t="s">
        <v>400</v>
      </c>
      <c r="B1020" s="37" t="s">
        <v>398</v>
      </c>
      <c r="C1020" s="37" t="s">
        <v>399</v>
      </c>
      <c r="D1020" s="37" t="s">
        <v>116</v>
      </c>
    </row>
    <row r="1021" spans="1:4" x14ac:dyDescent="0.25">
      <c r="A1021" s="37" t="s">
        <v>403</v>
      </c>
      <c r="B1021" s="37" t="s">
        <v>401</v>
      </c>
      <c r="C1021" s="37" t="s">
        <v>402</v>
      </c>
      <c r="D1021" s="37" t="s">
        <v>116</v>
      </c>
    </row>
    <row r="1022" spans="1:4" x14ac:dyDescent="0.25">
      <c r="A1022" s="37" t="s">
        <v>406</v>
      </c>
      <c r="B1022" s="37" t="s">
        <v>404</v>
      </c>
      <c r="C1022" s="37" t="s">
        <v>405</v>
      </c>
      <c r="D1022" s="37" t="s">
        <v>71</v>
      </c>
    </row>
    <row r="1023" spans="1:4" x14ac:dyDescent="0.25">
      <c r="A1023" s="37" t="s">
        <v>407</v>
      </c>
      <c r="B1023" s="37" t="s">
        <v>301</v>
      </c>
      <c r="C1023" s="37" t="s">
        <v>143</v>
      </c>
      <c r="D1023" s="37" t="s">
        <v>71</v>
      </c>
    </row>
    <row r="1024" spans="1:4" x14ac:dyDescent="0.25">
      <c r="A1024" s="37" t="s">
        <v>410</v>
      </c>
      <c r="B1024" s="37" t="s">
        <v>408</v>
      </c>
      <c r="C1024" s="37" t="s">
        <v>409</v>
      </c>
      <c r="D1024" s="37" t="s">
        <v>71</v>
      </c>
    </row>
    <row r="1025" spans="1:4" x14ac:dyDescent="0.25">
      <c r="A1025" s="37" t="s">
        <v>413</v>
      </c>
      <c r="B1025" s="37" t="s">
        <v>411</v>
      </c>
      <c r="C1025" s="37" t="s">
        <v>412</v>
      </c>
      <c r="D1025" s="37" t="s">
        <v>71</v>
      </c>
    </row>
    <row r="1026" spans="1:4" x14ac:dyDescent="0.25">
      <c r="A1026" s="37" t="s">
        <v>417</v>
      </c>
      <c r="B1026" s="37" t="s">
        <v>416</v>
      </c>
      <c r="C1026" s="37" t="s">
        <v>295</v>
      </c>
      <c r="D1026" s="37" t="s">
        <v>71</v>
      </c>
    </row>
    <row r="1027" spans="1:4" x14ac:dyDescent="0.25">
      <c r="A1027" s="37" t="s">
        <v>420</v>
      </c>
      <c r="B1027" s="37" t="s">
        <v>418</v>
      </c>
      <c r="C1027" s="37" t="s">
        <v>419</v>
      </c>
      <c r="D1027" s="37" t="s">
        <v>71</v>
      </c>
    </row>
    <row r="1028" spans="1:4" x14ac:dyDescent="0.25">
      <c r="A1028" s="37" t="s">
        <v>2203</v>
      </c>
      <c r="B1028" s="37" t="s">
        <v>2204</v>
      </c>
      <c r="C1028" s="37" t="s">
        <v>2205</v>
      </c>
      <c r="D1028" s="37" t="s">
        <v>116</v>
      </c>
    </row>
    <row r="1029" spans="1:4" x14ac:dyDescent="0.25">
      <c r="A1029" s="37" t="s">
        <v>2206</v>
      </c>
      <c r="B1029" s="37" t="s">
        <v>1265</v>
      </c>
      <c r="C1029" s="37" t="s">
        <v>2207</v>
      </c>
      <c r="D1029" s="37" t="s">
        <v>116</v>
      </c>
    </row>
    <row r="1030" spans="1:4" x14ac:dyDescent="0.25">
      <c r="A1030" s="37" t="s">
        <v>2208</v>
      </c>
      <c r="B1030" s="37" t="s">
        <v>2209</v>
      </c>
      <c r="C1030" s="37" t="s">
        <v>2210</v>
      </c>
      <c r="D1030" s="37" t="s">
        <v>71</v>
      </c>
    </row>
    <row r="1031" spans="1:4" x14ac:dyDescent="0.25">
      <c r="A1031" s="37" t="s">
        <v>2211</v>
      </c>
      <c r="B1031" s="37" t="s">
        <v>2212</v>
      </c>
      <c r="C1031" s="37" t="s">
        <v>2213</v>
      </c>
      <c r="D1031" s="37" t="s">
        <v>71</v>
      </c>
    </row>
    <row r="1032" spans="1:4" x14ac:dyDescent="0.25">
      <c r="A1032" s="37" t="s">
        <v>2214</v>
      </c>
      <c r="B1032" s="37" t="s">
        <v>2215</v>
      </c>
      <c r="C1032" s="37" t="s">
        <v>1849</v>
      </c>
      <c r="D1032" s="37" t="s">
        <v>71</v>
      </c>
    </row>
    <row r="1033" spans="1:4" x14ac:dyDescent="0.25">
      <c r="A1033" s="37" t="s">
        <v>2216</v>
      </c>
      <c r="B1033" s="37" t="s">
        <v>2217</v>
      </c>
      <c r="C1033" s="37" t="s">
        <v>2218</v>
      </c>
      <c r="D1033" s="37" t="s">
        <v>116</v>
      </c>
    </row>
    <row r="1034" spans="1:4" x14ac:dyDescent="0.25">
      <c r="A1034" s="37" t="s">
        <v>2219</v>
      </c>
      <c r="B1034" s="37" t="s">
        <v>2220</v>
      </c>
      <c r="C1034" s="37" t="s">
        <v>2221</v>
      </c>
      <c r="D1034" s="37" t="s">
        <v>116</v>
      </c>
    </row>
    <row r="1035" spans="1:4" x14ac:dyDescent="0.25">
      <c r="A1035" s="37" t="s">
        <v>2222</v>
      </c>
      <c r="B1035" s="37" t="s">
        <v>2223</v>
      </c>
      <c r="C1035" s="37" t="s">
        <v>2224</v>
      </c>
      <c r="D1035" s="37" t="s">
        <v>116</v>
      </c>
    </row>
    <row r="1036" spans="1:4" x14ac:dyDescent="0.25">
      <c r="A1036" s="37" t="s">
        <v>2225</v>
      </c>
      <c r="B1036" s="37" t="s">
        <v>526</v>
      </c>
      <c r="C1036" s="37" t="s">
        <v>242</v>
      </c>
      <c r="D1036" s="37" t="s">
        <v>71</v>
      </c>
    </row>
    <row r="1037" spans="1:4" x14ac:dyDescent="0.25">
      <c r="A1037" s="37" t="s">
        <v>2226</v>
      </c>
      <c r="B1037" s="37" t="s">
        <v>2227</v>
      </c>
      <c r="C1037" s="37" t="s">
        <v>780</v>
      </c>
      <c r="D1037" s="37" t="s">
        <v>116</v>
      </c>
    </row>
    <row r="1038" spans="1:4" x14ac:dyDescent="0.25">
      <c r="A1038" s="37" t="s">
        <v>2228</v>
      </c>
      <c r="B1038" s="37" t="s">
        <v>2229</v>
      </c>
      <c r="C1038" s="37" t="s">
        <v>197</v>
      </c>
      <c r="D1038" s="37" t="s">
        <v>116</v>
      </c>
    </row>
    <row r="1039" spans="1:4" x14ac:dyDescent="0.25">
      <c r="A1039" s="37" t="s">
        <v>2230</v>
      </c>
      <c r="B1039" s="37" t="s">
        <v>2229</v>
      </c>
      <c r="C1039" s="37" t="s">
        <v>197</v>
      </c>
      <c r="D1039" s="37" t="s">
        <v>116</v>
      </c>
    </row>
    <row r="1040" spans="1:4" x14ac:dyDescent="0.25">
      <c r="A1040" s="37" t="s">
        <v>2231</v>
      </c>
      <c r="B1040" s="37" t="s">
        <v>2229</v>
      </c>
      <c r="C1040" s="37" t="s">
        <v>197</v>
      </c>
      <c r="D1040" s="37" t="s">
        <v>116</v>
      </c>
    </row>
    <row r="1041" spans="1:4" x14ac:dyDescent="0.25">
      <c r="A1041" s="37" t="s">
        <v>2232</v>
      </c>
      <c r="B1041" s="37" t="s">
        <v>3029</v>
      </c>
      <c r="C1041" s="37" t="s">
        <v>254</v>
      </c>
      <c r="D1041" s="37" t="s">
        <v>116</v>
      </c>
    </row>
    <row r="1042" spans="1:4" x14ac:dyDescent="0.25">
      <c r="A1042" s="37" t="s">
        <v>2233</v>
      </c>
      <c r="B1042" s="37" t="s">
        <v>1908</v>
      </c>
      <c r="C1042" s="37" t="s">
        <v>2069</v>
      </c>
      <c r="D1042" s="37" t="s">
        <v>71</v>
      </c>
    </row>
    <row r="1043" spans="1:4" x14ac:dyDescent="0.25">
      <c r="A1043" s="37" t="s">
        <v>2234</v>
      </c>
      <c r="B1043" s="37" t="s">
        <v>2235</v>
      </c>
      <c r="C1043" s="37" t="s">
        <v>2236</v>
      </c>
      <c r="D1043" s="37" t="s">
        <v>116</v>
      </c>
    </row>
    <row r="1044" spans="1:4" x14ac:dyDescent="0.25">
      <c r="A1044" s="37" t="s">
        <v>2237</v>
      </c>
      <c r="B1044" s="37" t="s">
        <v>2235</v>
      </c>
      <c r="C1044" s="37" t="s">
        <v>736</v>
      </c>
      <c r="D1044" s="37" t="s">
        <v>71</v>
      </c>
    </row>
    <row r="1045" spans="1:4" x14ac:dyDescent="0.25">
      <c r="A1045" s="37" t="s">
        <v>2238</v>
      </c>
      <c r="B1045" s="37" t="s">
        <v>2239</v>
      </c>
      <c r="C1045" s="37" t="s">
        <v>1775</v>
      </c>
      <c r="D1045" s="37" t="s">
        <v>71</v>
      </c>
    </row>
    <row r="1046" spans="1:4" x14ac:dyDescent="0.25">
      <c r="A1046" s="37" t="s">
        <v>2240</v>
      </c>
      <c r="B1046" s="37" t="s">
        <v>2241</v>
      </c>
      <c r="C1046" s="37" t="s">
        <v>2242</v>
      </c>
      <c r="D1046" s="37" t="s">
        <v>71</v>
      </c>
    </row>
    <row r="1047" spans="1:4" x14ac:dyDescent="0.25">
      <c r="A1047" s="37" t="s">
        <v>2243</v>
      </c>
      <c r="B1047" s="37" t="s">
        <v>2244</v>
      </c>
      <c r="C1047" s="37" t="s">
        <v>1012</v>
      </c>
      <c r="D1047" s="37" t="s">
        <v>71</v>
      </c>
    </row>
    <row r="1048" spans="1:4" x14ac:dyDescent="0.25">
      <c r="A1048" s="37" t="s">
        <v>2245</v>
      </c>
      <c r="B1048" s="37" t="s">
        <v>2246</v>
      </c>
      <c r="C1048" s="37" t="s">
        <v>1317</v>
      </c>
      <c r="D1048" s="37" t="s">
        <v>71</v>
      </c>
    </row>
    <row r="1049" spans="1:4" x14ac:dyDescent="0.25">
      <c r="A1049" s="37" t="s">
        <v>2247</v>
      </c>
      <c r="B1049" s="37" t="s">
        <v>2248</v>
      </c>
      <c r="C1049" s="37" t="s">
        <v>2249</v>
      </c>
      <c r="D1049" s="37" t="s">
        <v>116</v>
      </c>
    </row>
    <row r="1050" spans="1:4" x14ac:dyDescent="0.25">
      <c r="A1050" s="37" t="s">
        <v>2250</v>
      </c>
      <c r="B1050" s="37" t="s">
        <v>1071</v>
      </c>
      <c r="C1050" s="37" t="s">
        <v>2251</v>
      </c>
      <c r="D1050" s="37" t="s">
        <v>462</v>
      </c>
    </row>
    <row r="1051" spans="1:4" x14ac:dyDescent="0.25">
      <c r="A1051" s="37" t="s">
        <v>2252</v>
      </c>
      <c r="B1051" s="37" t="s">
        <v>2253</v>
      </c>
      <c r="C1051" s="37" t="s">
        <v>2254</v>
      </c>
      <c r="D1051" s="37" t="s">
        <v>116</v>
      </c>
    </row>
    <row r="1052" spans="1:4" x14ac:dyDescent="0.25">
      <c r="A1052" s="37" t="s">
        <v>2255</v>
      </c>
      <c r="B1052" s="37" t="s">
        <v>562</v>
      </c>
      <c r="C1052" s="37" t="s">
        <v>2256</v>
      </c>
      <c r="D1052" s="37" t="s">
        <v>71</v>
      </c>
    </row>
    <row r="1053" spans="1:4" x14ac:dyDescent="0.25">
      <c r="A1053" s="37" t="s">
        <v>2257</v>
      </c>
      <c r="B1053" s="37" t="s">
        <v>2258</v>
      </c>
      <c r="C1053" s="37" t="s">
        <v>2259</v>
      </c>
      <c r="D1053" s="37" t="s">
        <v>116</v>
      </c>
    </row>
    <row r="1054" spans="1:4" x14ac:dyDescent="0.25">
      <c r="A1054" s="37" t="s">
        <v>2260</v>
      </c>
      <c r="B1054" s="37" t="s">
        <v>2261</v>
      </c>
      <c r="C1054" s="37" t="s">
        <v>143</v>
      </c>
      <c r="D1054" s="37" t="s">
        <v>71</v>
      </c>
    </row>
    <row r="1055" spans="1:4" x14ac:dyDescent="0.25">
      <c r="A1055" s="37" t="s">
        <v>2262</v>
      </c>
      <c r="B1055" s="37" t="s">
        <v>2263</v>
      </c>
      <c r="C1055" s="37" t="s">
        <v>1034</v>
      </c>
      <c r="D1055" s="37" t="s">
        <v>116</v>
      </c>
    </row>
    <row r="1056" spans="1:4" x14ac:dyDescent="0.25">
      <c r="A1056" s="37" t="s">
        <v>2264</v>
      </c>
      <c r="B1056" s="37" t="s">
        <v>2265</v>
      </c>
      <c r="C1056" s="37" t="s">
        <v>2266</v>
      </c>
      <c r="D1056" s="37" t="s">
        <v>71</v>
      </c>
    </row>
    <row r="1057" spans="1:4" x14ac:dyDescent="0.25">
      <c r="A1057" s="37" t="s">
        <v>2267</v>
      </c>
      <c r="B1057" s="37" t="s">
        <v>2268</v>
      </c>
      <c r="C1057" s="37" t="s">
        <v>295</v>
      </c>
      <c r="D1057" s="37" t="s">
        <v>71</v>
      </c>
    </row>
    <row r="1058" spans="1:4" x14ac:dyDescent="0.25">
      <c r="A1058" s="37" t="s">
        <v>2269</v>
      </c>
      <c r="B1058" s="37" t="s">
        <v>2270</v>
      </c>
      <c r="C1058" s="37" t="s">
        <v>824</v>
      </c>
      <c r="D1058" s="37" t="s">
        <v>71</v>
      </c>
    </row>
    <row r="1059" spans="1:4" x14ac:dyDescent="0.25">
      <c r="A1059" s="37" t="s">
        <v>2271</v>
      </c>
      <c r="B1059" s="37" t="s">
        <v>408</v>
      </c>
      <c r="C1059" s="37" t="s">
        <v>1792</v>
      </c>
      <c r="D1059" s="37" t="s">
        <v>71</v>
      </c>
    </row>
    <row r="1060" spans="1:4" x14ac:dyDescent="0.25">
      <c r="A1060" s="37" t="s">
        <v>2272</v>
      </c>
      <c r="B1060" s="37" t="s">
        <v>2273</v>
      </c>
      <c r="C1060" s="37" t="s">
        <v>2274</v>
      </c>
      <c r="D1060" s="37" t="s">
        <v>116</v>
      </c>
    </row>
    <row r="1061" spans="1:4" x14ac:dyDescent="0.25">
      <c r="A1061" s="37" t="s">
        <v>2275</v>
      </c>
      <c r="B1061" s="37" t="s">
        <v>1914</v>
      </c>
      <c r="C1061" s="37" t="s">
        <v>2276</v>
      </c>
      <c r="D1061" s="37" t="s">
        <v>71</v>
      </c>
    </row>
    <row r="1062" spans="1:4" x14ac:dyDescent="0.25">
      <c r="A1062" s="37" t="s">
        <v>2277</v>
      </c>
      <c r="B1062" s="37" t="s">
        <v>624</v>
      </c>
      <c r="C1062" s="37" t="s">
        <v>1645</v>
      </c>
      <c r="D1062" s="37" t="s">
        <v>71</v>
      </c>
    </row>
    <row r="1063" spans="1:4" x14ac:dyDescent="0.25">
      <c r="A1063" s="37" t="s">
        <v>2278</v>
      </c>
      <c r="B1063" s="37" t="s">
        <v>301</v>
      </c>
      <c r="C1063" s="37" t="s">
        <v>2279</v>
      </c>
      <c r="D1063" s="37" t="s">
        <v>71</v>
      </c>
    </row>
    <row r="1064" spans="1:4" x14ac:dyDescent="0.25">
      <c r="A1064" s="37" t="s">
        <v>2280</v>
      </c>
      <c r="B1064" s="37" t="s">
        <v>2281</v>
      </c>
      <c r="C1064" s="37" t="s">
        <v>197</v>
      </c>
      <c r="D1064" s="37" t="s">
        <v>462</v>
      </c>
    </row>
    <row r="1065" spans="1:4" x14ac:dyDescent="0.25">
      <c r="A1065" s="37" t="s">
        <v>2282</v>
      </c>
      <c r="B1065" s="37" t="s">
        <v>1228</v>
      </c>
      <c r="C1065" s="37" t="s">
        <v>597</v>
      </c>
      <c r="D1065" s="37" t="s">
        <v>116</v>
      </c>
    </row>
    <row r="1066" spans="1:4" x14ac:dyDescent="0.25">
      <c r="A1066" s="37" t="s">
        <v>2283</v>
      </c>
      <c r="B1066" s="37" t="s">
        <v>2284</v>
      </c>
      <c r="C1066" s="37" t="s">
        <v>2285</v>
      </c>
      <c r="D1066" s="37" t="s">
        <v>71</v>
      </c>
    </row>
    <row r="1067" spans="1:4" x14ac:dyDescent="0.25">
      <c r="A1067" s="37" t="s">
        <v>2286</v>
      </c>
      <c r="B1067" s="37" t="s">
        <v>1276</v>
      </c>
      <c r="C1067" s="37" t="s">
        <v>2287</v>
      </c>
      <c r="D1067" s="37" t="s">
        <v>71</v>
      </c>
    </row>
    <row r="1068" spans="1:4" x14ac:dyDescent="0.25">
      <c r="A1068" s="37" t="s">
        <v>2288</v>
      </c>
      <c r="B1068" s="37" t="s">
        <v>2289</v>
      </c>
      <c r="C1068" s="37" t="s">
        <v>2290</v>
      </c>
      <c r="D1068" s="37" t="s">
        <v>462</v>
      </c>
    </row>
    <row r="1069" spans="1:4" x14ac:dyDescent="0.25">
      <c r="A1069" s="37" t="s">
        <v>2291</v>
      </c>
      <c r="B1069" s="37" t="s">
        <v>2292</v>
      </c>
      <c r="C1069" s="37" t="s">
        <v>2293</v>
      </c>
      <c r="D1069" s="37" t="s">
        <v>116</v>
      </c>
    </row>
    <row r="1070" spans="1:4" x14ac:dyDescent="0.25">
      <c r="A1070" s="37" t="s">
        <v>2294</v>
      </c>
      <c r="B1070" s="37" t="s">
        <v>2295</v>
      </c>
      <c r="C1070" s="37" t="s">
        <v>2296</v>
      </c>
      <c r="D1070" s="37" t="s">
        <v>71</v>
      </c>
    </row>
    <row r="1071" spans="1:4" x14ac:dyDescent="0.25">
      <c r="A1071" s="37" t="s">
        <v>2297</v>
      </c>
      <c r="B1071" s="37" t="s">
        <v>2298</v>
      </c>
      <c r="C1071" s="37" t="s">
        <v>1252</v>
      </c>
      <c r="D1071" s="37" t="s">
        <v>71</v>
      </c>
    </row>
    <row r="1072" spans="1:4" x14ac:dyDescent="0.25">
      <c r="A1072" s="37" t="s">
        <v>2299</v>
      </c>
      <c r="B1072" s="37" t="s">
        <v>2300</v>
      </c>
      <c r="C1072" s="37" t="s">
        <v>666</v>
      </c>
      <c r="D1072" s="37" t="s">
        <v>116</v>
      </c>
    </row>
    <row r="1073" spans="1:4" x14ac:dyDescent="0.25">
      <c r="A1073" s="37" t="s">
        <v>2301</v>
      </c>
      <c r="B1073" s="37" t="s">
        <v>2302</v>
      </c>
      <c r="C1073" s="37" t="s">
        <v>2303</v>
      </c>
      <c r="D1073" s="37" t="s">
        <v>71</v>
      </c>
    </row>
    <row r="1074" spans="1:4" x14ac:dyDescent="0.25">
      <c r="A1074" s="37" t="s">
        <v>2304</v>
      </c>
      <c r="B1074" s="37" t="s">
        <v>2305</v>
      </c>
      <c r="C1074" s="37" t="s">
        <v>316</v>
      </c>
      <c r="D1074" s="37" t="s">
        <v>71</v>
      </c>
    </row>
    <row r="1075" spans="1:4" x14ac:dyDescent="0.25">
      <c r="A1075" s="37" t="s">
        <v>2306</v>
      </c>
      <c r="B1075" s="37" t="s">
        <v>562</v>
      </c>
      <c r="C1075" s="37" t="s">
        <v>2307</v>
      </c>
      <c r="D1075" s="37" t="s">
        <v>71</v>
      </c>
    </row>
    <row r="1076" spans="1:4" x14ac:dyDescent="0.25">
      <c r="A1076" s="37" t="s">
        <v>2308</v>
      </c>
      <c r="B1076" s="37" t="s">
        <v>755</v>
      </c>
      <c r="C1076" s="37" t="s">
        <v>940</v>
      </c>
      <c r="D1076" s="37" t="s">
        <v>71</v>
      </c>
    </row>
    <row r="1077" spans="1:4" x14ac:dyDescent="0.25">
      <c r="A1077" s="37" t="s">
        <v>2309</v>
      </c>
      <c r="B1077" s="37" t="s">
        <v>2310</v>
      </c>
      <c r="C1077" s="37" t="s">
        <v>509</v>
      </c>
      <c r="D1077" s="37" t="s">
        <v>71</v>
      </c>
    </row>
    <row r="1078" spans="1:4" x14ac:dyDescent="0.25">
      <c r="A1078" s="37" t="s">
        <v>2311</v>
      </c>
      <c r="B1078" s="37" t="s">
        <v>2312</v>
      </c>
      <c r="C1078" s="37" t="s">
        <v>2313</v>
      </c>
      <c r="D1078" s="37" t="s">
        <v>71</v>
      </c>
    </row>
    <row r="1079" spans="1:4" x14ac:dyDescent="0.25">
      <c r="A1079" s="37" t="s">
        <v>2314</v>
      </c>
      <c r="B1079" s="37" t="s">
        <v>156</v>
      </c>
      <c r="C1079" s="37" t="s">
        <v>1600</v>
      </c>
      <c r="D1079" s="37" t="s">
        <v>116</v>
      </c>
    </row>
    <row r="1080" spans="1:4" x14ac:dyDescent="0.25">
      <c r="A1080" s="37" t="s">
        <v>2315</v>
      </c>
      <c r="B1080" s="37" t="s">
        <v>2316</v>
      </c>
      <c r="C1080" s="37" t="s">
        <v>2317</v>
      </c>
      <c r="D1080" s="37" t="s">
        <v>116</v>
      </c>
    </row>
    <row r="1081" spans="1:4" x14ac:dyDescent="0.25">
      <c r="A1081" s="37" t="s">
        <v>2318</v>
      </c>
      <c r="B1081" s="37" t="s">
        <v>790</v>
      </c>
      <c r="C1081" s="37" t="s">
        <v>1277</v>
      </c>
      <c r="D1081" s="37" t="s">
        <v>71</v>
      </c>
    </row>
    <row r="1082" spans="1:4" x14ac:dyDescent="0.25">
      <c r="A1082" s="37" t="s">
        <v>2319</v>
      </c>
      <c r="B1082" s="37" t="s">
        <v>2320</v>
      </c>
      <c r="C1082" s="37" t="s">
        <v>597</v>
      </c>
      <c r="D1082" s="37" t="s">
        <v>116</v>
      </c>
    </row>
    <row r="1083" spans="1:4" x14ac:dyDescent="0.25">
      <c r="A1083" s="37" t="s">
        <v>2321</v>
      </c>
      <c r="B1083" s="37" t="s">
        <v>2322</v>
      </c>
      <c r="C1083" s="37" t="s">
        <v>497</v>
      </c>
      <c r="D1083" s="37" t="s">
        <v>71</v>
      </c>
    </row>
    <row r="1084" spans="1:4" x14ac:dyDescent="0.25">
      <c r="A1084" s="37" t="s">
        <v>2323</v>
      </c>
      <c r="B1084" s="37" t="s">
        <v>351</v>
      </c>
      <c r="C1084" s="37" t="s">
        <v>2324</v>
      </c>
      <c r="D1084" s="37" t="s">
        <v>71</v>
      </c>
    </row>
    <row r="1085" spans="1:4" x14ac:dyDescent="0.25">
      <c r="A1085" s="37" t="s">
        <v>2325</v>
      </c>
      <c r="B1085" s="37" t="s">
        <v>2326</v>
      </c>
      <c r="C1085" s="37" t="s">
        <v>686</v>
      </c>
      <c r="D1085" s="37" t="s">
        <v>71</v>
      </c>
    </row>
    <row r="1086" spans="1:4" x14ac:dyDescent="0.25">
      <c r="A1086" s="37" t="s">
        <v>2327</v>
      </c>
      <c r="B1086" s="37" t="s">
        <v>2328</v>
      </c>
      <c r="C1086" s="37" t="s">
        <v>2329</v>
      </c>
      <c r="D1086" s="37" t="s">
        <v>71</v>
      </c>
    </row>
    <row r="1087" spans="1:4" x14ac:dyDescent="0.25">
      <c r="A1087" s="37" t="s">
        <v>2330</v>
      </c>
      <c r="B1087" s="37" t="s">
        <v>337</v>
      </c>
      <c r="C1087" s="37" t="s">
        <v>1381</v>
      </c>
      <c r="D1087" s="37" t="s">
        <v>71</v>
      </c>
    </row>
    <row r="1088" spans="1:4" x14ac:dyDescent="0.25">
      <c r="A1088" s="37" t="s">
        <v>2331</v>
      </c>
      <c r="B1088" s="37" t="s">
        <v>227</v>
      </c>
      <c r="C1088" s="37" t="s">
        <v>2332</v>
      </c>
      <c r="D1088" s="37" t="s">
        <v>71</v>
      </c>
    </row>
    <row r="1089" spans="1:4" x14ac:dyDescent="0.25">
      <c r="A1089" s="37" t="s">
        <v>2333</v>
      </c>
      <c r="B1089" s="37" t="s">
        <v>2334</v>
      </c>
      <c r="C1089" s="37" t="s">
        <v>2335</v>
      </c>
      <c r="D1089" s="37" t="s">
        <v>71</v>
      </c>
    </row>
    <row r="1090" spans="1:4" x14ac:dyDescent="0.25">
      <c r="A1090" s="37" t="s">
        <v>2336</v>
      </c>
      <c r="B1090" s="37" t="s">
        <v>2337</v>
      </c>
      <c r="C1090" s="37" t="s">
        <v>1832</v>
      </c>
      <c r="D1090" s="37" t="s">
        <v>71</v>
      </c>
    </row>
    <row r="1091" spans="1:4" x14ac:dyDescent="0.25">
      <c r="A1091" s="37" t="s">
        <v>2338</v>
      </c>
      <c r="B1091" s="37" t="s">
        <v>2339</v>
      </c>
      <c r="C1091" s="37" t="s">
        <v>2340</v>
      </c>
      <c r="D1091" s="37" t="s">
        <v>71</v>
      </c>
    </row>
    <row r="1092" spans="1:4" x14ac:dyDescent="0.25">
      <c r="A1092" s="37" t="s">
        <v>2341</v>
      </c>
      <c r="B1092" s="37" t="s">
        <v>2342</v>
      </c>
      <c r="C1092" s="37" t="s">
        <v>2343</v>
      </c>
      <c r="D1092" s="37" t="s">
        <v>71</v>
      </c>
    </row>
    <row r="1093" spans="1:4" x14ac:dyDescent="0.25">
      <c r="A1093" s="37" t="s">
        <v>2344</v>
      </c>
      <c r="B1093" s="37" t="s">
        <v>2345</v>
      </c>
      <c r="C1093" s="37" t="s">
        <v>2346</v>
      </c>
      <c r="D1093" s="37" t="s">
        <v>71</v>
      </c>
    </row>
    <row r="1094" spans="1:4" x14ac:dyDescent="0.25">
      <c r="A1094" s="37" t="s">
        <v>2347</v>
      </c>
      <c r="B1094" s="37" t="s">
        <v>1000</v>
      </c>
      <c r="C1094" s="37" t="s">
        <v>242</v>
      </c>
      <c r="D1094" s="37" t="s">
        <v>71</v>
      </c>
    </row>
    <row r="1095" spans="1:4" x14ac:dyDescent="0.25">
      <c r="A1095" s="37" t="s">
        <v>2348</v>
      </c>
      <c r="B1095" s="37" t="s">
        <v>2349</v>
      </c>
      <c r="C1095" s="37" t="s">
        <v>1090</v>
      </c>
      <c r="D1095" s="37" t="s">
        <v>116</v>
      </c>
    </row>
    <row r="1096" spans="1:4" x14ac:dyDescent="0.25">
      <c r="A1096" s="37" t="s">
        <v>2350</v>
      </c>
      <c r="B1096" s="37" t="s">
        <v>2351</v>
      </c>
      <c r="C1096" s="37" t="s">
        <v>2352</v>
      </c>
      <c r="D1096" s="37" t="s">
        <v>71</v>
      </c>
    </row>
    <row r="1097" spans="1:4" x14ac:dyDescent="0.25">
      <c r="A1097" s="37" t="s">
        <v>2353</v>
      </c>
      <c r="B1097" s="37" t="s">
        <v>2354</v>
      </c>
      <c r="C1097" s="37" t="s">
        <v>2355</v>
      </c>
      <c r="D1097" s="37" t="s">
        <v>71</v>
      </c>
    </row>
    <row r="1098" spans="1:4" x14ac:dyDescent="0.25">
      <c r="A1098" s="37" t="s">
        <v>2356</v>
      </c>
      <c r="B1098" s="37" t="s">
        <v>398</v>
      </c>
      <c r="C1098" s="37" t="s">
        <v>485</v>
      </c>
      <c r="D1098" s="37" t="s">
        <v>71</v>
      </c>
    </row>
    <row r="1099" spans="1:4" x14ac:dyDescent="0.25">
      <c r="A1099" s="37" t="s">
        <v>2357</v>
      </c>
      <c r="B1099" s="37" t="s">
        <v>3211</v>
      </c>
      <c r="C1099" s="37" t="s">
        <v>574</v>
      </c>
      <c r="D1099" s="37" t="s">
        <v>71</v>
      </c>
    </row>
    <row r="1100" spans="1:4" x14ac:dyDescent="0.25">
      <c r="A1100" s="37" t="s">
        <v>2358</v>
      </c>
      <c r="B1100" s="37" t="s">
        <v>887</v>
      </c>
      <c r="C1100" s="37" t="s">
        <v>2359</v>
      </c>
      <c r="D1100" s="37" t="s">
        <v>71</v>
      </c>
    </row>
    <row r="1101" spans="1:4" x14ac:dyDescent="0.25">
      <c r="A1101" s="37" t="s">
        <v>2360</v>
      </c>
      <c r="B1101" s="37" t="s">
        <v>2361</v>
      </c>
      <c r="C1101" s="37" t="s">
        <v>2362</v>
      </c>
      <c r="D1101" s="37" t="s">
        <v>116</v>
      </c>
    </row>
    <row r="1102" spans="1:4" x14ac:dyDescent="0.25">
      <c r="A1102" s="37" t="s">
        <v>2363</v>
      </c>
      <c r="B1102" s="37" t="s">
        <v>1454</v>
      </c>
      <c r="C1102" s="37" t="s">
        <v>2364</v>
      </c>
      <c r="D1102" s="37" t="s">
        <v>71</v>
      </c>
    </row>
    <row r="1103" spans="1:4" x14ac:dyDescent="0.25">
      <c r="A1103" s="37" t="s">
        <v>2365</v>
      </c>
      <c r="B1103" s="37" t="s">
        <v>562</v>
      </c>
      <c r="C1103" s="37" t="s">
        <v>2366</v>
      </c>
      <c r="D1103" s="37" t="s">
        <v>71</v>
      </c>
    </row>
    <row r="1104" spans="1:4" x14ac:dyDescent="0.25">
      <c r="A1104" s="37" t="s">
        <v>2367</v>
      </c>
      <c r="B1104" s="37" t="s">
        <v>1405</v>
      </c>
      <c r="C1104" s="37" t="s">
        <v>1348</v>
      </c>
      <c r="D1104" s="37" t="s">
        <v>71</v>
      </c>
    </row>
    <row r="1105" spans="1:4" x14ac:dyDescent="0.25">
      <c r="A1105" s="37" t="s">
        <v>2368</v>
      </c>
      <c r="B1105" s="37" t="s">
        <v>829</v>
      </c>
      <c r="C1105" s="37" t="s">
        <v>376</v>
      </c>
      <c r="D1105" s="37" t="s">
        <v>116</v>
      </c>
    </row>
    <row r="1106" spans="1:4" x14ac:dyDescent="0.25">
      <c r="A1106" s="37" t="s">
        <v>2369</v>
      </c>
      <c r="B1106" s="37" t="s">
        <v>2370</v>
      </c>
      <c r="C1106" s="37" t="s">
        <v>1690</v>
      </c>
      <c r="D1106" s="37" t="s">
        <v>1939</v>
      </c>
    </row>
    <row r="1107" spans="1:4" x14ac:dyDescent="0.25">
      <c r="A1107" s="37" t="s">
        <v>2371</v>
      </c>
      <c r="B1107" s="37" t="s">
        <v>2372</v>
      </c>
      <c r="C1107" s="37" t="s">
        <v>2373</v>
      </c>
      <c r="D1107" s="37" t="s">
        <v>71</v>
      </c>
    </row>
    <row r="1108" spans="1:4" x14ac:dyDescent="0.25">
      <c r="A1108" s="37" t="s">
        <v>2374</v>
      </c>
      <c r="B1108" s="37" t="s">
        <v>2375</v>
      </c>
      <c r="C1108" s="37" t="s">
        <v>996</v>
      </c>
      <c r="D1108" s="37" t="s">
        <v>116</v>
      </c>
    </row>
    <row r="1109" spans="1:4" x14ac:dyDescent="0.25">
      <c r="A1109" s="37" t="s">
        <v>2377</v>
      </c>
      <c r="B1109" s="37" t="s">
        <v>2378</v>
      </c>
      <c r="C1109" s="37" t="s">
        <v>2379</v>
      </c>
      <c r="D1109" s="37" t="s">
        <v>71</v>
      </c>
    </row>
    <row r="1110" spans="1:4" x14ac:dyDescent="0.25">
      <c r="A1110" s="37" t="s">
        <v>2380</v>
      </c>
      <c r="B1110" s="37" t="s">
        <v>2381</v>
      </c>
      <c r="C1110" s="37" t="s">
        <v>2382</v>
      </c>
      <c r="D1110" s="37" t="s">
        <v>71</v>
      </c>
    </row>
    <row r="1111" spans="1:4" x14ac:dyDescent="0.25">
      <c r="A1111" s="37" t="s">
        <v>2383</v>
      </c>
      <c r="B1111" s="37" t="s">
        <v>2384</v>
      </c>
      <c r="C1111" s="37" t="s">
        <v>581</v>
      </c>
      <c r="D1111" s="37" t="s">
        <v>71</v>
      </c>
    </row>
    <row r="1112" spans="1:4" x14ac:dyDescent="0.25">
      <c r="A1112" s="37" t="s">
        <v>2385</v>
      </c>
      <c r="B1112" s="37" t="s">
        <v>2386</v>
      </c>
      <c r="C1112" s="37" t="s">
        <v>2387</v>
      </c>
      <c r="D1112" s="37" t="s">
        <v>71</v>
      </c>
    </row>
    <row r="1113" spans="1:4" x14ac:dyDescent="0.25">
      <c r="A1113" s="37" t="s">
        <v>2388</v>
      </c>
      <c r="B1113" s="37" t="s">
        <v>1454</v>
      </c>
      <c r="C1113" s="37" t="s">
        <v>242</v>
      </c>
      <c r="D1113" s="37" t="s">
        <v>71</v>
      </c>
    </row>
    <row r="1114" spans="1:4" x14ac:dyDescent="0.25">
      <c r="A1114" s="37" t="s">
        <v>2389</v>
      </c>
      <c r="B1114" s="37" t="s">
        <v>2390</v>
      </c>
      <c r="C1114" s="37" t="s">
        <v>2391</v>
      </c>
      <c r="D1114" s="37" t="s">
        <v>71</v>
      </c>
    </row>
    <row r="1115" spans="1:4" x14ac:dyDescent="0.25">
      <c r="A1115" s="37" t="s">
        <v>2392</v>
      </c>
      <c r="B1115" s="37" t="s">
        <v>2393</v>
      </c>
      <c r="C1115" s="37" t="s">
        <v>2394</v>
      </c>
      <c r="D1115" s="37" t="s">
        <v>71</v>
      </c>
    </row>
    <row r="1116" spans="1:4" x14ac:dyDescent="0.25">
      <c r="A1116" s="37" t="s">
        <v>2395</v>
      </c>
      <c r="B1116" s="37" t="s">
        <v>2396</v>
      </c>
      <c r="C1116" s="37" t="s">
        <v>516</v>
      </c>
      <c r="D1116" s="37" t="s">
        <v>116</v>
      </c>
    </row>
    <row r="1117" spans="1:4" x14ac:dyDescent="0.25">
      <c r="A1117" s="37" t="s">
        <v>2397</v>
      </c>
      <c r="B1117" s="37" t="s">
        <v>211</v>
      </c>
      <c r="C1117" s="37" t="s">
        <v>2398</v>
      </c>
      <c r="D1117" s="37" t="s">
        <v>71</v>
      </c>
    </row>
    <row r="1118" spans="1:4" x14ac:dyDescent="0.25">
      <c r="A1118" s="37" t="s">
        <v>2399</v>
      </c>
      <c r="B1118" s="37" t="s">
        <v>1828</v>
      </c>
      <c r="C1118" s="37" t="s">
        <v>1645</v>
      </c>
      <c r="D1118" s="37" t="s">
        <v>116</v>
      </c>
    </row>
    <row r="1119" spans="1:4" x14ac:dyDescent="0.25">
      <c r="A1119" s="37" t="s">
        <v>2400</v>
      </c>
      <c r="B1119" s="37" t="s">
        <v>2401</v>
      </c>
      <c r="C1119" s="37" t="s">
        <v>2402</v>
      </c>
      <c r="D1119" s="37" t="s">
        <v>71</v>
      </c>
    </row>
    <row r="1120" spans="1:4" x14ac:dyDescent="0.25">
      <c r="A1120" s="37" t="s">
        <v>2403</v>
      </c>
      <c r="B1120" s="37" t="s">
        <v>2404</v>
      </c>
      <c r="C1120" s="37" t="s">
        <v>1578</v>
      </c>
      <c r="D1120" s="37" t="s">
        <v>71</v>
      </c>
    </row>
    <row r="1121" spans="1:4" x14ac:dyDescent="0.25">
      <c r="A1121" s="37" t="s">
        <v>2405</v>
      </c>
      <c r="B1121" s="37" t="s">
        <v>1595</v>
      </c>
      <c r="C1121" s="37" t="s">
        <v>890</v>
      </c>
      <c r="D1121" s="37" t="s">
        <v>71</v>
      </c>
    </row>
    <row r="1122" spans="1:4" x14ac:dyDescent="0.25">
      <c r="A1122" s="37" t="s">
        <v>2406</v>
      </c>
      <c r="B1122" s="37" t="s">
        <v>2407</v>
      </c>
      <c r="C1122" s="37" t="s">
        <v>1750</v>
      </c>
      <c r="D1122" s="37" t="s">
        <v>71</v>
      </c>
    </row>
    <row r="1123" spans="1:4" x14ac:dyDescent="0.25">
      <c r="A1123" s="37" t="s">
        <v>2408</v>
      </c>
      <c r="B1123" s="37" t="s">
        <v>2409</v>
      </c>
      <c r="C1123" s="37" t="s">
        <v>1462</v>
      </c>
      <c r="D1123" s="37" t="s">
        <v>71</v>
      </c>
    </row>
    <row r="1124" spans="1:4" x14ac:dyDescent="0.25">
      <c r="A1124" s="37" t="s">
        <v>2410</v>
      </c>
      <c r="B1124" s="37" t="s">
        <v>2411</v>
      </c>
      <c r="C1124" s="37" t="s">
        <v>2412</v>
      </c>
      <c r="D1124" s="37" t="s">
        <v>116</v>
      </c>
    </row>
    <row r="1125" spans="1:4" x14ac:dyDescent="0.25">
      <c r="A1125" s="37" t="s">
        <v>2413</v>
      </c>
      <c r="B1125" s="37" t="s">
        <v>441</v>
      </c>
      <c r="C1125" s="37" t="s">
        <v>442</v>
      </c>
      <c r="D1125" s="37" t="s">
        <v>71</v>
      </c>
    </row>
    <row r="1126" spans="1:4" x14ac:dyDescent="0.25">
      <c r="A1126" s="37" t="s">
        <v>2414</v>
      </c>
      <c r="B1126" s="37" t="s">
        <v>2415</v>
      </c>
      <c r="C1126" s="37" t="s">
        <v>1578</v>
      </c>
      <c r="D1126" s="37" t="s">
        <v>71</v>
      </c>
    </row>
    <row r="1127" spans="1:4" x14ac:dyDescent="0.25">
      <c r="A1127" s="37" t="s">
        <v>2416</v>
      </c>
      <c r="B1127" s="37" t="s">
        <v>2417</v>
      </c>
      <c r="C1127" s="37" t="s">
        <v>2418</v>
      </c>
      <c r="D1127" s="37" t="s">
        <v>71</v>
      </c>
    </row>
    <row r="1128" spans="1:4" x14ac:dyDescent="0.25">
      <c r="A1128" s="37" t="s">
        <v>2419</v>
      </c>
      <c r="B1128" s="37" t="s">
        <v>632</v>
      </c>
      <c r="C1128" s="37" t="s">
        <v>770</v>
      </c>
      <c r="D1128" s="37" t="s">
        <v>71</v>
      </c>
    </row>
    <row r="1129" spans="1:4" x14ac:dyDescent="0.25">
      <c r="A1129" s="37" t="s">
        <v>2420</v>
      </c>
      <c r="B1129" s="37" t="s">
        <v>2421</v>
      </c>
      <c r="C1129" s="37" t="s">
        <v>945</v>
      </c>
      <c r="D1129" s="37" t="s">
        <v>71</v>
      </c>
    </row>
    <row r="1130" spans="1:4" x14ac:dyDescent="0.25">
      <c r="A1130" s="37" t="s">
        <v>2422</v>
      </c>
      <c r="B1130" s="37" t="s">
        <v>480</v>
      </c>
      <c r="C1130" s="37" t="s">
        <v>2423</v>
      </c>
      <c r="D1130" s="37" t="s">
        <v>71</v>
      </c>
    </row>
    <row r="1131" spans="1:4" x14ac:dyDescent="0.25">
      <c r="A1131" s="37" t="s">
        <v>2424</v>
      </c>
      <c r="B1131" s="37" t="s">
        <v>3195</v>
      </c>
      <c r="C1131" s="37" t="s">
        <v>2425</v>
      </c>
      <c r="D1131" s="37" t="s">
        <v>1939</v>
      </c>
    </row>
    <row r="1132" spans="1:4" x14ac:dyDescent="0.25">
      <c r="A1132" s="37" t="s">
        <v>2426</v>
      </c>
      <c r="B1132" s="37" t="s">
        <v>2427</v>
      </c>
      <c r="C1132" s="37" t="s">
        <v>673</v>
      </c>
      <c r="D1132" s="37" t="s">
        <v>116</v>
      </c>
    </row>
    <row r="1133" spans="1:4" x14ac:dyDescent="0.25">
      <c r="A1133" s="37" t="s">
        <v>2428</v>
      </c>
      <c r="B1133" s="37" t="s">
        <v>2429</v>
      </c>
      <c r="C1133" s="37" t="s">
        <v>2430</v>
      </c>
      <c r="D1133" s="37" t="s">
        <v>116</v>
      </c>
    </row>
    <row r="1134" spans="1:4" x14ac:dyDescent="0.25">
      <c r="A1134" s="37" t="s">
        <v>2431</v>
      </c>
      <c r="B1134" s="37" t="s">
        <v>2432</v>
      </c>
      <c r="C1134" s="37" t="s">
        <v>2433</v>
      </c>
      <c r="D1134" s="37" t="s">
        <v>71</v>
      </c>
    </row>
    <row r="1135" spans="1:4" x14ac:dyDescent="0.25">
      <c r="A1135" s="37" t="s">
        <v>2434</v>
      </c>
      <c r="B1135" s="37" t="s">
        <v>2435</v>
      </c>
      <c r="C1135" s="37" t="s">
        <v>2436</v>
      </c>
      <c r="D1135" s="37" t="s">
        <v>116</v>
      </c>
    </row>
    <row r="1136" spans="1:4" x14ac:dyDescent="0.25">
      <c r="A1136" s="37" t="s">
        <v>2437</v>
      </c>
      <c r="B1136" s="37" t="s">
        <v>2438</v>
      </c>
      <c r="C1136" s="37" t="s">
        <v>2439</v>
      </c>
      <c r="D1136" s="37" t="s">
        <v>71</v>
      </c>
    </row>
    <row r="1137" spans="1:4" x14ac:dyDescent="0.25">
      <c r="A1137" s="37" t="s">
        <v>2440</v>
      </c>
      <c r="B1137" s="37" t="s">
        <v>2441</v>
      </c>
      <c r="C1137" s="37" t="s">
        <v>341</v>
      </c>
      <c r="D1137" s="37" t="s">
        <v>71</v>
      </c>
    </row>
    <row r="1138" spans="1:4" x14ac:dyDescent="0.25">
      <c r="A1138" s="37" t="s">
        <v>2442</v>
      </c>
      <c r="B1138" s="37" t="s">
        <v>1006</v>
      </c>
      <c r="C1138" s="37" t="s">
        <v>2443</v>
      </c>
      <c r="D1138" s="37" t="s">
        <v>1939</v>
      </c>
    </row>
    <row r="1139" spans="1:4" x14ac:dyDescent="0.25">
      <c r="A1139" s="37" t="s">
        <v>2444</v>
      </c>
      <c r="B1139" s="37" t="s">
        <v>2445</v>
      </c>
      <c r="C1139" s="37" t="s">
        <v>715</v>
      </c>
      <c r="D1139" s="37" t="s">
        <v>71</v>
      </c>
    </row>
    <row r="1140" spans="1:4" x14ac:dyDescent="0.25">
      <c r="A1140" s="37" t="s">
        <v>2446</v>
      </c>
      <c r="B1140" s="37" t="s">
        <v>1432</v>
      </c>
      <c r="C1140" s="37" t="s">
        <v>2447</v>
      </c>
      <c r="D1140" s="37" t="s">
        <v>71</v>
      </c>
    </row>
    <row r="1141" spans="1:4" x14ac:dyDescent="0.25">
      <c r="A1141" s="37" t="s">
        <v>2448</v>
      </c>
      <c r="B1141" s="37" t="s">
        <v>2449</v>
      </c>
      <c r="C1141" s="37" t="s">
        <v>2124</v>
      </c>
      <c r="D1141" s="37" t="s">
        <v>71</v>
      </c>
    </row>
    <row r="1142" spans="1:4" x14ac:dyDescent="0.25">
      <c r="A1142" s="37" t="s">
        <v>2450</v>
      </c>
      <c r="B1142" s="37" t="s">
        <v>2451</v>
      </c>
      <c r="C1142" s="37" t="s">
        <v>2382</v>
      </c>
      <c r="D1142" s="37" t="s">
        <v>71</v>
      </c>
    </row>
    <row r="1143" spans="1:4" x14ac:dyDescent="0.25">
      <c r="A1143" s="37" t="s">
        <v>2452</v>
      </c>
      <c r="B1143" s="37" t="s">
        <v>2453</v>
      </c>
      <c r="C1143" s="37" t="s">
        <v>329</v>
      </c>
      <c r="D1143" s="37" t="s">
        <v>71</v>
      </c>
    </row>
    <row r="1144" spans="1:4" x14ac:dyDescent="0.25">
      <c r="A1144" s="37" t="s">
        <v>2454</v>
      </c>
      <c r="B1144" s="37" t="s">
        <v>2455</v>
      </c>
      <c r="C1144" s="37" t="s">
        <v>2456</v>
      </c>
      <c r="D1144" s="37" t="s">
        <v>71</v>
      </c>
    </row>
    <row r="1145" spans="1:4" x14ac:dyDescent="0.25">
      <c r="A1145" s="37" t="s">
        <v>2457</v>
      </c>
      <c r="B1145" s="37" t="s">
        <v>2458</v>
      </c>
      <c r="C1145" s="37" t="s">
        <v>481</v>
      </c>
      <c r="D1145" s="37" t="s">
        <v>71</v>
      </c>
    </row>
    <row r="1146" spans="1:4" x14ac:dyDescent="0.25">
      <c r="A1146" s="37" t="s">
        <v>2459</v>
      </c>
      <c r="B1146" s="37" t="s">
        <v>227</v>
      </c>
      <c r="C1146" s="37" t="s">
        <v>1221</v>
      </c>
      <c r="D1146" s="37" t="s">
        <v>71</v>
      </c>
    </row>
    <row r="1147" spans="1:4" x14ac:dyDescent="0.25">
      <c r="A1147" s="37" t="s">
        <v>2460</v>
      </c>
      <c r="B1147" s="37" t="s">
        <v>1310</v>
      </c>
      <c r="C1147" s="37" t="s">
        <v>1578</v>
      </c>
      <c r="D1147" s="37" t="s">
        <v>116</v>
      </c>
    </row>
    <row r="1148" spans="1:4" x14ac:dyDescent="0.25">
      <c r="A1148" s="37" t="s">
        <v>2461</v>
      </c>
      <c r="B1148" s="37" t="s">
        <v>2462</v>
      </c>
      <c r="C1148" s="37" t="s">
        <v>2463</v>
      </c>
      <c r="D1148" s="37" t="s">
        <v>116</v>
      </c>
    </row>
    <row r="1149" spans="1:4" x14ac:dyDescent="0.25">
      <c r="A1149" s="37" t="s">
        <v>2464</v>
      </c>
      <c r="B1149" s="37" t="s">
        <v>3064</v>
      </c>
      <c r="C1149" s="37" t="s">
        <v>1311</v>
      </c>
      <c r="D1149" s="37" t="s">
        <v>116</v>
      </c>
    </row>
    <row r="1150" spans="1:4" x14ac:dyDescent="0.25">
      <c r="A1150" s="37" t="s">
        <v>2465</v>
      </c>
      <c r="B1150" s="37" t="s">
        <v>2445</v>
      </c>
      <c r="C1150" s="37" t="s">
        <v>2466</v>
      </c>
      <c r="D1150" s="37" t="s">
        <v>71</v>
      </c>
    </row>
    <row r="1151" spans="1:4" x14ac:dyDescent="0.25">
      <c r="A1151" s="37" t="s">
        <v>2467</v>
      </c>
      <c r="B1151" s="37" t="s">
        <v>2468</v>
      </c>
      <c r="C1151" s="37" t="s">
        <v>2469</v>
      </c>
      <c r="D1151" s="37" t="s">
        <v>71</v>
      </c>
    </row>
    <row r="1152" spans="1:4" x14ac:dyDescent="0.25">
      <c r="A1152" s="37" t="s">
        <v>2470</v>
      </c>
      <c r="B1152" s="37" t="s">
        <v>2471</v>
      </c>
      <c r="C1152" s="37" t="s">
        <v>1277</v>
      </c>
      <c r="D1152" s="37" t="s">
        <v>71</v>
      </c>
    </row>
    <row r="1153" spans="1:4" x14ac:dyDescent="0.25">
      <c r="A1153" s="37" t="s">
        <v>2472</v>
      </c>
      <c r="B1153" s="37" t="s">
        <v>525</v>
      </c>
      <c r="C1153" s="37" t="s">
        <v>2473</v>
      </c>
      <c r="D1153" s="37" t="s">
        <v>116</v>
      </c>
    </row>
    <row r="1154" spans="1:4" x14ac:dyDescent="0.25">
      <c r="A1154" s="37" t="s">
        <v>2474</v>
      </c>
      <c r="B1154" s="37" t="s">
        <v>2475</v>
      </c>
      <c r="C1154" s="37" t="s">
        <v>2476</v>
      </c>
      <c r="D1154" s="37" t="s">
        <v>71</v>
      </c>
    </row>
    <row r="1155" spans="1:4" x14ac:dyDescent="0.25">
      <c r="A1155" s="37" t="s">
        <v>2477</v>
      </c>
      <c r="B1155" s="37" t="s">
        <v>282</v>
      </c>
      <c r="C1155" s="37" t="s">
        <v>802</v>
      </c>
      <c r="D1155" s="37" t="s">
        <v>116</v>
      </c>
    </row>
    <row r="1156" spans="1:4" x14ac:dyDescent="0.25">
      <c r="A1156" s="37" t="s">
        <v>2478</v>
      </c>
      <c r="B1156" s="37" t="s">
        <v>2479</v>
      </c>
      <c r="C1156" s="37" t="s">
        <v>2480</v>
      </c>
      <c r="D1156" s="37" t="s">
        <v>116</v>
      </c>
    </row>
    <row r="1157" spans="1:4" x14ac:dyDescent="0.25">
      <c r="A1157" s="37" t="s">
        <v>2481</v>
      </c>
      <c r="B1157" s="37" t="s">
        <v>2482</v>
      </c>
      <c r="C1157" s="37" t="s">
        <v>2483</v>
      </c>
      <c r="D1157" s="37" t="s">
        <v>116</v>
      </c>
    </row>
    <row r="1158" spans="1:4" x14ac:dyDescent="0.25">
      <c r="A1158" s="37" t="s">
        <v>2484</v>
      </c>
      <c r="B1158" s="37" t="s">
        <v>2485</v>
      </c>
      <c r="C1158" s="37" t="s">
        <v>2122</v>
      </c>
      <c r="D1158" s="37" t="s">
        <v>71</v>
      </c>
    </row>
    <row r="1159" spans="1:4" x14ac:dyDescent="0.25">
      <c r="A1159" s="37" t="s">
        <v>2486</v>
      </c>
      <c r="B1159" s="37" t="s">
        <v>2487</v>
      </c>
      <c r="C1159" s="37" t="s">
        <v>1113</v>
      </c>
      <c r="D1159" s="37" t="s">
        <v>116</v>
      </c>
    </row>
    <row r="1160" spans="1:4" x14ac:dyDescent="0.25">
      <c r="A1160" s="37" t="s">
        <v>2488</v>
      </c>
      <c r="B1160" s="37" t="s">
        <v>1503</v>
      </c>
      <c r="C1160" s="37" t="s">
        <v>143</v>
      </c>
      <c r="D1160" s="37" t="s">
        <v>116</v>
      </c>
    </row>
    <row r="1161" spans="1:4" x14ac:dyDescent="0.25">
      <c r="A1161" s="37" t="s">
        <v>2489</v>
      </c>
      <c r="B1161" s="37" t="s">
        <v>1641</v>
      </c>
      <c r="C1161" s="37" t="s">
        <v>2490</v>
      </c>
      <c r="D1161" s="37" t="s">
        <v>71</v>
      </c>
    </row>
    <row r="1162" spans="1:4" x14ac:dyDescent="0.25">
      <c r="A1162" s="37" t="s">
        <v>2491</v>
      </c>
      <c r="B1162" s="37" t="s">
        <v>2492</v>
      </c>
      <c r="C1162" s="37" t="s">
        <v>1470</v>
      </c>
      <c r="D1162" s="37" t="s">
        <v>71</v>
      </c>
    </row>
    <row r="1163" spans="1:4" x14ac:dyDescent="0.25">
      <c r="A1163" s="37" t="s">
        <v>2493</v>
      </c>
      <c r="B1163" s="37" t="s">
        <v>2494</v>
      </c>
      <c r="C1163" s="37" t="s">
        <v>1858</v>
      </c>
      <c r="D1163" s="37" t="s">
        <v>116</v>
      </c>
    </row>
    <row r="1164" spans="1:4" x14ac:dyDescent="0.25">
      <c r="A1164" s="37" t="s">
        <v>2495</v>
      </c>
      <c r="B1164" s="37" t="s">
        <v>2496</v>
      </c>
      <c r="C1164" s="37" t="s">
        <v>1702</v>
      </c>
      <c r="D1164" s="37" t="s">
        <v>116</v>
      </c>
    </row>
    <row r="1165" spans="1:4" x14ac:dyDescent="0.25">
      <c r="A1165" s="37" t="s">
        <v>2497</v>
      </c>
      <c r="B1165" s="37" t="s">
        <v>2498</v>
      </c>
      <c r="C1165" s="37" t="s">
        <v>479</v>
      </c>
      <c r="D1165" s="37" t="s">
        <v>116</v>
      </c>
    </row>
    <row r="1166" spans="1:4" x14ac:dyDescent="0.25">
      <c r="A1166" s="37" t="s">
        <v>2500</v>
      </c>
      <c r="B1166" s="37" t="s">
        <v>2501</v>
      </c>
      <c r="C1166" s="37" t="s">
        <v>887</v>
      </c>
      <c r="D1166" s="37" t="s">
        <v>116</v>
      </c>
    </row>
    <row r="1167" spans="1:4" x14ac:dyDescent="0.25">
      <c r="A1167" s="37" t="s">
        <v>2502</v>
      </c>
      <c r="B1167" s="37" t="s">
        <v>2503</v>
      </c>
      <c r="C1167" s="37" t="s">
        <v>2504</v>
      </c>
      <c r="D1167" s="37" t="s">
        <v>116</v>
      </c>
    </row>
    <row r="1168" spans="1:4" x14ac:dyDescent="0.25">
      <c r="A1168" s="37" t="s">
        <v>2505</v>
      </c>
      <c r="B1168" s="37" t="s">
        <v>2506</v>
      </c>
      <c r="C1168" s="37" t="s">
        <v>2507</v>
      </c>
      <c r="D1168" s="37" t="s">
        <v>71</v>
      </c>
    </row>
    <row r="1169" spans="1:4" x14ac:dyDescent="0.25">
      <c r="A1169" s="37" t="s">
        <v>2508</v>
      </c>
      <c r="B1169" s="37" t="s">
        <v>2509</v>
      </c>
      <c r="C1169" s="37" t="s">
        <v>715</v>
      </c>
      <c r="D1169" s="37" t="s">
        <v>71</v>
      </c>
    </row>
    <row r="1170" spans="1:4" x14ac:dyDescent="0.25">
      <c r="A1170" s="37" t="s">
        <v>2510</v>
      </c>
      <c r="B1170" s="37" t="s">
        <v>2511</v>
      </c>
      <c r="C1170" s="37" t="s">
        <v>706</v>
      </c>
      <c r="D1170" s="37" t="s">
        <v>116</v>
      </c>
    </row>
    <row r="1171" spans="1:4" x14ac:dyDescent="0.25">
      <c r="A1171" s="37" t="s">
        <v>2512</v>
      </c>
      <c r="B1171" s="37" t="s">
        <v>1908</v>
      </c>
      <c r="C1171" s="37" t="s">
        <v>319</v>
      </c>
      <c r="D1171" s="37" t="s">
        <v>71</v>
      </c>
    </row>
    <row r="1172" spans="1:4" x14ac:dyDescent="0.25">
      <c r="A1172" s="37" t="s">
        <v>2513</v>
      </c>
      <c r="B1172" s="37" t="s">
        <v>138</v>
      </c>
      <c r="C1172" s="37" t="s">
        <v>219</v>
      </c>
      <c r="D1172" s="37" t="s">
        <v>116</v>
      </c>
    </row>
    <row r="1173" spans="1:4" x14ac:dyDescent="0.25">
      <c r="A1173" s="37" t="s">
        <v>2514</v>
      </c>
      <c r="B1173" s="37" t="s">
        <v>670</v>
      </c>
      <c r="C1173" s="37" t="s">
        <v>635</v>
      </c>
      <c r="D1173" s="37" t="s">
        <v>71</v>
      </c>
    </row>
    <row r="1174" spans="1:4" x14ac:dyDescent="0.25">
      <c r="A1174" s="37" t="s">
        <v>2515</v>
      </c>
      <c r="B1174" s="37" t="s">
        <v>2516</v>
      </c>
      <c r="C1174" s="37" t="s">
        <v>2517</v>
      </c>
      <c r="D1174" s="37" t="s">
        <v>71</v>
      </c>
    </row>
    <row r="1175" spans="1:4" x14ac:dyDescent="0.25">
      <c r="A1175" s="37" t="s">
        <v>2518</v>
      </c>
      <c r="B1175" s="37" t="s">
        <v>2519</v>
      </c>
      <c r="C1175" s="37" t="s">
        <v>2520</v>
      </c>
      <c r="D1175" s="37" t="s">
        <v>71</v>
      </c>
    </row>
    <row r="1176" spans="1:4" x14ac:dyDescent="0.25">
      <c r="A1176" s="37" t="s">
        <v>2521</v>
      </c>
      <c r="B1176" s="37" t="s">
        <v>3161</v>
      </c>
      <c r="C1176" s="37" t="s">
        <v>130</v>
      </c>
      <c r="D1176" s="37" t="s">
        <v>116</v>
      </c>
    </row>
    <row r="1177" spans="1:4" x14ac:dyDescent="0.25">
      <c r="A1177" s="37" t="s">
        <v>2522</v>
      </c>
      <c r="B1177" s="37" t="s">
        <v>2523</v>
      </c>
      <c r="C1177" s="37" t="s">
        <v>2524</v>
      </c>
      <c r="D1177" s="37" t="s">
        <v>116</v>
      </c>
    </row>
    <row r="1178" spans="1:4" x14ac:dyDescent="0.25">
      <c r="A1178" s="37" t="s">
        <v>2525</v>
      </c>
      <c r="B1178" s="37" t="s">
        <v>2526</v>
      </c>
      <c r="C1178" s="37" t="s">
        <v>2527</v>
      </c>
      <c r="D1178" s="37" t="s">
        <v>71</v>
      </c>
    </row>
    <row r="1179" spans="1:4" x14ac:dyDescent="0.25">
      <c r="A1179" s="37" t="s">
        <v>2528</v>
      </c>
      <c r="B1179" s="37" t="s">
        <v>1447</v>
      </c>
      <c r="C1179" s="37" t="s">
        <v>2529</v>
      </c>
      <c r="D1179" s="37" t="s">
        <v>71</v>
      </c>
    </row>
    <row r="1180" spans="1:4" x14ac:dyDescent="0.25">
      <c r="A1180" s="37" t="s">
        <v>2530</v>
      </c>
      <c r="B1180" s="37" t="s">
        <v>2531</v>
      </c>
      <c r="C1180" s="37" t="s">
        <v>154</v>
      </c>
      <c r="D1180" s="37" t="s">
        <v>71</v>
      </c>
    </row>
    <row r="1181" spans="1:4" x14ac:dyDescent="0.25">
      <c r="A1181" s="37" t="s">
        <v>2532</v>
      </c>
      <c r="B1181" s="37" t="s">
        <v>2533</v>
      </c>
      <c r="C1181" s="37" t="s">
        <v>1397</v>
      </c>
      <c r="D1181" s="37" t="s">
        <v>71</v>
      </c>
    </row>
    <row r="1182" spans="1:4" x14ac:dyDescent="0.25">
      <c r="A1182" s="37" t="s">
        <v>2534</v>
      </c>
      <c r="B1182" s="37" t="s">
        <v>2535</v>
      </c>
      <c r="C1182" s="37" t="s">
        <v>2536</v>
      </c>
      <c r="D1182" s="37" t="s">
        <v>71</v>
      </c>
    </row>
    <row r="1183" spans="1:4" x14ac:dyDescent="0.25">
      <c r="A1183" s="37" t="s">
        <v>2537</v>
      </c>
      <c r="B1183" s="37" t="s">
        <v>2538</v>
      </c>
      <c r="C1183" s="37" t="s">
        <v>1977</v>
      </c>
      <c r="D1183" s="37" t="s">
        <v>71</v>
      </c>
    </row>
    <row r="1184" spans="1:4" x14ac:dyDescent="0.25">
      <c r="A1184" s="37" t="s">
        <v>2539</v>
      </c>
      <c r="B1184" s="37" t="s">
        <v>2540</v>
      </c>
      <c r="C1184" s="37" t="s">
        <v>242</v>
      </c>
      <c r="D1184" s="37" t="s">
        <v>116</v>
      </c>
    </row>
    <row r="1185" spans="1:4" x14ac:dyDescent="0.25">
      <c r="A1185" s="37" t="s">
        <v>2541</v>
      </c>
      <c r="B1185" s="37" t="s">
        <v>2542</v>
      </c>
      <c r="C1185" s="37" t="s">
        <v>2543</v>
      </c>
      <c r="D1185" s="37" t="s">
        <v>71</v>
      </c>
    </row>
    <row r="1186" spans="1:4" x14ac:dyDescent="0.25">
      <c r="A1186" s="37" t="s">
        <v>2544</v>
      </c>
      <c r="B1186" s="37" t="s">
        <v>2194</v>
      </c>
      <c r="C1186" s="37" t="s">
        <v>2545</v>
      </c>
      <c r="D1186" s="37" t="s">
        <v>116</v>
      </c>
    </row>
    <row r="1187" spans="1:4" x14ac:dyDescent="0.25">
      <c r="A1187" s="37" t="s">
        <v>2546</v>
      </c>
      <c r="B1187" s="37" t="s">
        <v>2547</v>
      </c>
      <c r="C1187" s="37" t="s">
        <v>2548</v>
      </c>
      <c r="D1187" s="37" t="s">
        <v>71</v>
      </c>
    </row>
    <row r="1188" spans="1:4" x14ac:dyDescent="0.25">
      <c r="A1188" s="37" t="s">
        <v>2549</v>
      </c>
      <c r="B1188" s="37" t="s">
        <v>698</v>
      </c>
      <c r="C1188" s="37" t="s">
        <v>506</v>
      </c>
      <c r="D1188" s="37" t="s">
        <v>71</v>
      </c>
    </row>
    <row r="1189" spans="1:4" x14ac:dyDescent="0.25">
      <c r="A1189" s="37" t="s">
        <v>2550</v>
      </c>
      <c r="B1189" s="37" t="s">
        <v>3099</v>
      </c>
      <c r="C1189" s="37" t="s">
        <v>569</v>
      </c>
      <c r="D1189" s="37" t="s">
        <v>116</v>
      </c>
    </row>
    <row r="1190" spans="1:4" x14ac:dyDescent="0.25">
      <c r="A1190" s="37" t="s">
        <v>2552</v>
      </c>
      <c r="B1190" s="37" t="s">
        <v>1026</v>
      </c>
      <c r="C1190" s="37" t="s">
        <v>2553</v>
      </c>
      <c r="D1190" s="37" t="s">
        <v>462</v>
      </c>
    </row>
    <row r="1191" spans="1:4" x14ac:dyDescent="0.25">
      <c r="A1191" s="37" t="s">
        <v>2554</v>
      </c>
      <c r="B1191" s="37" t="s">
        <v>2555</v>
      </c>
      <c r="C1191" s="37" t="s">
        <v>2556</v>
      </c>
      <c r="D1191" s="37" t="s">
        <v>71</v>
      </c>
    </row>
    <row r="1192" spans="1:4" x14ac:dyDescent="0.25">
      <c r="A1192" s="37" t="s">
        <v>2557</v>
      </c>
      <c r="B1192" s="37" t="s">
        <v>2558</v>
      </c>
      <c r="C1192" s="37" t="s">
        <v>651</v>
      </c>
      <c r="D1192" s="37" t="s">
        <v>116</v>
      </c>
    </row>
    <row r="1193" spans="1:4" x14ac:dyDescent="0.25">
      <c r="A1193" s="37" t="s">
        <v>2559</v>
      </c>
      <c r="B1193" s="37" t="s">
        <v>2560</v>
      </c>
      <c r="C1193" s="37" t="s">
        <v>531</v>
      </c>
      <c r="D1193" s="37" t="s">
        <v>71</v>
      </c>
    </row>
    <row r="1194" spans="1:4" x14ac:dyDescent="0.25">
      <c r="A1194" s="37" t="s">
        <v>2561</v>
      </c>
      <c r="B1194" s="37" t="s">
        <v>2562</v>
      </c>
      <c r="C1194" s="37" t="s">
        <v>2069</v>
      </c>
      <c r="D1194" s="37" t="s">
        <v>71</v>
      </c>
    </row>
    <row r="1195" spans="1:4" x14ac:dyDescent="0.25">
      <c r="A1195" s="37" t="s">
        <v>2563</v>
      </c>
      <c r="B1195" s="37" t="s">
        <v>2564</v>
      </c>
      <c r="C1195" s="37" t="s">
        <v>2069</v>
      </c>
      <c r="D1195" s="37" t="s">
        <v>71</v>
      </c>
    </row>
    <row r="1196" spans="1:4" x14ac:dyDescent="0.25">
      <c r="A1196" s="37" t="s">
        <v>2565</v>
      </c>
      <c r="B1196" s="37" t="s">
        <v>2566</v>
      </c>
      <c r="C1196" s="37" t="s">
        <v>2567</v>
      </c>
      <c r="D1196" s="37" t="s">
        <v>116</v>
      </c>
    </row>
    <row r="1197" spans="1:4" x14ac:dyDescent="0.25">
      <c r="A1197" s="37" t="s">
        <v>2568</v>
      </c>
      <c r="B1197" s="37" t="s">
        <v>2569</v>
      </c>
      <c r="C1197" s="37" t="s">
        <v>1845</v>
      </c>
      <c r="D1197" s="37" t="s">
        <v>116</v>
      </c>
    </row>
    <row r="1198" spans="1:4" x14ac:dyDescent="0.25">
      <c r="A1198" s="37" t="s">
        <v>2570</v>
      </c>
      <c r="B1198" s="37" t="s">
        <v>1271</v>
      </c>
      <c r="C1198" s="37" t="s">
        <v>329</v>
      </c>
      <c r="D1198" s="37" t="s">
        <v>71</v>
      </c>
    </row>
    <row r="1199" spans="1:4" x14ac:dyDescent="0.25">
      <c r="A1199" s="37" t="s">
        <v>2571</v>
      </c>
      <c r="B1199" s="37" t="s">
        <v>2572</v>
      </c>
      <c r="C1199" s="37" t="s">
        <v>2573</v>
      </c>
      <c r="D1199" s="37" t="s">
        <v>71</v>
      </c>
    </row>
    <row r="1200" spans="1:4" x14ac:dyDescent="0.25">
      <c r="A1200" s="37" t="s">
        <v>2574</v>
      </c>
      <c r="B1200" s="37" t="s">
        <v>1026</v>
      </c>
      <c r="C1200" s="37" t="s">
        <v>492</v>
      </c>
      <c r="D1200" s="37" t="s">
        <v>71</v>
      </c>
    </row>
    <row r="1201" spans="1:4" x14ac:dyDescent="0.25">
      <c r="A1201" s="37" t="s">
        <v>2575</v>
      </c>
      <c r="B1201" s="37" t="s">
        <v>551</v>
      </c>
      <c r="C1201" s="37" t="s">
        <v>2576</v>
      </c>
      <c r="D1201" s="37" t="s">
        <v>71</v>
      </c>
    </row>
    <row r="1202" spans="1:4" x14ac:dyDescent="0.25">
      <c r="A1202" s="37" t="s">
        <v>2577</v>
      </c>
      <c r="B1202" s="37" t="s">
        <v>3098</v>
      </c>
      <c r="C1202" s="37" t="s">
        <v>143</v>
      </c>
      <c r="D1202" s="37" t="s">
        <v>71</v>
      </c>
    </row>
    <row r="1203" spans="1:4" x14ac:dyDescent="0.25">
      <c r="A1203" s="37" t="s">
        <v>2578</v>
      </c>
      <c r="B1203" s="37" t="s">
        <v>2579</v>
      </c>
      <c r="C1203" s="37" t="s">
        <v>2580</v>
      </c>
      <c r="D1203" s="37" t="s">
        <v>116</v>
      </c>
    </row>
    <row r="1204" spans="1:4" x14ac:dyDescent="0.25">
      <c r="A1204" s="37" t="s">
        <v>2581</v>
      </c>
      <c r="B1204" s="37" t="s">
        <v>3204</v>
      </c>
      <c r="C1204" s="37" t="s">
        <v>788</v>
      </c>
      <c r="D1204" s="37" t="s">
        <v>71</v>
      </c>
    </row>
    <row r="1205" spans="1:4" x14ac:dyDescent="0.25">
      <c r="A1205" s="37" t="s">
        <v>2582</v>
      </c>
      <c r="B1205" s="37" t="s">
        <v>2583</v>
      </c>
      <c r="C1205" s="37" t="s">
        <v>492</v>
      </c>
      <c r="D1205" s="37" t="s">
        <v>71</v>
      </c>
    </row>
    <row r="1206" spans="1:4" x14ac:dyDescent="0.25">
      <c r="A1206" s="37" t="s">
        <v>2584</v>
      </c>
      <c r="B1206" s="37" t="s">
        <v>1246</v>
      </c>
      <c r="C1206" s="37" t="s">
        <v>2585</v>
      </c>
      <c r="D1206" s="37" t="s">
        <v>71</v>
      </c>
    </row>
    <row r="1207" spans="1:4" x14ac:dyDescent="0.25">
      <c r="A1207" s="37" t="s">
        <v>2586</v>
      </c>
      <c r="B1207" s="37" t="s">
        <v>2587</v>
      </c>
      <c r="C1207" s="37" t="s">
        <v>2588</v>
      </c>
      <c r="D1207" s="37" t="s">
        <v>71</v>
      </c>
    </row>
    <row r="1208" spans="1:4" x14ac:dyDescent="0.25">
      <c r="A1208" s="37" t="s">
        <v>2589</v>
      </c>
      <c r="B1208" s="37" t="s">
        <v>441</v>
      </c>
      <c r="C1208" s="37" t="s">
        <v>651</v>
      </c>
      <c r="D1208" s="37" t="s">
        <v>71</v>
      </c>
    </row>
    <row r="1209" spans="1:4" x14ac:dyDescent="0.25">
      <c r="A1209" s="37" t="s">
        <v>2590</v>
      </c>
      <c r="B1209" s="37" t="s">
        <v>2591</v>
      </c>
      <c r="C1209" s="37" t="s">
        <v>2592</v>
      </c>
      <c r="D1209" s="37" t="s">
        <v>71</v>
      </c>
    </row>
    <row r="1210" spans="1:4" x14ac:dyDescent="0.25">
      <c r="A1210" s="37" t="s">
        <v>2593</v>
      </c>
      <c r="B1210" s="37" t="s">
        <v>3072</v>
      </c>
      <c r="C1210" s="37" t="s">
        <v>2355</v>
      </c>
      <c r="D1210" s="37" t="s">
        <v>71</v>
      </c>
    </row>
    <row r="1211" spans="1:4" x14ac:dyDescent="0.25">
      <c r="A1211" s="37" t="s">
        <v>2594</v>
      </c>
      <c r="B1211" s="37" t="s">
        <v>2595</v>
      </c>
      <c r="C1211" s="37" t="s">
        <v>2394</v>
      </c>
      <c r="D1211" s="37" t="s">
        <v>71</v>
      </c>
    </row>
    <row r="1212" spans="1:4" x14ac:dyDescent="0.25">
      <c r="A1212" s="37" t="s">
        <v>2596</v>
      </c>
      <c r="B1212" s="37" t="s">
        <v>2597</v>
      </c>
      <c r="C1212" s="37" t="s">
        <v>1450</v>
      </c>
      <c r="D1212" s="37" t="s">
        <v>71</v>
      </c>
    </row>
    <row r="1213" spans="1:4" x14ac:dyDescent="0.25">
      <c r="A1213" s="37" t="s">
        <v>2598</v>
      </c>
      <c r="B1213" s="37" t="s">
        <v>216</v>
      </c>
      <c r="C1213" s="37" t="s">
        <v>219</v>
      </c>
      <c r="D1213" s="37" t="s">
        <v>71</v>
      </c>
    </row>
    <row r="1214" spans="1:4" x14ac:dyDescent="0.25">
      <c r="A1214" s="37" t="s">
        <v>2599</v>
      </c>
      <c r="B1214" s="37" t="s">
        <v>2600</v>
      </c>
      <c r="C1214" s="37" t="s">
        <v>635</v>
      </c>
      <c r="D1214" s="37" t="s">
        <v>116</v>
      </c>
    </row>
    <row r="1215" spans="1:4" x14ac:dyDescent="0.25">
      <c r="A1215" s="37" t="s">
        <v>2601</v>
      </c>
      <c r="B1215" s="37" t="s">
        <v>2602</v>
      </c>
      <c r="C1215" s="37" t="s">
        <v>2603</v>
      </c>
      <c r="D1215" s="37" t="s">
        <v>71</v>
      </c>
    </row>
    <row r="1216" spans="1:4" x14ac:dyDescent="0.25">
      <c r="A1216" s="37" t="s">
        <v>2604</v>
      </c>
      <c r="B1216" s="37" t="s">
        <v>2605</v>
      </c>
      <c r="C1216" s="37" t="s">
        <v>1792</v>
      </c>
      <c r="D1216" s="37" t="s">
        <v>116</v>
      </c>
    </row>
    <row r="1217" spans="1:4" x14ac:dyDescent="0.25">
      <c r="A1217" s="37" t="s">
        <v>2607</v>
      </c>
      <c r="B1217" s="37" t="s">
        <v>1920</v>
      </c>
      <c r="C1217" s="37" t="s">
        <v>1690</v>
      </c>
      <c r="D1217" s="37" t="s">
        <v>71</v>
      </c>
    </row>
    <row r="1218" spans="1:4" x14ac:dyDescent="0.25">
      <c r="A1218" s="37" t="s">
        <v>2608</v>
      </c>
      <c r="B1218" s="37" t="s">
        <v>2609</v>
      </c>
      <c r="C1218" s="37" t="s">
        <v>2610</v>
      </c>
      <c r="D1218" s="37" t="s">
        <v>116</v>
      </c>
    </row>
    <row r="1219" spans="1:4" x14ac:dyDescent="0.25">
      <c r="A1219" s="37" t="s">
        <v>2611</v>
      </c>
      <c r="B1219" s="37" t="s">
        <v>2612</v>
      </c>
      <c r="C1219" s="37" t="s">
        <v>492</v>
      </c>
      <c r="D1219" s="37" t="s">
        <v>71</v>
      </c>
    </row>
    <row r="1220" spans="1:4" x14ac:dyDescent="0.25">
      <c r="A1220" s="37" t="s">
        <v>2613</v>
      </c>
      <c r="B1220" s="37" t="s">
        <v>2614</v>
      </c>
      <c r="C1220" s="37" t="s">
        <v>802</v>
      </c>
      <c r="D1220" s="37" t="s">
        <v>71</v>
      </c>
    </row>
    <row r="1221" spans="1:4" x14ac:dyDescent="0.25">
      <c r="A1221" s="37" t="s">
        <v>2615</v>
      </c>
      <c r="B1221" s="37" t="s">
        <v>538</v>
      </c>
      <c r="C1221" s="37" t="s">
        <v>2616</v>
      </c>
      <c r="D1221" s="37" t="s">
        <v>116</v>
      </c>
    </row>
    <row r="1222" spans="1:4" x14ac:dyDescent="0.25">
      <c r="A1222" s="37" t="s">
        <v>2617</v>
      </c>
      <c r="B1222" s="37" t="s">
        <v>2618</v>
      </c>
      <c r="C1222" s="37" t="s">
        <v>2619</v>
      </c>
      <c r="D1222" s="37" t="s">
        <v>71</v>
      </c>
    </row>
    <row r="1223" spans="1:4" x14ac:dyDescent="0.25">
      <c r="A1223" s="37" t="s">
        <v>2620</v>
      </c>
      <c r="B1223" s="37" t="s">
        <v>2621</v>
      </c>
      <c r="C1223" s="37" t="s">
        <v>574</v>
      </c>
      <c r="D1223" s="37" t="s">
        <v>71</v>
      </c>
    </row>
    <row r="1224" spans="1:4" x14ac:dyDescent="0.25">
      <c r="A1224" s="37" t="s">
        <v>2622</v>
      </c>
      <c r="B1224" s="37" t="s">
        <v>2623</v>
      </c>
      <c r="C1224" s="37" t="s">
        <v>2624</v>
      </c>
      <c r="D1224" s="37" t="s">
        <v>116</v>
      </c>
    </row>
    <row r="1225" spans="1:4" x14ac:dyDescent="0.25">
      <c r="A1225" s="37" t="s">
        <v>2625</v>
      </c>
      <c r="B1225" s="37" t="s">
        <v>2626</v>
      </c>
      <c r="C1225" s="37" t="s">
        <v>666</v>
      </c>
      <c r="D1225" s="37" t="s">
        <v>71</v>
      </c>
    </row>
    <row r="1226" spans="1:4" x14ac:dyDescent="0.25">
      <c r="A1226" s="37" t="s">
        <v>2627</v>
      </c>
      <c r="B1226" s="37" t="s">
        <v>2628</v>
      </c>
      <c r="C1226" s="37" t="s">
        <v>130</v>
      </c>
      <c r="D1226" s="37" t="s">
        <v>71</v>
      </c>
    </row>
    <row r="1227" spans="1:4" x14ac:dyDescent="0.25">
      <c r="A1227" s="37" t="s">
        <v>2629</v>
      </c>
      <c r="B1227" s="37" t="s">
        <v>2630</v>
      </c>
      <c r="C1227" s="37" t="s">
        <v>1417</v>
      </c>
      <c r="D1227" s="37" t="s">
        <v>71</v>
      </c>
    </row>
    <row r="1228" spans="1:4" x14ac:dyDescent="0.25">
      <c r="A1228" s="37" t="s">
        <v>2631</v>
      </c>
      <c r="B1228" s="37" t="s">
        <v>2632</v>
      </c>
      <c r="C1228" s="37" t="s">
        <v>2633</v>
      </c>
      <c r="D1228" s="37" t="s">
        <v>71</v>
      </c>
    </row>
    <row r="1229" spans="1:4" x14ac:dyDescent="0.25">
      <c r="A1229" s="37" t="s">
        <v>2634</v>
      </c>
      <c r="B1229" s="37" t="s">
        <v>1394</v>
      </c>
      <c r="C1229" s="37" t="s">
        <v>1286</v>
      </c>
      <c r="D1229" s="37" t="s">
        <v>71</v>
      </c>
    </row>
    <row r="1230" spans="1:4" x14ac:dyDescent="0.25">
      <c r="A1230" s="37" t="s">
        <v>2635</v>
      </c>
      <c r="B1230" s="37" t="s">
        <v>2519</v>
      </c>
      <c r="C1230" s="37" t="s">
        <v>2636</v>
      </c>
      <c r="D1230" s="37" t="s">
        <v>116</v>
      </c>
    </row>
    <row r="1231" spans="1:4" x14ac:dyDescent="0.25">
      <c r="A1231" s="37" t="s">
        <v>2637</v>
      </c>
      <c r="B1231" s="37" t="s">
        <v>333</v>
      </c>
      <c r="C1231" s="37" t="s">
        <v>531</v>
      </c>
      <c r="D1231" s="37" t="s">
        <v>71</v>
      </c>
    </row>
    <row r="1232" spans="1:4" x14ac:dyDescent="0.25">
      <c r="A1232" s="37" t="s">
        <v>2638</v>
      </c>
      <c r="B1232" s="37" t="s">
        <v>2639</v>
      </c>
      <c r="C1232" s="37" t="s">
        <v>2256</v>
      </c>
      <c r="D1232" s="37" t="s">
        <v>116</v>
      </c>
    </row>
    <row r="1233" spans="1:4" x14ac:dyDescent="0.25">
      <c r="A1233" s="37" t="s">
        <v>2640</v>
      </c>
      <c r="B1233" s="37" t="s">
        <v>1828</v>
      </c>
      <c r="C1233" s="37" t="s">
        <v>200</v>
      </c>
      <c r="D1233" s="37" t="s">
        <v>71</v>
      </c>
    </row>
    <row r="1234" spans="1:4" x14ac:dyDescent="0.25">
      <c r="A1234" s="37" t="s">
        <v>2641</v>
      </c>
      <c r="B1234" s="37" t="s">
        <v>2136</v>
      </c>
      <c r="C1234" s="37" t="s">
        <v>898</v>
      </c>
      <c r="D1234" s="37" t="s">
        <v>71</v>
      </c>
    </row>
    <row r="1235" spans="1:4" x14ac:dyDescent="0.25">
      <c r="A1235" s="37" t="s">
        <v>2642</v>
      </c>
      <c r="B1235" s="37" t="s">
        <v>2643</v>
      </c>
      <c r="C1235" s="37" t="s">
        <v>1452</v>
      </c>
      <c r="D1235" s="37" t="s">
        <v>116</v>
      </c>
    </row>
    <row r="1236" spans="1:4" x14ac:dyDescent="0.25">
      <c r="A1236" s="37" t="s">
        <v>2644</v>
      </c>
      <c r="B1236" s="37" t="s">
        <v>1363</v>
      </c>
      <c r="C1236" s="37" t="s">
        <v>531</v>
      </c>
      <c r="D1236" s="37" t="s">
        <v>116</v>
      </c>
    </row>
    <row r="1237" spans="1:4" x14ac:dyDescent="0.25">
      <c r="A1237" s="37" t="s">
        <v>2645</v>
      </c>
      <c r="B1237" s="37" t="s">
        <v>2646</v>
      </c>
      <c r="C1237" s="37" t="s">
        <v>120</v>
      </c>
      <c r="D1237" s="37" t="s">
        <v>71</v>
      </c>
    </row>
    <row r="1238" spans="1:4" x14ac:dyDescent="0.25">
      <c r="A1238" s="37" t="s">
        <v>2647</v>
      </c>
      <c r="B1238" s="37" t="s">
        <v>2435</v>
      </c>
      <c r="C1238" s="37" t="s">
        <v>1795</v>
      </c>
      <c r="D1238" s="37" t="s">
        <v>71</v>
      </c>
    </row>
    <row r="1239" spans="1:4" x14ac:dyDescent="0.25">
      <c r="A1239" s="37" t="s">
        <v>2648</v>
      </c>
      <c r="B1239" s="37" t="s">
        <v>318</v>
      </c>
      <c r="C1239" s="37" t="s">
        <v>2649</v>
      </c>
      <c r="D1239" s="37" t="s">
        <v>71</v>
      </c>
    </row>
    <row r="1240" spans="1:4" x14ac:dyDescent="0.25">
      <c r="A1240" s="37" t="s">
        <v>2650</v>
      </c>
      <c r="B1240" s="37" t="s">
        <v>698</v>
      </c>
      <c r="C1240" s="37" t="s">
        <v>2651</v>
      </c>
      <c r="D1240" s="37" t="s">
        <v>71</v>
      </c>
    </row>
    <row r="1241" spans="1:4" x14ac:dyDescent="0.25">
      <c r="A1241" s="37" t="s">
        <v>2652</v>
      </c>
      <c r="B1241" s="37" t="s">
        <v>2653</v>
      </c>
      <c r="C1241" s="37" t="s">
        <v>295</v>
      </c>
      <c r="D1241" s="37" t="s">
        <v>116</v>
      </c>
    </row>
    <row r="1242" spans="1:4" x14ac:dyDescent="0.25">
      <c r="A1242" s="37" t="s">
        <v>2654</v>
      </c>
      <c r="B1242" s="37" t="s">
        <v>2655</v>
      </c>
      <c r="C1242" s="37" t="s">
        <v>780</v>
      </c>
      <c r="D1242" s="37" t="s">
        <v>71</v>
      </c>
    </row>
    <row r="1243" spans="1:4" x14ac:dyDescent="0.25">
      <c r="A1243" s="37" t="s">
        <v>2656</v>
      </c>
      <c r="B1243" s="37" t="s">
        <v>187</v>
      </c>
      <c r="C1243" s="37" t="s">
        <v>1647</v>
      </c>
      <c r="D1243" s="37" t="s">
        <v>71</v>
      </c>
    </row>
    <row r="1244" spans="1:4" x14ac:dyDescent="0.25">
      <c r="A1244" s="37" t="s">
        <v>2657</v>
      </c>
      <c r="B1244" s="37" t="s">
        <v>2658</v>
      </c>
      <c r="C1244" s="37" t="s">
        <v>2659</v>
      </c>
      <c r="D1244" s="37" t="s">
        <v>116</v>
      </c>
    </row>
    <row r="1245" spans="1:4" x14ac:dyDescent="0.25">
      <c r="A1245" s="37" t="s">
        <v>2660</v>
      </c>
      <c r="B1245" s="37" t="s">
        <v>2661</v>
      </c>
      <c r="C1245" s="37" t="s">
        <v>788</v>
      </c>
      <c r="D1245" s="37" t="s">
        <v>71</v>
      </c>
    </row>
    <row r="1246" spans="1:4" x14ac:dyDescent="0.25">
      <c r="A1246" s="37" t="s">
        <v>2662</v>
      </c>
      <c r="B1246" s="37" t="s">
        <v>2663</v>
      </c>
      <c r="C1246" s="37" t="s">
        <v>2664</v>
      </c>
      <c r="D1246" s="37" t="s">
        <v>71</v>
      </c>
    </row>
    <row r="1247" spans="1:4" x14ac:dyDescent="0.25">
      <c r="A1247" s="37" t="s">
        <v>2665</v>
      </c>
      <c r="B1247" s="37" t="s">
        <v>2666</v>
      </c>
      <c r="C1247" s="37" t="s">
        <v>788</v>
      </c>
      <c r="D1247" s="37" t="s">
        <v>116</v>
      </c>
    </row>
    <row r="1248" spans="1:4" x14ac:dyDescent="0.25">
      <c r="A1248" s="37" t="s">
        <v>2667</v>
      </c>
      <c r="B1248" s="37" t="s">
        <v>2668</v>
      </c>
      <c r="C1248" s="37" t="s">
        <v>2669</v>
      </c>
      <c r="D1248" s="37" t="s">
        <v>71</v>
      </c>
    </row>
    <row r="1249" spans="1:4" x14ac:dyDescent="0.25">
      <c r="A1249" s="37" t="s">
        <v>2670</v>
      </c>
      <c r="B1249" s="37" t="s">
        <v>2671</v>
      </c>
      <c r="C1249" s="37" t="s">
        <v>2672</v>
      </c>
      <c r="D1249" s="37" t="s">
        <v>71</v>
      </c>
    </row>
    <row r="1250" spans="1:4" x14ac:dyDescent="0.25">
      <c r="A1250" s="37" t="s">
        <v>2673</v>
      </c>
      <c r="B1250" s="37" t="s">
        <v>2674</v>
      </c>
      <c r="C1250" s="37" t="s">
        <v>1645</v>
      </c>
      <c r="D1250" s="37" t="s">
        <v>116</v>
      </c>
    </row>
    <row r="1251" spans="1:4" x14ac:dyDescent="0.25">
      <c r="A1251" s="37" t="s">
        <v>2675</v>
      </c>
      <c r="B1251" s="37" t="s">
        <v>2676</v>
      </c>
      <c r="C1251" s="37" t="s">
        <v>2677</v>
      </c>
      <c r="D1251" s="37" t="s">
        <v>116</v>
      </c>
    </row>
    <row r="1252" spans="1:4" x14ac:dyDescent="0.25">
      <c r="A1252" s="37" t="s">
        <v>2678</v>
      </c>
      <c r="B1252" s="37" t="s">
        <v>1026</v>
      </c>
      <c r="C1252" s="37" t="s">
        <v>2679</v>
      </c>
      <c r="D1252" s="37" t="s">
        <v>71</v>
      </c>
    </row>
    <row r="1253" spans="1:4" x14ac:dyDescent="0.25">
      <c r="A1253" s="37" t="s">
        <v>2680</v>
      </c>
      <c r="B1253" s="37" t="s">
        <v>2681</v>
      </c>
      <c r="C1253" s="37" t="s">
        <v>2682</v>
      </c>
      <c r="D1253" s="37" t="s">
        <v>116</v>
      </c>
    </row>
    <row r="1254" spans="1:4" x14ac:dyDescent="0.25">
      <c r="A1254" s="37" t="s">
        <v>2683</v>
      </c>
      <c r="B1254" s="37" t="s">
        <v>372</v>
      </c>
      <c r="C1254" s="37" t="s">
        <v>2684</v>
      </c>
      <c r="D1254" s="37" t="s">
        <v>71</v>
      </c>
    </row>
    <row r="1255" spans="1:4" x14ac:dyDescent="0.25">
      <c r="A1255" s="37" t="s">
        <v>2685</v>
      </c>
      <c r="B1255" s="37" t="s">
        <v>129</v>
      </c>
      <c r="C1255" s="37" t="s">
        <v>1725</v>
      </c>
      <c r="D1255" s="37" t="s">
        <v>71</v>
      </c>
    </row>
    <row r="1256" spans="1:4" x14ac:dyDescent="0.25">
      <c r="A1256" s="37" t="s">
        <v>2686</v>
      </c>
      <c r="B1256" s="37" t="s">
        <v>2687</v>
      </c>
      <c r="C1256" s="37" t="s">
        <v>2688</v>
      </c>
      <c r="D1256" s="37" t="s">
        <v>116</v>
      </c>
    </row>
    <row r="1257" spans="1:4" x14ac:dyDescent="0.25">
      <c r="A1257" s="37" t="s">
        <v>2689</v>
      </c>
      <c r="B1257" s="37" t="s">
        <v>668</v>
      </c>
      <c r="C1257" s="37" t="s">
        <v>149</v>
      </c>
      <c r="D1257" s="37" t="s">
        <v>116</v>
      </c>
    </row>
    <row r="1258" spans="1:4" x14ac:dyDescent="0.25">
      <c r="A1258" s="37" t="s">
        <v>2690</v>
      </c>
      <c r="B1258" s="37" t="s">
        <v>2691</v>
      </c>
      <c r="C1258" s="37" t="s">
        <v>229</v>
      </c>
      <c r="D1258" s="37" t="s">
        <v>71</v>
      </c>
    </row>
    <row r="1259" spans="1:4" x14ac:dyDescent="0.25">
      <c r="A1259" s="37" t="s">
        <v>2692</v>
      </c>
      <c r="B1259" s="37" t="s">
        <v>2693</v>
      </c>
      <c r="C1259" s="37" t="s">
        <v>2694</v>
      </c>
      <c r="D1259" s="37" t="s">
        <v>116</v>
      </c>
    </row>
    <row r="1260" spans="1:4" x14ac:dyDescent="0.25">
      <c r="A1260" s="37" t="s">
        <v>2695</v>
      </c>
      <c r="B1260" s="37" t="s">
        <v>2696</v>
      </c>
      <c r="C1260" s="37" t="s">
        <v>2697</v>
      </c>
      <c r="D1260" s="37" t="s">
        <v>71</v>
      </c>
    </row>
    <row r="1261" spans="1:4" x14ac:dyDescent="0.25">
      <c r="A1261" s="37" t="s">
        <v>2698</v>
      </c>
      <c r="B1261" s="37" t="s">
        <v>2699</v>
      </c>
      <c r="C1261" s="37" t="s">
        <v>965</v>
      </c>
      <c r="D1261" s="37" t="s">
        <v>71</v>
      </c>
    </row>
    <row r="1262" spans="1:4" x14ac:dyDescent="0.25">
      <c r="A1262" s="37" t="s">
        <v>2700</v>
      </c>
      <c r="B1262" s="37" t="s">
        <v>2701</v>
      </c>
      <c r="C1262" s="37" t="s">
        <v>827</v>
      </c>
      <c r="D1262" s="37" t="s">
        <v>71</v>
      </c>
    </row>
    <row r="1263" spans="1:4" x14ac:dyDescent="0.25">
      <c r="A1263" s="37" t="s">
        <v>2702</v>
      </c>
      <c r="B1263" s="37" t="s">
        <v>2703</v>
      </c>
      <c r="C1263" s="37" t="s">
        <v>2704</v>
      </c>
      <c r="D1263" s="37" t="s">
        <v>71</v>
      </c>
    </row>
    <row r="1264" spans="1:4" x14ac:dyDescent="0.25">
      <c r="A1264" s="37" t="s">
        <v>2705</v>
      </c>
      <c r="B1264" s="37" t="s">
        <v>2706</v>
      </c>
      <c r="C1264" s="37" t="s">
        <v>673</v>
      </c>
      <c r="D1264" s="37" t="s">
        <v>116</v>
      </c>
    </row>
    <row r="1265" spans="1:4" x14ac:dyDescent="0.25">
      <c r="A1265" s="37" t="s">
        <v>2707</v>
      </c>
      <c r="B1265" s="37" t="s">
        <v>1777</v>
      </c>
      <c r="C1265" s="37" t="s">
        <v>1455</v>
      </c>
      <c r="D1265" s="37" t="s">
        <v>71</v>
      </c>
    </row>
    <row r="1266" spans="1:4" x14ac:dyDescent="0.25">
      <c r="A1266" s="37" t="s">
        <v>2708</v>
      </c>
      <c r="B1266" s="37" t="s">
        <v>2519</v>
      </c>
      <c r="C1266" s="37" t="s">
        <v>2709</v>
      </c>
      <c r="D1266" s="37" t="s">
        <v>71</v>
      </c>
    </row>
    <row r="1267" spans="1:4" x14ac:dyDescent="0.25">
      <c r="A1267" s="37" t="s">
        <v>2710</v>
      </c>
      <c r="B1267" s="37" t="s">
        <v>2711</v>
      </c>
      <c r="C1267" s="37" t="s">
        <v>1390</v>
      </c>
      <c r="D1267" s="37" t="s">
        <v>462</v>
      </c>
    </row>
    <row r="1268" spans="1:4" x14ac:dyDescent="0.25">
      <c r="A1268" s="37" t="s">
        <v>2712</v>
      </c>
      <c r="B1268" s="37" t="s">
        <v>2713</v>
      </c>
      <c r="C1268" s="37" t="s">
        <v>266</v>
      </c>
      <c r="D1268" s="37" t="s">
        <v>71</v>
      </c>
    </row>
    <row r="1269" spans="1:4" x14ac:dyDescent="0.25">
      <c r="A1269" s="37" t="s">
        <v>2714</v>
      </c>
      <c r="B1269" s="37" t="s">
        <v>915</v>
      </c>
      <c r="C1269" s="37" t="s">
        <v>910</v>
      </c>
      <c r="D1269" s="37" t="s">
        <v>116</v>
      </c>
    </row>
    <row r="1270" spans="1:4" x14ac:dyDescent="0.25">
      <c r="A1270" s="37" t="s">
        <v>2715</v>
      </c>
      <c r="B1270" s="37" t="s">
        <v>2716</v>
      </c>
      <c r="C1270" s="37" t="s">
        <v>2717</v>
      </c>
      <c r="D1270" s="37" t="s">
        <v>71</v>
      </c>
    </row>
    <row r="1271" spans="1:4" x14ac:dyDescent="0.25">
      <c r="A1271" s="37" t="s">
        <v>2718</v>
      </c>
      <c r="B1271" s="37" t="s">
        <v>2719</v>
      </c>
      <c r="C1271" s="37" t="s">
        <v>2720</v>
      </c>
      <c r="D1271" s="37" t="s">
        <v>116</v>
      </c>
    </row>
    <row r="1272" spans="1:4" x14ac:dyDescent="0.25">
      <c r="A1272" s="37" t="s">
        <v>2721</v>
      </c>
      <c r="B1272" s="37" t="s">
        <v>2722</v>
      </c>
      <c r="C1272" s="37" t="s">
        <v>553</v>
      </c>
      <c r="D1272" s="37" t="s">
        <v>116</v>
      </c>
    </row>
    <row r="1273" spans="1:4" x14ac:dyDescent="0.25">
      <c r="A1273" s="37" t="s">
        <v>2723</v>
      </c>
      <c r="B1273" s="37" t="s">
        <v>2724</v>
      </c>
      <c r="C1273" s="37" t="s">
        <v>2725</v>
      </c>
      <c r="D1273" s="37" t="s">
        <v>71</v>
      </c>
    </row>
    <row r="1274" spans="1:4" x14ac:dyDescent="0.25">
      <c r="A1274" s="37" t="s">
        <v>2726</v>
      </c>
      <c r="B1274" s="37" t="s">
        <v>423</v>
      </c>
      <c r="C1274" s="37" t="s">
        <v>2727</v>
      </c>
      <c r="D1274" s="37" t="s">
        <v>116</v>
      </c>
    </row>
    <row r="1275" spans="1:4" x14ac:dyDescent="0.25">
      <c r="A1275" s="37" t="s">
        <v>2728</v>
      </c>
      <c r="B1275" s="37" t="s">
        <v>480</v>
      </c>
      <c r="C1275" s="37" t="s">
        <v>2729</v>
      </c>
      <c r="D1275" s="37" t="s">
        <v>71</v>
      </c>
    </row>
    <row r="1276" spans="1:4" x14ac:dyDescent="0.25">
      <c r="A1276" s="37" t="s">
        <v>2730</v>
      </c>
      <c r="B1276" s="37" t="s">
        <v>1828</v>
      </c>
      <c r="C1276" s="37" t="s">
        <v>2202</v>
      </c>
      <c r="D1276" s="37" t="s">
        <v>116</v>
      </c>
    </row>
    <row r="1277" spans="1:4" x14ac:dyDescent="0.25">
      <c r="A1277" s="37" t="s">
        <v>2731</v>
      </c>
      <c r="B1277" s="37" t="s">
        <v>2732</v>
      </c>
      <c r="C1277" s="37" t="s">
        <v>2733</v>
      </c>
      <c r="D1277" s="37" t="s">
        <v>71</v>
      </c>
    </row>
    <row r="1278" spans="1:4" x14ac:dyDescent="0.25">
      <c r="A1278" s="37" t="s">
        <v>2734</v>
      </c>
      <c r="B1278" s="37" t="s">
        <v>1663</v>
      </c>
      <c r="C1278" s="37" t="s">
        <v>1313</v>
      </c>
      <c r="D1278" s="37" t="s">
        <v>71</v>
      </c>
    </row>
    <row r="1279" spans="1:4" x14ac:dyDescent="0.25">
      <c r="A1279" s="37" t="s">
        <v>2735</v>
      </c>
      <c r="B1279" s="37" t="s">
        <v>2172</v>
      </c>
      <c r="C1279" s="37" t="s">
        <v>2736</v>
      </c>
      <c r="D1279" s="37" t="s">
        <v>116</v>
      </c>
    </row>
    <row r="1280" spans="1:4" x14ac:dyDescent="0.25">
      <c r="A1280" s="37" t="s">
        <v>2737</v>
      </c>
      <c r="B1280" s="37" t="s">
        <v>1499</v>
      </c>
      <c r="C1280" s="37" t="s">
        <v>2391</v>
      </c>
      <c r="D1280" s="37" t="s">
        <v>116</v>
      </c>
    </row>
    <row r="1281" spans="1:4" x14ac:dyDescent="0.25">
      <c r="A1281" s="37" t="s">
        <v>2738</v>
      </c>
      <c r="B1281" s="37" t="s">
        <v>2739</v>
      </c>
      <c r="C1281" s="37" t="s">
        <v>2740</v>
      </c>
      <c r="D1281" s="37" t="s">
        <v>71</v>
      </c>
    </row>
    <row r="1282" spans="1:4" x14ac:dyDescent="0.25">
      <c r="A1282" s="37" t="s">
        <v>2741</v>
      </c>
      <c r="B1282" s="37" t="s">
        <v>878</v>
      </c>
      <c r="C1282" s="37" t="s">
        <v>2742</v>
      </c>
      <c r="D1282" s="37" t="s">
        <v>71</v>
      </c>
    </row>
    <row r="1283" spans="1:4" x14ac:dyDescent="0.25">
      <c r="A1283" s="37" t="s">
        <v>2743</v>
      </c>
      <c r="B1283" s="37" t="s">
        <v>2744</v>
      </c>
      <c r="C1283" s="37" t="s">
        <v>2483</v>
      </c>
      <c r="D1283" s="37" t="s">
        <v>116</v>
      </c>
    </row>
    <row r="1284" spans="1:4" x14ac:dyDescent="0.25">
      <c r="A1284" s="37" t="s">
        <v>2745</v>
      </c>
      <c r="B1284" s="37" t="s">
        <v>1997</v>
      </c>
      <c r="C1284" s="37" t="s">
        <v>2746</v>
      </c>
      <c r="D1284" s="37" t="s">
        <v>71</v>
      </c>
    </row>
    <row r="1285" spans="1:4" x14ac:dyDescent="0.25">
      <c r="A1285" s="37" t="s">
        <v>2747</v>
      </c>
      <c r="B1285" s="37" t="s">
        <v>2748</v>
      </c>
      <c r="C1285" s="37" t="s">
        <v>2749</v>
      </c>
      <c r="D1285" s="37" t="s">
        <v>71</v>
      </c>
    </row>
    <row r="1286" spans="1:4" x14ac:dyDescent="0.25">
      <c r="A1286" s="37" t="s">
        <v>2750</v>
      </c>
      <c r="B1286" s="37" t="s">
        <v>259</v>
      </c>
      <c r="C1286" s="37" t="s">
        <v>2376</v>
      </c>
      <c r="D1286" s="37" t="s">
        <v>71</v>
      </c>
    </row>
    <row r="1287" spans="1:4" x14ac:dyDescent="0.25">
      <c r="A1287" s="37" t="s">
        <v>2751</v>
      </c>
      <c r="B1287" s="37" t="s">
        <v>2752</v>
      </c>
      <c r="C1287" s="37" t="s">
        <v>2753</v>
      </c>
      <c r="D1287" s="37" t="s">
        <v>71</v>
      </c>
    </row>
    <row r="1288" spans="1:4" x14ac:dyDescent="0.25">
      <c r="A1288" s="37" t="s">
        <v>2754</v>
      </c>
      <c r="B1288" s="37" t="s">
        <v>2755</v>
      </c>
      <c r="C1288" s="37" t="s">
        <v>531</v>
      </c>
      <c r="D1288" s="37" t="s">
        <v>71</v>
      </c>
    </row>
    <row r="1289" spans="1:4" x14ac:dyDescent="0.25">
      <c r="A1289" s="37" t="s">
        <v>2756</v>
      </c>
      <c r="B1289" s="37" t="s">
        <v>2757</v>
      </c>
      <c r="C1289" s="37" t="s">
        <v>516</v>
      </c>
      <c r="D1289" s="37" t="s">
        <v>116</v>
      </c>
    </row>
    <row r="1290" spans="1:4" x14ac:dyDescent="0.25">
      <c r="A1290" s="37" t="s">
        <v>2758</v>
      </c>
      <c r="B1290" s="37" t="s">
        <v>2759</v>
      </c>
      <c r="C1290" s="37" t="s">
        <v>736</v>
      </c>
      <c r="D1290" s="37" t="s">
        <v>71</v>
      </c>
    </row>
    <row r="1291" spans="1:4" x14ac:dyDescent="0.25">
      <c r="A1291" s="37" t="s">
        <v>2760</v>
      </c>
      <c r="B1291" s="37" t="s">
        <v>2746</v>
      </c>
      <c r="C1291" s="37" t="s">
        <v>224</v>
      </c>
      <c r="D1291" s="37" t="s">
        <v>116</v>
      </c>
    </row>
    <row r="1292" spans="1:4" x14ac:dyDescent="0.25">
      <c r="A1292" s="37" t="s">
        <v>2761</v>
      </c>
      <c r="B1292" s="37" t="s">
        <v>542</v>
      </c>
      <c r="C1292" s="37" t="s">
        <v>1858</v>
      </c>
      <c r="D1292" s="37" t="s">
        <v>116</v>
      </c>
    </row>
    <row r="1293" spans="1:4" x14ac:dyDescent="0.25">
      <c r="A1293" s="37" t="s">
        <v>2762</v>
      </c>
      <c r="B1293" s="37" t="s">
        <v>1492</v>
      </c>
      <c r="C1293" s="37" t="s">
        <v>1197</v>
      </c>
      <c r="D1293" s="37" t="s">
        <v>71</v>
      </c>
    </row>
    <row r="1294" spans="1:4" x14ac:dyDescent="0.25">
      <c r="A1294" s="37" t="s">
        <v>2763</v>
      </c>
      <c r="B1294" s="37" t="s">
        <v>2764</v>
      </c>
      <c r="C1294" s="37" t="s">
        <v>2765</v>
      </c>
      <c r="D1294" s="37" t="s">
        <v>71</v>
      </c>
    </row>
    <row r="1295" spans="1:4" x14ac:dyDescent="0.25">
      <c r="A1295" s="37" t="s">
        <v>2766</v>
      </c>
      <c r="B1295" s="37" t="s">
        <v>2767</v>
      </c>
      <c r="C1295" s="37" t="s">
        <v>2768</v>
      </c>
      <c r="D1295" s="37" t="s">
        <v>71</v>
      </c>
    </row>
    <row r="1296" spans="1:4" x14ac:dyDescent="0.25">
      <c r="A1296" s="37" t="s">
        <v>2769</v>
      </c>
      <c r="B1296" s="37" t="s">
        <v>2770</v>
      </c>
      <c r="C1296" s="37" t="s">
        <v>686</v>
      </c>
      <c r="D1296" s="37" t="s">
        <v>116</v>
      </c>
    </row>
    <row r="1297" spans="1:4" x14ac:dyDescent="0.25">
      <c r="A1297" s="37" t="s">
        <v>2771</v>
      </c>
      <c r="B1297" s="37" t="s">
        <v>2772</v>
      </c>
      <c r="C1297" s="37" t="s">
        <v>2773</v>
      </c>
      <c r="D1297" s="37" t="s">
        <v>116</v>
      </c>
    </row>
    <row r="1298" spans="1:4" x14ac:dyDescent="0.25">
      <c r="A1298" s="37" t="s">
        <v>2774</v>
      </c>
      <c r="B1298" s="37" t="s">
        <v>143</v>
      </c>
      <c r="C1298" s="37" t="s">
        <v>1276</v>
      </c>
      <c r="D1298" s="37" t="s">
        <v>116</v>
      </c>
    </row>
    <row r="1299" spans="1:4" x14ac:dyDescent="0.25">
      <c r="A1299" s="37" t="s">
        <v>2775</v>
      </c>
      <c r="B1299" s="37" t="s">
        <v>649</v>
      </c>
      <c r="C1299" s="37" t="s">
        <v>2776</v>
      </c>
      <c r="D1299" s="37" t="s">
        <v>71</v>
      </c>
    </row>
    <row r="1300" spans="1:4" x14ac:dyDescent="0.25">
      <c r="A1300" s="37" t="s">
        <v>2777</v>
      </c>
      <c r="B1300" s="37" t="s">
        <v>482</v>
      </c>
      <c r="C1300" s="37" t="s">
        <v>645</v>
      </c>
      <c r="D1300" s="37" t="s">
        <v>71</v>
      </c>
    </row>
    <row r="1301" spans="1:4" x14ac:dyDescent="0.25">
      <c r="A1301" s="37" t="s">
        <v>2778</v>
      </c>
      <c r="B1301" s="37" t="s">
        <v>2779</v>
      </c>
      <c r="C1301" s="37" t="s">
        <v>2780</v>
      </c>
      <c r="D1301" s="37" t="s">
        <v>116</v>
      </c>
    </row>
    <row r="1302" spans="1:4" x14ac:dyDescent="0.25">
      <c r="A1302" s="37" t="s">
        <v>2781</v>
      </c>
      <c r="B1302" s="37" t="s">
        <v>1770</v>
      </c>
      <c r="C1302" s="37" t="s">
        <v>780</v>
      </c>
      <c r="D1302" s="37" t="s">
        <v>116</v>
      </c>
    </row>
    <row r="1303" spans="1:4" x14ac:dyDescent="0.25">
      <c r="A1303" s="37" t="s">
        <v>2782</v>
      </c>
      <c r="B1303" s="37" t="s">
        <v>2783</v>
      </c>
      <c r="C1303" s="37" t="s">
        <v>666</v>
      </c>
      <c r="D1303" s="37" t="s">
        <v>116</v>
      </c>
    </row>
    <row r="1304" spans="1:4" x14ac:dyDescent="0.25">
      <c r="A1304" s="37" t="s">
        <v>2784</v>
      </c>
      <c r="B1304" s="37" t="s">
        <v>2785</v>
      </c>
      <c r="C1304" s="37" t="s">
        <v>316</v>
      </c>
      <c r="D1304" s="37" t="s">
        <v>116</v>
      </c>
    </row>
    <row r="1305" spans="1:4" x14ac:dyDescent="0.25">
      <c r="A1305" s="37" t="s">
        <v>2786</v>
      </c>
      <c r="B1305" s="37" t="s">
        <v>2551</v>
      </c>
      <c r="C1305" s="37" t="s">
        <v>149</v>
      </c>
      <c r="D1305" s="37" t="s">
        <v>71</v>
      </c>
    </row>
    <row r="1306" spans="1:4" x14ac:dyDescent="0.25">
      <c r="A1306" s="37" t="s">
        <v>2787</v>
      </c>
      <c r="B1306" s="37" t="s">
        <v>2788</v>
      </c>
      <c r="C1306" s="37" t="s">
        <v>2789</v>
      </c>
      <c r="D1306" s="37" t="s">
        <v>71</v>
      </c>
    </row>
    <row r="1307" spans="1:4" x14ac:dyDescent="0.25">
      <c r="A1307" s="37" t="s">
        <v>2790</v>
      </c>
      <c r="B1307" s="37" t="s">
        <v>2791</v>
      </c>
      <c r="C1307" s="37" t="s">
        <v>2792</v>
      </c>
      <c r="D1307" s="37" t="s">
        <v>71</v>
      </c>
    </row>
    <row r="1308" spans="1:4" x14ac:dyDescent="0.25">
      <c r="A1308" s="37" t="s">
        <v>2793</v>
      </c>
      <c r="B1308" s="37" t="s">
        <v>2794</v>
      </c>
      <c r="C1308" s="37" t="s">
        <v>1647</v>
      </c>
      <c r="D1308" s="37" t="s">
        <v>71</v>
      </c>
    </row>
    <row r="1309" spans="1:4" x14ac:dyDescent="0.25">
      <c r="A1309" s="37" t="s">
        <v>2795</v>
      </c>
      <c r="B1309" s="37" t="s">
        <v>1828</v>
      </c>
      <c r="C1309" s="37" t="s">
        <v>2796</v>
      </c>
      <c r="D1309" s="37" t="s">
        <v>71</v>
      </c>
    </row>
    <row r="1310" spans="1:4" x14ac:dyDescent="0.25">
      <c r="A1310" s="37" t="s">
        <v>2797</v>
      </c>
      <c r="B1310" s="37" t="s">
        <v>2798</v>
      </c>
      <c r="C1310" s="37" t="s">
        <v>2799</v>
      </c>
      <c r="D1310" s="37" t="s">
        <v>116</v>
      </c>
    </row>
    <row r="1311" spans="1:4" x14ac:dyDescent="0.25">
      <c r="A1311" s="37" t="s">
        <v>2800</v>
      </c>
      <c r="B1311" s="37" t="s">
        <v>224</v>
      </c>
      <c r="C1311" s="37" t="s">
        <v>721</v>
      </c>
      <c r="D1311" s="37" t="s">
        <v>71</v>
      </c>
    </row>
    <row r="1312" spans="1:4" x14ac:dyDescent="0.25">
      <c r="A1312" s="37" t="s">
        <v>2801</v>
      </c>
      <c r="B1312" s="37" t="s">
        <v>3210</v>
      </c>
      <c r="C1312" s="37" t="s">
        <v>285</v>
      </c>
      <c r="D1312" s="37" t="s">
        <v>71</v>
      </c>
    </row>
    <row r="1313" spans="1:4" x14ac:dyDescent="0.25">
      <c r="A1313" s="37" t="s">
        <v>2802</v>
      </c>
      <c r="B1313" s="37" t="s">
        <v>2150</v>
      </c>
      <c r="C1313" s="37" t="s">
        <v>2803</v>
      </c>
      <c r="D1313" s="37" t="s">
        <v>116</v>
      </c>
    </row>
    <row r="1314" spans="1:4" x14ac:dyDescent="0.25">
      <c r="A1314" s="37" t="s">
        <v>2804</v>
      </c>
      <c r="B1314" s="37" t="s">
        <v>2805</v>
      </c>
      <c r="C1314" s="37" t="s">
        <v>1221</v>
      </c>
      <c r="D1314" s="37" t="s">
        <v>116</v>
      </c>
    </row>
    <row r="1315" spans="1:4" x14ac:dyDescent="0.25">
      <c r="A1315" s="37" t="s">
        <v>2806</v>
      </c>
      <c r="B1315" s="37" t="s">
        <v>2807</v>
      </c>
      <c r="C1315" s="37" t="s">
        <v>2808</v>
      </c>
      <c r="D1315" s="37" t="s">
        <v>71</v>
      </c>
    </row>
    <row r="1316" spans="1:4" x14ac:dyDescent="0.25">
      <c r="A1316" s="37" t="s">
        <v>2809</v>
      </c>
      <c r="B1316" s="37" t="s">
        <v>2810</v>
      </c>
      <c r="C1316" s="37" t="s">
        <v>651</v>
      </c>
      <c r="D1316" s="37" t="s">
        <v>116</v>
      </c>
    </row>
    <row r="1317" spans="1:4" x14ac:dyDescent="0.25">
      <c r="A1317" s="37" t="s">
        <v>2811</v>
      </c>
      <c r="B1317" s="37" t="s">
        <v>2812</v>
      </c>
      <c r="C1317" s="37" t="s">
        <v>334</v>
      </c>
      <c r="D1317" s="37" t="s">
        <v>116</v>
      </c>
    </row>
    <row r="1318" spans="1:4" x14ac:dyDescent="0.25">
      <c r="A1318" s="37" t="s">
        <v>2813</v>
      </c>
      <c r="B1318" s="37" t="s">
        <v>2814</v>
      </c>
      <c r="C1318" s="37" t="s">
        <v>2709</v>
      </c>
      <c r="D1318" s="37" t="s">
        <v>71</v>
      </c>
    </row>
    <row r="1319" spans="1:4" x14ac:dyDescent="0.25">
      <c r="A1319" s="37" t="s">
        <v>2815</v>
      </c>
      <c r="B1319" s="37" t="s">
        <v>484</v>
      </c>
      <c r="C1319" s="37" t="s">
        <v>182</v>
      </c>
      <c r="D1319" s="37" t="s">
        <v>71</v>
      </c>
    </row>
    <row r="1320" spans="1:4" x14ac:dyDescent="0.25">
      <c r="A1320" s="37" t="s">
        <v>2816</v>
      </c>
      <c r="B1320" s="37" t="s">
        <v>2817</v>
      </c>
      <c r="C1320" s="37" t="s">
        <v>479</v>
      </c>
      <c r="D1320" s="37" t="s">
        <v>71</v>
      </c>
    </row>
    <row r="1321" spans="1:4" x14ac:dyDescent="0.25">
      <c r="A1321" s="37" t="s">
        <v>2818</v>
      </c>
      <c r="B1321" s="37" t="s">
        <v>493</v>
      </c>
      <c r="C1321" s="37" t="s">
        <v>1250</v>
      </c>
      <c r="D1321" s="37" t="s">
        <v>116</v>
      </c>
    </row>
    <row r="1322" spans="1:4" x14ac:dyDescent="0.25">
      <c r="A1322" s="37" t="s">
        <v>2819</v>
      </c>
      <c r="B1322" s="37" t="s">
        <v>421</v>
      </c>
      <c r="C1322" s="37" t="s">
        <v>788</v>
      </c>
      <c r="D1322" s="37" t="s">
        <v>71</v>
      </c>
    </row>
    <row r="1323" spans="1:4" x14ac:dyDescent="0.25">
      <c r="A1323" s="37" t="s">
        <v>2820</v>
      </c>
      <c r="B1323" s="37" t="s">
        <v>2821</v>
      </c>
      <c r="C1323" s="37" t="s">
        <v>1863</v>
      </c>
      <c r="D1323" s="37" t="s">
        <v>116</v>
      </c>
    </row>
    <row r="1324" spans="1:4" x14ac:dyDescent="0.25">
      <c r="A1324" s="37" t="s">
        <v>2822</v>
      </c>
      <c r="B1324" s="37" t="s">
        <v>455</v>
      </c>
      <c r="C1324" s="37" t="s">
        <v>1849</v>
      </c>
      <c r="D1324" s="37" t="s">
        <v>116</v>
      </c>
    </row>
    <row r="1325" spans="1:4" x14ac:dyDescent="0.25">
      <c r="A1325" s="37" t="s">
        <v>2823</v>
      </c>
      <c r="B1325" s="37" t="s">
        <v>1276</v>
      </c>
      <c r="C1325" s="37" t="s">
        <v>788</v>
      </c>
      <c r="D1325" s="37" t="s">
        <v>71</v>
      </c>
    </row>
    <row r="1326" spans="1:4" x14ac:dyDescent="0.25">
      <c r="A1326" s="37" t="s">
        <v>2824</v>
      </c>
      <c r="B1326" s="37" t="s">
        <v>166</v>
      </c>
      <c r="C1326" s="37" t="s">
        <v>139</v>
      </c>
      <c r="D1326" s="37" t="s">
        <v>71</v>
      </c>
    </row>
    <row r="1327" spans="1:4" x14ac:dyDescent="0.25">
      <c r="A1327" s="37" t="s">
        <v>2825</v>
      </c>
      <c r="B1327" s="37" t="s">
        <v>2523</v>
      </c>
      <c r="C1327" s="37" t="s">
        <v>2826</v>
      </c>
      <c r="D1327" s="37" t="s">
        <v>71</v>
      </c>
    </row>
    <row r="1328" spans="1:4" x14ac:dyDescent="0.25">
      <c r="A1328" s="37" t="s">
        <v>2827</v>
      </c>
      <c r="B1328" s="37" t="s">
        <v>1973</v>
      </c>
      <c r="C1328" s="37" t="s">
        <v>143</v>
      </c>
      <c r="D1328" s="37" t="s">
        <v>116</v>
      </c>
    </row>
    <row r="1329" spans="1:4" x14ac:dyDescent="0.25">
      <c r="A1329" s="37" t="s">
        <v>2828</v>
      </c>
      <c r="B1329" s="37" t="s">
        <v>1607</v>
      </c>
      <c r="C1329" s="37" t="s">
        <v>1647</v>
      </c>
      <c r="D1329" s="37" t="s">
        <v>71</v>
      </c>
    </row>
    <row r="1330" spans="1:4" x14ac:dyDescent="0.25">
      <c r="A1330" s="37" t="s">
        <v>2829</v>
      </c>
      <c r="B1330" s="37" t="s">
        <v>333</v>
      </c>
      <c r="C1330" s="37" t="s">
        <v>2830</v>
      </c>
      <c r="D1330" s="37" t="s">
        <v>116</v>
      </c>
    </row>
    <row r="1331" spans="1:4" x14ac:dyDescent="0.25">
      <c r="A1331" s="37" t="s">
        <v>2831</v>
      </c>
      <c r="B1331" s="37" t="s">
        <v>162</v>
      </c>
      <c r="C1331" s="37" t="s">
        <v>531</v>
      </c>
      <c r="D1331" s="37" t="s">
        <v>71</v>
      </c>
    </row>
    <row r="1332" spans="1:4" x14ac:dyDescent="0.25">
      <c r="A1332" s="37" t="s">
        <v>2832</v>
      </c>
      <c r="B1332" s="37" t="s">
        <v>2833</v>
      </c>
      <c r="C1332" s="37" t="s">
        <v>2834</v>
      </c>
      <c r="D1332" s="37" t="s">
        <v>71</v>
      </c>
    </row>
    <row r="1333" spans="1:4" x14ac:dyDescent="0.25">
      <c r="A1333" s="37" t="s">
        <v>2835</v>
      </c>
      <c r="B1333" s="37" t="s">
        <v>2836</v>
      </c>
      <c r="C1333" s="37" t="s">
        <v>2837</v>
      </c>
      <c r="D1333" s="37" t="s">
        <v>71</v>
      </c>
    </row>
    <row r="1334" spans="1:4" x14ac:dyDescent="0.25">
      <c r="A1334" s="37" t="s">
        <v>2838</v>
      </c>
      <c r="B1334" s="37" t="s">
        <v>2839</v>
      </c>
      <c r="C1334" s="37" t="s">
        <v>1124</v>
      </c>
      <c r="D1334" s="37" t="s">
        <v>116</v>
      </c>
    </row>
    <row r="1335" spans="1:4" x14ac:dyDescent="0.25">
      <c r="A1335" s="37" t="s">
        <v>2840</v>
      </c>
      <c r="B1335" s="37" t="s">
        <v>2841</v>
      </c>
      <c r="C1335" s="37" t="s">
        <v>197</v>
      </c>
      <c r="D1335" s="37" t="s">
        <v>116</v>
      </c>
    </row>
    <row r="1336" spans="1:4" x14ac:dyDescent="0.25">
      <c r="A1336" s="37" t="s">
        <v>2842</v>
      </c>
      <c r="B1336" s="37" t="s">
        <v>259</v>
      </c>
      <c r="C1336" s="37" t="s">
        <v>1802</v>
      </c>
      <c r="D1336" s="37" t="s">
        <v>71</v>
      </c>
    </row>
    <row r="1337" spans="1:4" x14ac:dyDescent="0.25">
      <c r="A1337" s="37" t="s">
        <v>2843</v>
      </c>
      <c r="B1337" s="37" t="s">
        <v>2844</v>
      </c>
      <c r="C1337" s="37" t="s">
        <v>2845</v>
      </c>
      <c r="D1337" s="37" t="s">
        <v>71</v>
      </c>
    </row>
    <row r="1338" spans="1:4" x14ac:dyDescent="0.25">
      <c r="A1338" s="37" t="s">
        <v>2846</v>
      </c>
      <c r="B1338" s="37" t="s">
        <v>2847</v>
      </c>
      <c r="C1338" s="37" t="s">
        <v>1955</v>
      </c>
      <c r="D1338" s="37" t="s">
        <v>116</v>
      </c>
    </row>
    <row r="1339" spans="1:4" x14ac:dyDescent="0.25">
      <c r="A1339" s="37" t="s">
        <v>2848</v>
      </c>
      <c r="B1339" s="37" t="s">
        <v>2849</v>
      </c>
      <c r="C1339" s="37" t="s">
        <v>1839</v>
      </c>
      <c r="D1339" s="37" t="s">
        <v>71</v>
      </c>
    </row>
    <row r="1340" spans="1:4" x14ac:dyDescent="0.25">
      <c r="A1340" s="37" t="s">
        <v>2850</v>
      </c>
      <c r="B1340" s="37" t="s">
        <v>2851</v>
      </c>
      <c r="C1340" s="37" t="s">
        <v>2499</v>
      </c>
      <c r="D1340" s="37" t="s">
        <v>71</v>
      </c>
    </row>
    <row r="1341" spans="1:4" x14ac:dyDescent="0.25">
      <c r="A1341" s="37" t="s">
        <v>2852</v>
      </c>
      <c r="B1341" s="37" t="s">
        <v>2853</v>
      </c>
      <c r="C1341" s="37" t="s">
        <v>2854</v>
      </c>
      <c r="D1341" s="37" t="s">
        <v>116</v>
      </c>
    </row>
    <row r="1342" spans="1:4" x14ac:dyDescent="0.25">
      <c r="A1342" s="37" t="s">
        <v>2855</v>
      </c>
      <c r="B1342" s="37" t="s">
        <v>199</v>
      </c>
      <c r="C1342" s="37" t="s">
        <v>1095</v>
      </c>
      <c r="D1342" s="37" t="s">
        <v>71</v>
      </c>
    </row>
    <row r="1343" spans="1:4" x14ac:dyDescent="0.25">
      <c r="A1343" s="37" t="s">
        <v>2856</v>
      </c>
      <c r="B1343" s="37" t="s">
        <v>2857</v>
      </c>
      <c r="C1343" s="37" t="s">
        <v>2858</v>
      </c>
      <c r="D1343" s="37" t="s">
        <v>71</v>
      </c>
    </row>
    <row r="1344" spans="1:4" x14ac:dyDescent="0.25">
      <c r="A1344" s="37" t="s">
        <v>2859</v>
      </c>
      <c r="B1344" s="37" t="s">
        <v>1017</v>
      </c>
      <c r="C1344" s="37" t="s">
        <v>2860</v>
      </c>
      <c r="D1344" s="37" t="s">
        <v>116</v>
      </c>
    </row>
    <row r="1345" spans="1:4" x14ac:dyDescent="0.25">
      <c r="A1345" s="37" t="s">
        <v>2861</v>
      </c>
      <c r="B1345" s="37" t="s">
        <v>2862</v>
      </c>
      <c r="C1345" s="37" t="s">
        <v>2863</v>
      </c>
      <c r="D1345" s="37" t="s">
        <v>116</v>
      </c>
    </row>
    <row r="1346" spans="1:4" x14ac:dyDescent="0.25">
      <c r="A1346" s="37" t="s">
        <v>2864</v>
      </c>
      <c r="B1346" s="37" t="s">
        <v>2865</v>
      </c>
      <c r="C1346" s="37" t="s">
        <v>2866</v>
      </c>
      <c r="D1346" s="37" t="s">
        <v>71</v>
      </c>
    </row>
    <row r="1347" spans="1:4" x14ac:dyDescent="0.25">
      <c r="A1347" s="37" t="s">
        <v>2867</v>
      </c>
      <c r="B1347" s="37" t="s">
        <v>2868</v>
      </c>
      <c r="C1347" s="37" t="s">
        <v>2869</v>
      </c>
      <c r="D1347" s="37" t="s">
        <v>71</v>
      </c>
    </row>
    <row r="1348" spans="1:4" x14ac:dyDescent="0.25">
      <c r="A1348" s="37" t="s">
        <v>2870</v>
      </c>
      <c r="B1348" s="37" t="s">
        <v>2871</v>
      </c>
      <c r="C1348" s="37" t="s">
        <v>402</v>
      </c>
      <c r="D1348" s="37" t="s">
        <v>116</v>
      </c>
    </row>
    <row r="1349" spans="1:4" x14ac:dyDescent="0.25">
      <c r="A1349" s="37" t="s">
        <v>2872</v>
      </c>
      <c r="B1349" s="37" t="s">
        <v>401</v>
      </c>
      <c r="C1349" s="37" t="s">
        <v>2873</v>
      </c>
      <c r="D1349" s="37" t="s">
        <v>71</v>
      </c>
    </row>
    <row r="1350" spans="1:4" x14ac:dyDescent="0.25">
      <c r="A1350" s="37" t="s">
        <v>2874</v>
      </c>
      <c r="B1350" s="37" t="s">
        <v>2875</v>
      </c>
      <c r="C1350" s="37" t="s">
        <v>2876</v>
      </c>
      <c r="D1350" s="37" t="s">
        <v>116</v>
      </c>
    </row>
    <row r="1351" spans="1:4" x14ac:dyDescent="0.25">
      <c r="A1351" s="37" t="s">
        <v>2877</v>
      </c>
      <c r="B1351" s="37" t="s">
        <v>1071</v>
      </c>
      <c r="C1351" s="37" t="s">
        <v>2878</v>
      </c>
      <c r="D1351" s="37" t="s">
        <v>71</v>
      </c>
    </row>
    <row r="1352" spans="1:4" x14ac:dyDescent="0.25">
      <c r="A1352" s="37" t="s">
        <v>2879</v>
      </c>
      <c r="B1352" s="37" t="s">
        <v>282</v>
      </c>
      <c r="C1352" s="37" t="s">
        <v>530</v>
      </c>
      <c r="D1352" s="37" t="s">
        <v>71</v>
      </c>
    </row>
    <row r="1353" spans="1:4" x14ac:dyDescent="0.25">
      <c r="A1353" s="37" t="s">
        <v>2880</v>
      </c>
      <c r="B1353" s="37" t="s">
        <v>2881</v>
      </c>
      <c r="C1353" s="37" t="s">
        <v>2882</v>
      </c>
      <c r="D1353" s="37" t="s">
        <v>116</v>
      </c>
    </row>
    <row r="1354" spans="1:4" x14ac:dyDescent="0.25">
      <c r="A1354" s="37" t="s">
        <v>2883</v>
      </c>
      <c r="B1354" s="37" t="s">
        <v>2884</v>
      </c>
      <c r="C1354" s="37" t="s">
        <v>511</v>
      </c>
      <c r="D1354" s="37" t="s">
        <v>71</v>
      </c>
    </row>
    <row r="1355" spans="1:4" x14ac:dyDescent="0.25">
      <c r="A1355" s="37" t="s">
        <v>2885</v>
      </c>
      <c r="B1355" s="37" t="s">
        <v>2886</v>
      </c>
      <c r="C1355" s="37" t="s">
        <v>666</v>
      </c>
      <c r="D1355" s="37" t="s">
        <v>116</v>
      </c>
    </row>
    <row r="1356" spans="1:4" x14ac:dyDescent="0.25">
      <c r="A1356" s="37" t="s">
        <v>2887</v>
      </c>
      <c r="B1356" s="37" t="s">
        <v>2888</v>
      </c>
      <c r="C1356" s="37" t="s">
        <v>2889</v>
      </c>
      <c r="D1356" s="37" t="s">
        <v>116</v>
      </c>
    </row>
    <row r="1357" spans="1:4" x14ac:dyDescent="0.25">
      <c r="A1357" s="37" t="s">
        <v>2890</v>
      </c>
      <c r="B1357" s="37" t="s">
        <v>2891</v>
      </c>
      <c r="C1357" s="37" t="s">
        <v>2892</v>
      </c>
      <c r="D1357" s="37" t="s">
        <v>71</v>
      </c>
    </row>
    <row r="1358" spans="1:4" x14ac:dyDescent="0.25">
      <c r="A1358" s="37" t="s">
        <v>2893</v>
      </c>
      <c r="B1358" s="37" t="s">
        <v>340</v>
      </c>
      <c r="C1358" s="37" t="s">
        <v>2894</v>
      </c>
      <c r="D1358" s="37" t="s">
        <v>116</v>
      </c>
    </row>
    <row r="1359" spans="1:4" x14ac:dyDescent="0.25">
      <c r="A1359" s="37" t="s">
        <v>2895</v>
      </c>
      <c r="B1359" s="37" t="s">
        <v>2896</v>
      </c>
      <c r="C1359" s="37" t="s">
        <v>2897</v>
      </c>
      <c r="D1359" s="37" t="s">
        <v>71</v>
      </c>
    </row>
    <row r="1360" spans="1:4" x14ac:dyDescent="0.25">
      <c r="A1360" s="37" t="s">
        <v>2898</v>
      </c>
      <c r="B1360" s="37" t="s">
        <v>829</v>
      </c>
      <c r="C1360" s="37" t="s">
        <v>2733</v>
      </c>
      <c r="D1360" s="37" t="s">
        <v>116</v>
      </c>
    </row>
    <row r="1361" spans="1:4" x14ac:dyDescent="0.25">
      <c r="A1361" s="37" t="s">
        <v>2899</v>
      </c>
      <c r="B1361" s="37" t="s">
        <v>187</v>
      </c>
      <c r="C1361" s="37" t="s">
        <v>2900</v>
      </c>
      <c r="D1361" s="37" t="s">
        <v>71</v>
      </c>
    </row>
    <row r="1362" spans="1:4" x14ac:dyDescent="0.25">
      <c r="A1362" s="37" t="s">
        <v>2901</v>
      </c>
      <c r="B1362" s="37" t="s">
        <v>2902</v>
      </c>
      <c r="C1362" s="37" t="s">
        <v>651</v>
      </c>
      <c r="D1362" s="37" t="s">
        <v>116</v>
      </c>
    </row>
    <row r="1363" spans="1:4" x14ac:dyDescent="0.25">
      <c r="A1363" s="37" t="s">
        <v>2903</v>
      </c>
      <c r="B1363" s="37" t="s">
        <v>2904</v>
      </c>
      <c r="C1363" s="37" t="s">
        <v>851</v>
      </c>
      <c r="D1363" s="37" t="s">
        <v>71</v>
      </c>
    </row>
    <row r="1364" spans="1:4" x14ac:dyDescent="0.25">
      <c r="A1364" s="37" t="s">
        <v>2905</v>
      </c>
      <c r="B1364" s="37" t="s">
        <v>491</v>
      </c>
      <c r="C1364" s="37" t="s">
        <v>1369</v>
      </c>
      <c r="D1364" s="37" t="s">
        <v>116</v>
      </c>
    </row>
    <row r="1365" spans="1:4" x14ac:dyDescent="0.25">
      <c r="A1365" s="37" t="s">
        <v>2906</v>
      </c>
      <c r="B1365" s="37" t="s">
        <v>829</v>
      </c>
      <c r="C1365" s="37" t="s">
        <v>2733</v>
      </c>
      <c r="D1365" s="37" t="s">
        <v>116</v>
      </c>
    </row>
    <row r="1366" spans="1:4" x14ac:dyDescent="0.25">
      <c r="A1366" s="37" t="s">
        <v>2907</v>
      </c>
      <c r="B1366" s="37" t="s">
        <v>2908</v>
      </c>
      <c r="C1366" s="37" t="s">
        <v>1845</v>
      </c>
      <c r="D1366" s="37" t="s">
        <v>116</v>
      </c>
    </row>
    <row r="1367" spans="1:4" x14ac:dyDescent="0.25">
      <c r="A1367" s="37" t="s">
        <v>2909</v>
      </c>
      <c r="B1367" s="37" t="s">
        <v>1265</v>
      </c>
      <c r="C1367" s="37" t="s">
        <v>807</v>
      </c>
      <c r="D1367" s="37" t="s">
        <v>71</v>
      </c>
    </row>
    <row r="1368" spans="1:4" x14ac:dyDescent="0.25">
      <c r="A1368" s="37" t="s">
        <v>2910</v>
      </c>
      <c r="B1368" s="37" t="s">
        <v>2059</v>
      </c>
      <c r="C1368" s="37" t="s">
        <v>1792</v>
      </c>
      <c r="D1368" s="37" t="s">
        <v>116</v>
      </c>
    </row>
    <row r="1369" spans="1:4" x14ac:dyDescent="0.25">
      <c r="A1369" s="37" t="s">
        <v>2911</v>
      </c>
      <c r="B1369" s="37" t="s">
        <v>366</v>
      </c>
      <c r="C1369" s="37" t="s">
        <v>319</v>
      </c>
      <c r="D1369" s="37" t="s">
        <v>71</v>
      </c>
    </row>
    <row r="1370" spans="1:4" x14ac:dyDescent="0.25">
      <c r="A1370" s="37" t="s">
        <v>2912</v>
      </c>
      <c r="B1370" s="37" t="s">
        <v>366</v>
      </c>
      <c r="C1370" s="37" t="s">
        <v>2913</v>
      </c>
      <c r="D1370" s="37" t="s">
        <v>116</v>
      </c>
    </row>
    <row r="1371" spans="1:4" x14ac:dyDescent="0.25">
      <c r="A1371" s="37" t="s">
        <v>2927</v>
      </c>
      <c r="B1371" s="37" t="s">
        <v>2925</v>
      </c>
      <c r="C1371" s="37" t="s">
        <v>2926</v>
      </c>
      <c r="D1371" s="37" t="s">
        <v>71</v>
      </c>
    </row>
    <row r="1372" spans="1:4" x14ac:dyDescent="0.25">
      <c r="A1372" s="37" t="s">
        <v>2928</v>
      </c>
      <c r="B1372" s="37" t="s">
        <v>216</v>
      </c>
      <c r="C1372" s="37" t="s">
        <v>379</v>
      </c>
      <c r="D1372" s="37" t="s">
        <v>116</v>
      </c>
    </row>
    <row r="1373" spans="1:4" x14ac:dyDescent="0.25">
      <c r="A1373" s="37" t="s">
        <v>2930</v>
      </c>
      <c r="B1373" s="37" t="s">
        <v>675</v>
      </c>
      <c r="C1373" s="37" t="s">
        <v>2929</v>
      </c>
      <c r="D1373" s="37" t="s">
        <v>71</v>
      </c>
    </row>
    <row r="1374" spans="1:4" x14ac:dyDescent="0.25">
      <c r="A1374" s="37" t="s">
        <v>2931</v>
      </c>
      <c r="B1374" s="37" t="s">
        <v>980</v>
      </c>
      <c r="C1374" s="37" t="s">
        <v>309</v>
      </c>
      <c r="D1374" s="37" t="s">
        <v>116</v>
      </c>
    </row>
    <row r="1375" spans="1:4" x14ac:dyDescent="0.25">
      <c r="A1375" s="37" t="s">
        <v>2934</v>
      </c>
      <c r="B1375" s="37" t="s">
        <v>2932</v>
      </c>
      <c r="C1375" s="37" t="s">
        <v>2933</v>
      </c>
      <c r="D1375" s="37" t="s">
        <v>116</v>
      </c>
    </row>
    <row r="1376" spans="1:4" x14ac:dyDescent="0.25">
      <c r="A1376" s="37" t="s">
        <v>2937</v>
      </c>
      <c r="B1376" s="37" t="s">
        <v>2935</v>
      </c>
      <c r="C1376" s="37" t="s">
        <v>2936</v>
      </c>
      <c r="D1376" s="37" t="s">
        <v>116</v>
      </c>
    </row>
    <row r="1377" spans="1:4" x14ac:dyDescent="0.25">
      <c r="A1377" s="37" t="s">
        <v>2939</v>
      </c>
      <c r="B1377" s="37" t="s">
        <v>2938</v>
      </c>
      <c r="C1377" s="37" t="s">
        <v>260</v>
      </c>
      <c r="D1377" s="37" t="s">
        <v>71</v>
      </c>
    </row>
    <row r="1378" spans="1:4" x14ac:dyDescent="0.25">
      <c r="A1378" s="37" t="s">
        <v>2941</v>
      </c>
      <c r="B1378" s="37" t="s">
        <v>2940</v>
      </c>
      <c r="C1378" s="37" t="s">
        <v>1311</v>
      </c>
      <c r="D1378" s="37" t="s">
        <v>71</v>
      </c>
    </row>
    <row r="1379" spans="1:4" x14ac:dyDescent="0.25">
      <c r="A1379" s="37" t="s">
        <v>2943</v>
      </c>
      <c r="B1379" s="37" t="s">
        <v>2942</v>
      </c>
      <c r="C1379" s="37" t="s">
        <v>2606</v>
      </c>
      <c r="D1379" s="37" t="s">
        <v>71</v>
      </c>
    </row>
    <row r="1380" spans="1:4" x14ac:dyDescent="0.25">
      <c r="A1380" s="37" t="s">
        <v>2945</v>
      </c>
      <c r="B1380" s="37" t="s">
        <v>2944</v>
      </c>
      <c r="C1380" s="37" t="s">
        <v>334</v>
      </c>
      <c r="D1380" s="37" t="s">
        <v>71</v>
      </c>
    </row>
    <row r="1381" spans="1:4" x14ac:dyDescent="0.25">
      <c r="A1381" s="37" t="s">
        <v>2946</v>
      </c>
      <c r="B1381" s="37" t="s">
        <v>351</v>
      </c>
      <c r="C1381" s="37" t="s">
        <v>3088</v>
      </c>
      <c r="D1381" s="37" t="s">
        <v>71</v>
      </c>
    </row>
    <row r="1382" spans="1:4" x14ac:dyDescent="0.25">
      <c r="A1382" s="37" t="s">
        <v>2949</v>
      </c>
      <c r="B1382" s="37" t="s">
        <v>2947</v>
      </c>
      <c r="C1382" s="37" t="s">
        <v>2948</v>
      </c>
      <c r="D1382" s="37" t="s">
        <v>116</v>
      </c>
    </row>
    <row r="1383" spans="1:4" x14ac:dyDescent="0.25">
      <c r="A1383" s="37" t="s">
        <v>2951</v>
      </c>
      <c r="B1383" s="37" t="s">
        <v>2950</v>
      </c>
      <c r="C1383" s="37" t="s">
        <v>481</v>
      </c>
      <c r="D1383" s="37" t="s">
        <v>71</v>
      </c>
    </row>
    <row r="1384" spans="1:4" x14ac:dyDescent="0.25">
      <c r="A1384" s="37" t="s">
        <v>2954</v>
      </c>
      <c r="B1384" s="37" t="s">
        <v>2952</v>
      </c>
      <c r="C1384" s="37" t="s">
        <v>2953</v>
      </c>
      <c r="D1384" s="37" t="s">
        <v>116</v>
      </c>
    </row>
    <row r="1385" spans="1:4" x14ac:dyDescent="0.25">
      <c r="A1385" s="37" t="s">
        <v>2957</v>
      </c>
      <c r="B1385" s="37" t="s">
        <v>2955</v>
      </c>
      <c r="C1385" s="37" t="s">
        <v>2956</v>
      </c>
      <c r="D1385" s="37" t="s">
        <v>71</v>
      </c>
    </row>
    <row r="1386" spans="1:4" x14ac:dyDescent="0.25">
      <c r="A1386" s="37" t="s">
        <v>2959</v>
      </c>
      <c r="B1386" s="37" t="s">
        <v>433</v>
      </c>
      <c r="C1386" s="37" t="s">
        <v>2958</v>
      </c>
      <c r="D1386" s="37" t="s">
        <v>71</v>
      </c>
    </row>
    <row r="1387" spans="1:4" x14ac:dyDescent="0.25">
      <c r="A1387" s="37" t="s">
        <v>2961</v>
      </c>
      <c r="B1387" s="37" t="s">
        <v>1228</v>
      </c>
      <c r="C1387" s="37" t="s">
        <v>2960</v>
      </c>
      <c r="D1387" s="37" t="s">
        <v>71</v>
      </c>
    </row>
    <row r="1388" spans="1:4" x14ac:dyDescent="0.25">
      <c r="A1388" s="37" t="s">
        <v>2963</v>
      </c>
      <c r="B1388" s="37" t="s">
        <v>2962</v>
      </c>
      <c r="C1388" s="37" t="s">
        <v>2343</v>
      </c>
      <c r="D1388" s="37" t="s">
        <v>71</v>
      </c>
    </row>
    <row r="1389" spans="1:4" x14ac:dyDescent="0.25">
      <c r="A1389" s="37" t="s">
        <v>2964</v>
      </c>
      <c r="B1389" s="37" t="s">
        <v>1081</v>
      </c>
      <c r="C1389" s="37" t="s">
        <v>143</v>
      </c>
      <c r="D1389" s="37" t="s">
        <v>71</v>
      </c>
    </row>
    <row r="1390" spans="1:4" x14ac:dyDescent="0.25">
      <c r="A1390" s="37" t="s">
        <v>2965</v>
      </c>
      <c r="B1390" s="37" t="s">
        <v>3090</v>
      </c>
      <c r="C1390" s="37" t="s">
        <v>1647</v>
      </c>
      <c r="D1390" s="37" t="s">
        <v>71</v>
      </c>
    </row>
    <row r="1391" spans="1:4" x14ac:dyDescent="0.25">
      <c r="A1391" s="37" t="s">
        <v>2967</v>
      </c>
      <c r="B1391" s="37" t="s">
        <v>2966</v>
      </c>
      <c r="C1391" s="37" t="s">
        <v>229</v>
      </c>
      <c r="D1391" s="37" t="s">
        <v>71</v>
      </c>
    </row>
    <row r="1392" spans="1:4" x14ac:dyDescent="0.25">
      <c r="A1392" s="37" t="s">
        <v>2969</v>
      </c>
      <c r="B1392" s="37" t="s">
        <v>1948</v>
      </c>
      <c r="C1392" s="37" t="s">
        <v>2968</v>
      </c>
      <c r="D1392" s="37" t="s">
        <v>71</v>
      </c>
    </row>
    <row r="1393" spans="1:4" x14ac:dyDescent="0.25">
      <c r="A1393" s="37" t="s">
        <v>2970</v>
      </c>
      <c r="B1393" s="37" t="s">
        <v>1026</v>
      </c>
      <c r="C1393" s="37" t="s">
        <v>492</v>
      </c>
      <c r="D1393" s="37" t="s">
        <v>71</v>
      </c>
    </row>
    <row r="1394" spans="1:4" x14ac:dyDescent="0.25">
      <c r="A1394" s="37" t="s">
        <v>2973</v>
      </c>
      <c r="B1394" s="37" t="s">
        <v>2971</v>
      </c>
      <c r="C1394" s="37" t="s">
        <v>2972</v>
      </c>
      <c r="D1394" s="37" t="s">
        <v>116</v>
      </c>
    </row>
    <row r="1395" spans="1:4" x14ac:dyDescent="0.25">
      <c r="A1395" s="37" t="s">
        <v>2975</v>
      </c>
      <c r="B1395" s="37" t="s">
        <v>526</v>
      </c>
      <c r="C1395" s="37" t="s">
        <v>2974</v>
      </c>
      <c r="D1395" s="37" t="s">
        <v>116</v>
      </c>
    </row>
    <row r="1396" spans="1:4" x14ac:dyDescent="0.25">
      <c r="A1396" s="37" t="s">
        <v>2977</v>
      </c>
      <c r="B1396" s="37" t="s">
        <v>2976</v>
      </c>
      <c r="C1396" s="37" t="s">
        <v>1027</v>
      </c>
      <c r="D1396" s="37" t="s">
        <v>462</v>
      </c>
    </row>
    <row r="1397" spans="1:4" x14ac:dyDescent="0.25">
      <c r="A1397" s="37" t="s">
        <v>2979</v>
      </c>
      <c r="B1397" s="37" t="s">
        <v>2978</v>
      </c>
      <c r="C1397" s="37" t="s">
        <v>2709</v>
      </c>
      <c r="D1397" s="37" t="s">
        <v>116</v>
      </c>
    </row>
    <row r="1398" spans="1:4" x14ac:dyDescent="0.25">
      <c r="A1398" s="37" t="s">
        <v>2981</v>
      </c>
      <c r="B1398" s="37" t="s">
        <v>690</v>
      </c>
      <c r="C1398" s="37" t="s">
        <v>2980</v>
      </c>
      <c r="D1398" s="37" t="s">
        <v>116</v>
      </c>
    </row>
    <row r="1399" spans="1:4" x14ac:dyDescent="0.25">
      <c r="A1399" s="37" t="s">
        <v>2982</v>
      </c>
      <c r="B1399" s="37" t="s">
        <v>3091</v>
      </c>
      <c r="C1399" s="37" t="s">
        <v>1792</v>
      </c>
      <c r="D1399" s="37" t="s">
        <v>71</v>
      </c>
    </row>
    <row r="1400" spans="1:4" x14ac:dyDescent="0.25">
      <c r="A1400" s="37" t="s">
        <v>2984</v>
      </c>
      <c r="B1400" s="37" t="s">
        <v>2983</v>
      </c>
      <c r="C1400" s="37" t="s">
        <v>974</v>
      </c>
      <c r="D1400" s="37" t="s">
        <v>71</v>
      </c>
    </row>
    <row r="1401" spans="1:4" x14ac:dyDescent="0.25">
      <c r="A1401" s="37" t="s">
        <v>2987</v>
      </c>
      <c r="B1401" s="37" t="s">
        <v>2985</v>
      </c>
      <c r="C1401" s="37" t="s">
        <v>2986</v>
      </c>
      <c r="D1401" s="37" t="s">
        <v>116</v>
      </c>
    </row>
    <row r="1402" spans="1:4" x14ac:dyDescent="0.25">
      <c r="A1402" s="37" t="s">
        <v>2989</v>
      </c>
      <c r="B1402" s="37" t="s">
        <v>2988</v>
      </c>
      <c r="C1402" s="37" t="s">
        <v>1357</v>
      </c>
      <c r="D1402" s="37" t="s">
        <v>71</v>
      </c>
    </row>
    <row r="1403" spans="1:4" x14ac:dyDescent="0.25">
      <c r="A1403" s="37" t="s">
        <v>2990</v>
      </c>
      <c r="B1403" s="37" t="s">
        <v>172</v>
      </c>
      <c r="C1403" s="37" t="s">
        <v>1365</v>
      </c>
      <c r="D1403" s="37" t="s">
        <v>462</v>
      </c>
    </row>
    <row r="1404" spans="1:4" x14ac:dyDescent="0.25">
      <c r="A1404" s="37" t="s">
        <v>2992</v>
      </c>
      <c r="B1404" s="37" t="s">
        <v>224</v>
      </c>
      <c r="C1404" s="37" t="s">
        <v>2991</v>
      </c>
      <c r="D1404" s="37" t="s">
        <v>71</v>
      </c>
    </row>
    <row r="1405" spans="1:4" x14ac:dyDescent="0.25">
      <c r="A1405" s="37" t="s">
        <v>2994</v>
      </c>
      <c r="B1405" s="37" t="s">
        <v>457</v>
      </c>
      <c r="C1405" s="37" t="s">
        <v>2993</v>
      </c>
      <c r="D1405" s="37" t="s">
        <v>116</v>
      </c>
    </row>
    <row r="1406" spans="1:4" x14ac:dyDescent="0.25">
      <c r="A1406" s="37" t="s">
        <v>2996</v>
      </c>
      <c r="B1406" s="37" t="s">
        <v>2995</v>
      </c>
      <c r="C1406" s="37" t="s">
        <v>1792</v>
      </c>
      <c r="D1406" s="37" t="s">
        <v>116</v>
      </c>
    </row>
    <row r="1407" spans="1:4" x14ac:dyDescent="0.25">
      <c r="A1407" s="37" t="s">
        <v>2998</v>
      </c>
      <c r="B1407" s="37" t="s">
        <v>2997</v>
      </c>
      <c r="C1407" s="37" t="s">
        <v>1252</v>
      </c>
      <c r="D1407" s="37" t="s">
        <v>71</v>
      </c>
    </row>
    <row r="1408" spans="1:4" x14ac:dyDescent="0.25">
      <c r="A1408" s="37" t="s">
        <v>2999</v>
      </c>
      <c r="B1408" s="37" t="s">
        <v>1416</v>
      </c>
      <c r="C1408" s="37" t="s">
        <v>531</v>
      </c>
      <c r="D1408" s="37" t="s">
        <v>71</v>
      </c>
    </row>
    <row r="1409" spans="1:4" x14ac:dyDescent="0.25">
      <c r="A1409" s="37" t="s">
        <v>3001</v>
      </c>
      <c r="B1409" s="37" t="s">
        <v>3000</v>
      </c>
      <c r="C1409" s="37" t="s">
        <v>1792</v>
      </c>
      <c r="D1409" s="37" t="s">
        <v>71</v>
      </c>
    </row>
    <row r="1410" spans="1:4" x14ac:dyDescent="0.25">
      <c r="A1410" s="37" t="s">
        <v>3003</v>
      </c>
      <c r="B1410" s="37" t="s">
        <v>3002</v>
      </c>
      <c r="C1410" s="37" t="s">
        <v>780</v>
      </c>
      <c r="D1410" s="37" t="s">
        <v>116</v>
      </c>
    </row>
    <row r="1411" spans="1:4" x14ac:dyDescent="0.25">
      <c r="A1411" s="37" t="s">
        <v>3006</v>
      </c>
      <c r="B1411" s="37" t="s">
        <v>3004</v>
      </c>
      <c r="C1411" s="37" t="s">
        <v>3005</v>
      </c>
      <c r="D1411" s="37" t="s">
        <v>462</v>
      </c>
    </row>
    <row r="1412" spans="1:4" x14ac:dyDescent="0.25">
      <c r="A1412" s="37" t="s">
        <v>3009</v>
      </c>
      <c r="B1412" s="37" t="s">
        <v>3007</v>
      </c>
      <c r="C1412" s="37" t="s">
        <v>3008</v>
      </c>
      <c r="D1412" s="37" t="s">
        <v>116</v>
      </c>
    </row>
    <row r="1413" spans="1:4" x14ac:dyDescent="0.25">
      <c r="A1413" s="37" t="s">
        <v>3011</v>
      </c>
      <c r="B1413" s="37" t="s">
        <v>3010</v>
      </c>
      <c r="C1413" s="37" t="s">
        <v>591</v>
      </c>
      <c r="D1413" s="37" t="s">
        <v>71</v>
      </c>
    </row>
    <row r="1414" spans="1:4" x14ac:dyDescent="0.25">
      <c r="A1414" s="37" t="s">
        <v>3012</v>
      </c>
      <c r="B1414" s="37" t="s">
        <v>3092</v>
      </c>
      <c r="C1414" s="37" t="s">
        <v>3093</v>
      </c>
      <c r="D1414" s="37" t="s">
        <v>462</v>
      </c>
    </row>
    <row r="1415" spans="1:4" x14ac:dyDescent="0.25">
      <c r="A1415" s="37" t="s">
        <v>3013</v>
      </c>
      <c r="B1415" s="37" t="s">
        <v>488</v>
      </c>
      <c r="C1415" s="37" t="s">
        <v>780</v>
      </c>
      <c r="D1415" s="37" t="s">
        <v>116</v>
      </c>
    </row>
    <row r="1416" spans="1:4" x14ac:dyDescent="0.25">
      <c r="A1416" s="37" t="s">
        <v>3016</v>
      </c>
      <c r="B1416" s="37" t="s">
        <v>3014</v>
      </c>
      <c r="C1416" s="37" t="s">
        <v>3015</v>
      </c>
      <c r="D1416" s="37" t="s">
        <v>71</v>
      </c>
    </row>
    <row r="1417" spans="1:4" x14ac:dyDescent="0.25">
      <c r="A1417" s="37" t="s">
        <v>3017</v>
      </c>
      <c r="B1417" s="37" t="s">
        <v>1199</v>
      </c>
      <c r="C1417" s="37" t="s">
        <v>2709</v>
      </c>
      <c r="D1417" s="37" t="s">
        <v>71</v>
      </c>
    </row>
    <row r="1418" spans="1:4" x14ac:dyDescent="0.25">
      <c r="A1418" s="37" t="s">
        <v>3020</v>
      </c>
      <c r="B1418" s="37" t="s">
        <v>3018</v>
      </c>
      <c r="C1418" s="37" t="s">
        <v>3019</v>
      </c>
      <c r="D1418" s="37" t="s">
        <v>71</v>
      </c>
    </row>
    <row r="1419" spans="1:4" x14ac:dyDescent="0.25">
      <c r="A1419" s="37">
        <v>1010927</v>
      </c>
      <c r="B1419" s="37" t="s">
        <v>3220</v>
      </c>
      <c r="C1419" s="37" t="s">
        <v>149</v>
      </c>
      <c r="D1419" s="37" t="s">
        <v>71</v>
      </c>
    </row>
    <row r="1420" spans="1:4" x14ac:dyDescent="0.25">
      <c r="A1420" s="37">
        <v>1011224</v>
      </c>
      <c r="B1420" s="37" t="s">
        <v>435</v>
      </c>
      <c r="C1420" s="37" t="s">
        <v>1057</v>
      </c>
      <c r="D1420" s="37" t="s">
        <v>71</v>
      </c>
    </row>
    <row r="1421" spans="1:4" x14ac:dyDescent="0.25">
      <c r="A1421" s="37">
        <v>1066602</v>
      </c>
      <c r="B1421" s="37" t="s">
        <v>3255</v>
      </c>
      <c r="C1421" s="37" t="s">
        <v>2616</v>
      </c>
      <c r="D1421" s="37" t="s">
        <v>462</v>
      </c>
    </row>
    <row r="1422" spans="1:4" x14ac:dyDescent="0.25">
      <c r="A1422" s="37">
        <v>1090156</v>
      </c>
      <c r="B1422" s="37" t="s">
        <v>790</v>
      </c>
      <c r="C1422" s="37" t="s">
        <v>1702</v>
      </c>
      <c r="D1422" s="37" t="s">
        <v>71</v>
      </c>
    </row>
    <row r="1423" spans="1:4" x14ac:dyDescent="0.25">
      <c r="A1423" s="37">
        <v>1132390</v>
      </c>
      <c r="B1423" s="37" t="s">
        <v>3151</v>
      </c>
      <c r="C1423" s="37" t="s">
        <v>3152</v>
      </c>
      <c r="D1423" s="37" t="s">
        <v>71</v>
      </c>
    </row>
    <row r="1424" spans="1:4" x14ac:dyDescent="0.25">
      <c r="A1424" s="37">
        <v>1150428</v>
      </c>
      <c r="B1424" s="37" t="s">
        <v>3207</v>
      </c>
      <c r="C1424" s="37" t="s">
        <v>618</v>
      </c>
      <c r="D1424" s="37" t="s">
        <v>71</v>
      </c>
    </row>
    <row r="1425" spans="1:4" x14ac:dyDescent="0.25">
      <c r="A1425" s="37">
        <v>1280109</v>
      </c>
      <c r="B1425" s="37" t="s">
        <v>3231</v>
      </c>
      <c r="C1425" s="37" t="s">
        <v>631</v>
      </c>
      <c r="D1425" s="37" t="s">
        <v>71</v>
      </c>
    </row>
    <row r="1426" spans="1:4" x14ac:dyDescent="0.25">
      <c r="A1426" s="37">
        <v>1296845</v>
      </c>
      <c r="B1426" s="37" t="s">
        <v>447</v>
      </c>
      <c r="C1426" s="37" t="s">
        <v>2394</v>
      </c>
      <c r="D1426" s="37" t="s">
        <v>1939</v>
      </c>
    </row>
    <row r="1427" spans="1:4" x14ac:dyDescent="0.25">
      <c r="A1427" s="37">
        <v>1321435</v>
      </c>
      <c r="B1427" s="37" t="s">
        <v>3037</v>
      </c>
      <c r="C1427" s="37" t="s">
        <v>3038</v>
      </c>
      <c r="D1427" s="37" t="s">
        <v>116</v>
      </c>
    </row>
    <row r="1428" spans="1:4" x14ac:dyDescent="0.25">
      <c r="A1428" s="37">
        <v>1446072</v>
      </c>
      <c r="B1428" s="37" t="s">
        <v>3212</v>
      </c>
      <c r="C1428" s="37" t="s">
        <v>3213</v>
      </c>
      <c r="D1428" s="37" t="s">
        <v>71</v>
      </c>
    </row>
    <row r="1429" spans="1:4" x14ac:dyDescent="0.25">
      <c r="A1429" s="37">
        <v>1512505</v>
      </c>
      <c r="B1429" s="37" t="s">
        <v>3106</v>
      </c>
      <c r="C1429" s="37" t="s">
        <v>3107</v>
      </c>
      <c r="D1429" s="37" t="s">
        <v>116</v>
      </c>
    </row>
    <row r="1430" spans="1:4" x14ac:dyDescent="0.25">
      <c r="A1430" s="37">
        <v>1573269</v>
      </c>
      <c r="B1430" s="37" t="s">
        <v>3244</v>
      </c>
      <c r="C1430" s="37" t="s">
        <v>3245</v>
      </c>
      <c r="D1430" s="37" t="s">
        <v>71</v>
      </c>
    </row>
    <row r="1431" spans="1:4" x14ac:dyDescent="0.25">
      <c r="A1431" s="37">
        <v>1588669</v>
      </c>
      <c r="B1431" s="37" t="s">
        <v>2268</v>
      </c>
      <c r="C1431" s="37" t="s">
        <v>563</v>
      </c>
      <c r="D1431" s="37" t="s">
        <v>71</v>
      </c>
    </row>
    <row r="1432" spans="1:4" x14ac:dyDescent="0.25">
      <c r="A1432" s="37">
        <v>1652710</v>
      </c>
      <c r="B1432" s="37" t="s">
        <v>2639</v>
      </c>
      <c r="C1432" s="37" t="s">
        <v>563</v>
      </c>
      <c r="D1432" s="37" t="s">
        <v>71</v>
      </c>
    </row>
    <row r="1433" spans="1:4" x14ac:dyDescent="0.25">
      <c r="A1433" s="37">
        <v>1710795</v>
      </c>
      <c r="B1433" s="37" t="s">
        <v>3049</v>
      </c>
      <c r="C1433" s="37" t="s">
        <v>3050</v>
      </c>
      <c r="D1433" s="37" t="s">
        <v>71</v>
      </c>
    </row>
    <row r="1434" spans="1:4" x14ac:dyDescent="0.25">
      <c r="A1434" s="37">
        <v>1797272</v>
      </c>
      <c r="B1434" s="37" t="s">
        <v>3246</v>
      </c>
      <c r="C1434" s="37" t="s">
        <v>127</v>
      </c>
      <c r="D1434" s="37" t="s">
        <v>71</v>
      </c>
    </row>
    <row r="1435" spans="1:4" x14ac:dyDescent="0.25">
      <c r="A1435" s="37">
        <v>1818556</v>
      </c>
      <c r="B1435" s="37" t="s">
        <v>562</v>
      </c>
      <c r="C1435" s="37" t="s">
        <v>1127</v>
      </c>
      <c r="D1435" s="37" t="s">
        <v>71</v>
      </c>
    </row>
    <row r="1436" spans="1:4" x14ac:dyDescent="0.25">
      <c r="A1436" s="37">
        <v>1875880</v>
      </c>
      <c r="B1436" s="37" t="s">
        <v>1396</v>
      </c>
      <c r="C1436" s="37" t="s">
        <v>3188</v>
      </c>
      <c r="D1436" s="37" t="s">
        <v>71</v>
      </c>
    </row>
    <row r="1437" spans="1:4" x14ac:dyDescent="0.25">
      <c r="A1437" s="37">
        <v>2004862</v>
      </c>
      <c r="B1437" s="37" t="s">
        <v>3157</v>
      </c>
      <c r="C1437" s="37" t="s">
        <v>3158</v>
      </c>
      <c r="D1437" s="37" t="s">
        <v>71</v>
      </c>
    </row>
    <row r="1438" spans="1:4" x14ac:dyDescent="0.25">
      <c r="A1438" s="37">
        <v>2066979</v>
      </c>
      <c r="B1438" s="37" t="s">
        <v>301</v>
      </c>
      <c r="C1438" s="37" t="s">
        <v>3145</v>
      </c>
      <c r="D1438" s="37" t="s">
        <v>116</v>
      </c>
    </row>
    <row r="1439" spans="1:4" x14ac:dyDescent="0.25">
      <c r="A1439" s="37">
        <v>2161739</v>
      </c>
      <c r="B1439" s="37" t="s">
        <v>398</v>
      </c>
      <c r="C1439" s="37" t="s">
        <v>673</v>
      </c>
      <c r="D1439" s="37" t="s">
        <v>71</v>
      </c>
    </row>
    <row r="1440" spans="1:4" x14ac:dyDescent="0.25">
      <c r="A1440" s="37">
        <v>2162527</v>
      </c>
      <c r="B1440" s="37" t="s">
        <v>3108</v>
      </c>
      <c r="C1440" s="37" t="s">
        <v>3109</v>
      </c>
      <c r="D1440" s="37" t="s">
        <v>71</v>
      </c>
    </row>
    <row r="1441" spans="1:4" x14ac:dyDescent="0.25">
      <c r="A1441" s="37">
        <v>2184419</v>
      </c>
      <c r="B1441" s="37" t="s">
        <v>3025</v>
      </c>
      <c r="C1441" s="37" t="s">
        <v>329</v>
      </c>
      <c r="D1441" s="37" t="s">
        <v>71</v>
      </c>
    </row>
    <row r="1442" spans="1:4" x14ac:dyDescent="0.25">
      <c r="A1442" s="37">
        <v>2189321</v>
      </c>
      <c r="B1442" s="37" t="s">
        <v>3226</v>
      </c>
      <c r="C1442" s="37" t="s">
        <v>120</v>
      </c>
      <c r="D1442" s="37" t="s">
        <v>71</v>
      </c>
    </row>
    <row r="1443" spans="1:4" x14ac:dyDescent="0.25">
      <c r="A1443" s="37">
        <v>2215577</v>
      </c>
      <c r="B1443" s="37" t="s">
        <v>1948</v>
      </c>
      <c r="C1443" s="37" t="s">
        <v>788</v>
      </c>
      <c r="D1443" s="37" t="s">
        <v>71</v>
      </c>
    </row>
    <row r="1444" spans="1:4" x14ac:dyDescent="0.25">
      <c r="A1444" s="37">
        <v>2276652</v>
      </c>
      <c r="B1444" s="37" t="s">
        <v>3136</v>
      </c>
      <c r="C1444" s="37" t="s">
        <v>283</v>
      </c>
      <c r="D1444" s="37" t="s">
        <v>71</v>
      </c>
    </row>
    <row r="1445" spans="1:4" x14ac:dyDescent="0.25">
      <c r="A1445" s="37">
        <v>2311321</v>
      </c>
      <c r="B1445" s="37" t="s">
        <v>3189</v>
      </c>
      <c r="C1445" s="37" t="s">
        <v>3190</v>
      </c>
      <c r="D1445" s="37" t="s">
        <v>116</v>
      </c>
    </row>
    <row r="1446" spans="1:4" x14ac:dyDescent="0.25">
      <c r="A1446" s="37">
        <v>2343478</v>
      </c>
      <c r="B1446" s="37" t="s">
        <v>3128</v>
      </c>
      <c r="C1446" s="37" t="s">
        <v>3129</v>
      </c>
      <c r="D1446" s="37" t="s">
        <v>116</v>
      </c>
    </row>
    <row r="1447" spans="1:4" x14ac:dyDescent="0.25">
      <c r="A1447" s="37">
        <v>2426436</v>
      </c>
      <c r="B1447" s="37" t="s">
        <v>3162</v>
      </c>
      <c r="C1447" s="37" t="s">
        <v>3163</v>
      </c>
      <c r="D1447" s="37" t="s">
        <v>116</v>
      </c>
    </row>
    <row r="1448" spans="1:4" x14ac:dyDescent="0.25">
      <c r="A1448" s="37">
        <v>2450677</v>
      </c>
      <c r="B1448" s="37" t="s">
        <v>455</v>
      </c>
      <c r="C1448" s="37" t="s">
        <v>3030</v>
      </c>
      <c r="D1448" s="37" t="s">
        <v>71</v>
      </c>
    </row>
    <row r="1449" spans="1:4" x14ac:dyDescent="0.25">
      <c r="A1449" s="37">
        <v>2525488</v>
      </c>
      <c r="B1449" s="37" t="s">
        <v>3135</v>
      </c>
      <c r="C1449" s="37" t="s">
        <v>1252</v>
      </c>
      <c r="D1449" s="37" t="s">
        <v>116</v>
      </c>
    </row>
    <row r="1450" spans="1:4" x14ac:dyDescent="0.25">
      <c r="A1450" s="37">
        <v>2556512</v>
      </c>
      <c r="B1450" s="37" t="s">
        <v>542</v>
      </c>
      <c r="C1450" s="37" t="s">
        <v>3084</v>
      </c>
      <c r="D1450" s="37" t="s">
        <v>462</v>
      </c>
    </row>
    <row r="1451" spans="1:4" x14ac:dyDescent="0.25">
      <c r="A1451" s="37">
        <v>2742764</v>
      </c>
      <c r="B1451" s="37" t="s">
        <v>301</v>
      </c>
      <c r="C1451" s="37" t="s">
        <v>299</v>
      </c>
      <c r="D1451" s="37" t="s">
        <v>71</v>
      </c>
    </row>
    <row r="1452" spans="1:4" x14ac:dyDescent="0.25">
      <c r="A1452" s="37">
        <v>2746639</v>
      </c>
      <c r="B1452" s="37" t="s">
        <v>3233</v>
      </c>
      <c r="C1452" s="37" t="s">
        <v>285</v>
      </c>
      <c r="D1452" s="37" t="s">
        <v>71</v>
      </c>
    </row>
    <row r="1453" spans="1:4" x14ac:dyDescent="0.25">
      <c r="A1453" s="37">
        <v>2805788</v>
      </c>
      <c r="B1453" s="37" t="s">
        <v>3175</v>
      </c>
      <c r="C1453" s="37" t="s">
        <v>3176</v>
      </c>
      <c r="D1453" s="37" t="s">
        <v>116</v>
      </c>
    </row>
    <row r="1454" spans="1:4" x14ac:dyDescent="0.25">
      <c r="A1454" s="37">
        <v>2873738</v>
      </c>
      <c r="B1454" s="37" t="s">
        <v>1078</v>
      </c>
      <c r="C1454" s="37" t="s">
        <v>1079</v>
      </c>
      <c r="D1454" s="37" t="s">
        <v>71</v>
      </c>
    </row>
    <row r="1455" spans="1:4" x14ac:dyDescent="0.25">
      <c r="A1455" s="37">
        <v>2879259</v>
      </c>
      <c r="B1455" s="37" t="s">
        <v>3146</v>
      </c>
      <c r="C1455" s="37" t="s">
        <v>2476</v>
      </c>
      <c r="D1455" s="37" t="s">
        <v>116</v>
      </c>
    </row>
    <row r="1456" spans="1:4" x14ac:dyDescent="0.25">
      <c r="A1456" s="37">
        <v>2934926</v>
      </c>
      <c r="B1456" s="37" t="s">
        <v>3170</v>
      </c>
      <c r="C1456" s="37" t="s">
        <v>1417</v>
      </c>
      <c r="D1456" s="37" t="s">
        <v>116</v>
      </c>
    </row>
    <row r="1457" spans="1:4" x14ac:dyDescent="0.25">
      <c r="A1457" s="37">
        <v>2938698</v>
      </c>
      <c r="B1457" s="37" t="s">
        <v>3208</v>
      </c>
      <c r="C1457" s="37" t="s">
        <v>553</v>
      </c>
      <c r="D1457" s="37" t="s">
        <v>71</v>
      </c>
    </row>
    <row r="1458" spans="1:4" x14ac:dyDescent="0.25">
      <c r="A1458" s="37">
        <v>2962873</v>
      </c>
      <c r="B1458" s="37" t="s">
        <v>3082</v>
      </c>
      <c r="C1458" s="37" t="s">
        <v>563</v>
      </c>
      <c r="D1458" s="37" t="s">
        <v>116</v>
      </c>
    </row>
    <row r="1459" spans="1:4" x14ac:dyDescent="0.25">
      <c r="A1459" s="37">
        <v>3016776</v>
      </c>
      <c r="B1459" s="37" t="s">
        <v>3177</v>
      </c>
      <c r="C1459" s="37" t="s">
        <v>835</v>
      </c>
      <c r="D1459" s="37" t="s">
        <v>116</v>
      </c>
    </row>
    <row r="1460" spans="1:4" x14ac:dyDescent="0.25">
      <c r="A1460" s="37">
        <v>3035734</v>
      </c>
      <c r="B1460" s="37" t="s">
        <v>3068</v>
      </c>
      <c r="C1460" s="37" t="s">
        <v>329</v>
      </c>
      <c r="D1460" s="37" t="s">
        <v>71</v>
      </c>
    </row>
    <row r="1461" spans="1:4" x14ac:dyDescent="0.25">
      <c r="A1461" s="37">
        <v>3127229</v>
      </c>
      <c r="B1461" s="37" t="s">
        <v>3230</v>
      </c>
      <c r="C1461" s="37" t="s">
        <v>492</v>
      </c>
      <c r="D1461" s="37" t="s">
        <v>71</v>
      </c>
    </row>
    <row r="1462" spans="1:4" x14ac:dyDescent="0.25">
      <c r="A1462" s="37">
        <v>3133590</v>
      </c>
      <c r="B1462" s="37" t="s">
        <v>3249</v>
      </c>
      <c r="C1462" s="37" t="s">
        <v>219</v>
      </c>
      <c r="D1462" s="37" t="s">
        <v>71</v>
      </c>
    </row>
    <row r="1463" spans="1:4" x14ac:dyDescent="0.25">
      <c r="A1463" s="37">
        <v>3274961</v>
      </c>
      <c r="B1463" s="37" t="s">
        <v>2310</v>
      </c>
      <c r="C1463" s="37" t="s">
        <v>3247</v>
      </c>
      <c r="D1463" s="37" t="s">
        <v>116</v>
      </c>
    </row>
    <row r="1464" spans="1:4" x14ac:dyDescent="0.25">
      <c r="A1464" s="37">
        <v>3455418</v>
      </c>
      <c r="B1464" s="37" t="s">
        <v>3180</v>
      </c>
      <c r="C1464" s="37" t="s">
        <v>3181</v>
      </c>
      <c r="D1464" s="37" t="s">
        <v>116</v>
      </c>
    </row>
    <row r="1465" spans="1:4" x14ac:dyDescent="0.25">
      <c r="A1465" s="37">
        <v>3526271</v>
      </c>
      <c r="B1465" s="37" t="s">
        <v>3155</v>
      </c>
      <c r="C1465" s="37" t="s">
        <v>3156</v>
      </c>
      <c r="D1465" s="37" t="s">
        <v>71</v>
      </c>
    </row>
    <row r="1466" spans="1:4" x14ac:dyDescent="0.25">
      <c r="A1466" s="37">
        <v>3706527</v>
      </c>
      <c r="B1466" s="37" t="s">
        <v>3039</v>
      </c>
      <c r="C1466" s="37" t="s">
        <v>736</v>
      </c>
      <c r="D1466" s="37" t="s">
        <v>71</v>
      </c>
    </row>
    <row r="1467" spans="1:4" x14ac:dyDescent="0.25">
      <c r="A1467" s="37">
        <v>3802265</v>
      </c>
      <c r="B1467" s="37" t="s">
        <v>3059</v>
      </c>
      <c r="C1467" s="37" t="s">
        <v>631</v>
      </c>
      <c r="D1467" s="37" t="s">
        <v>116</v>
      </c>
    </row>
    <row r="1468" spans="1:4" x14ac:dyDescent="0.25">
      <c r="A1468" s="37">
        <v>3890299</v>
      </c>
      <c r="B1468" s="37" t="s">
        <v>3182</v>
      </c>
      <c r="C1468" s="37" t="s">
        <v>130</v>
      </c>
      <c r="D1468" s="37" t="s">
        <v>71</v>
      </c>
    </row>
    <row r="1469" spans="1:4" x14ac:dyDescent="0.25">
      <c r="A1469" s="37">
        <v>4139955</v>
      </c>
      <c r="B1469" s="37" t="s">
        <v>3178</v>
      </c>
      <c r="C1469" s="37" t="s">
        <v>3179</v>
      </c>
      <c r="D1469" s="37" t="s">
        <v>71</v>
      </c>
    </row>
    <row r="1470" spans="1:4" x14ac:dyDescent="0.25">
      <c r="A1470" s="37">
        <v>4141505</v>
      </c>
      <c r="B1470" s="37" t="s">
        <v>3147</v>
      </c>
      <c r="C1470" s="37" t="s">
        <v>1835</v>
      </c>
      <c r="D1470" s="37" t="s">
        <v>71</v>
      </c>
    </row>
    <row r="1471" spans="1:4" x14ac:dyDescent="0.25">
      <c r="A1471" s="37">
        <v>4153903</v>
      </c>
      <c r="B1471" s="37" t="s">
        <v>3123</v>
      </c>
      <c r="C1471" s="37" t="s">
        <v>3022</v>
      </c>
      <c r="D1471" s="37" t="s">
        <v>116</v>
      </c>
    </row>
    <row r="1472" spans="1:4" x14ac:dyDescent="0.25">
      <c r="A1472" s="37">
        <v>4374763</v>
      </c>
      <c r="B1472" s="37" t="s">
        <v>1499</v>
      </c>
      <c r="C1472" s="37" t="s">
        <v>3048</v>
      </c>
      <c r="D1472" s="37" t="s">
        <v>116</v>
      </c>
    </row>
    <row r="1473" spans="1:4" x14ac:dyDescent="0.25">
      <c r="A1473" s="37">
        <v>4399480</v>
      </c>
      <c r="B1473" s="37" t="s">
        <v>3051</v>
      </c>
      <c r="C1473" s="37" t="s">
        <v>3052</v>
      </c>
      <c r="D1473" s="37" t="s">
        <v>116</v>
      </c>
    </row>
    <row r="1474" spans="1:4" x14ac:dyDescent="0.25">
      <c r="A1474" s="37">
        <v>4430350</v>
      </c>
      <c r="B1474" s="37" t="s">
        <v>3187</v>
      </c>
      <c r="C1474" s="37" t="s">
        <v>3188</v>
      </c>
      <c r="D1474" s="37" t="s">
        <v>71</v>
      </c>
    </row>
    <row r="1475" spans="1:4" x14ac:dyDescent="0.25">
      <c r="A1475" s="37">
        <v>4452310</v>
      </c>
      <c r="B1475" s="37" t="s">
        <v>3083</v>
      </c>
      <c r="C1475" s="37" t="s">
        <v>940</v>
      </c>
      <c r="D1475" s="37" t="s">
        <v>116</v>
      </c>
    </row>
    <row r="1476" spans="1:4" x14ac:dyDescent="0.25">
      <c r="A1476" s="37">
        <v>4509616</v>
      </c>
      <c r="B1476" s="37" t="s">
        <v>3227</v>
      </c>
      <c r="C1476" s="37" t="s">
        <v>3228</v>
      </c>
      <c r="D1476" s="37" t="s">
        <v>71</v>
      </c>
    </row>
    <row r="1477" spans="1:4" x14ac:dyDescent="0.25">
      <c r="A1477" s="37">
        <v>4541126</v>
      </c>
      <c r="B1477" s="37" t="s">
        <v>279</v>
      </c>
      <c r="C1477" s="37" t="s">
        <v>3171</v>
      </c>
      <c r="D1477" s="37" t="s">
        <v>116</v>
      </c>
    </row>
    <row r="1478" spans="1:4" x14ac:dyDescent="0.25">
      <c r="A1478" s="37">
        <v>4562314</v>
      </c>
      <c r="B1478" s="37" t="s">
        <v>3191</v>
      </c>
      <c r="C1478" s="37" t="s">
        <v>1252</v>
      </c>
      <c r="D1478" s="37" t="s">
        <v>116</v>
      </c>
    </row>
    <row r="1479" spans="1:4" x14ac:dyDescent="0.25">
      <c r="A1479" s="37">
        <v>4665621</v>
      </c>
      <c r="B1479" s="37" t="s">
        <v>3186</v>
      </c>
      <c r="C1479" s="37" t="s">
        <v>1792</v>
      </c>
      <c r="D1479" s="37" t="s">
        <v>71</v>
      </c>
    </row>
    <row r="1480" spans="1:4" x14ac:dyDescent="0.25">
      <c r="A1480" s="37">
        <v>4676231</v>
      </c>
      <c r="B1480" s="37" t="s">
        <v>3205</v>
      </c>
      <c r="C1480" s="37" t="s">
        <v>3206</v>
      </c>
      <c r="D1480" s="37" t="s">
        <v>71</v>
      </c>
    </row>
    <row r="1481" spans="1:4" x14ac:dyDescent="0.25">
      <c r="A1481" s="37">
        <v>4680648</v>
      </c>
      <c r="B1481" s="37" t="s">
        <v>3216</v>
      </c>
      <c r="C1481" s="37" t="s">
        <v>518</v>
      </c>
      <c r="D1481" s="37" t="s">
        <v>116</v>
      </c>
    </row>
    <row r="1482" spans="1:4" x14ac:dyDescent="0.25">
      <c r="A1482" s="37">
        <v>4731992</v>
      </c>
      <c r="B1482" s="37" t="s">
        <v>3073</v>
      </c>
      <c r="C1482" s="37" t="s">
        <v>477</v>
      </c>
      <c r="D1482" s="37" t="s">
        <v>71</v>
      </c>
    </row>
    <row r="1483" spans="1:4" x14ac:dyDescent="0.25">
      <c r="A1483" s="37">
        <v>4804562</v>
      </c>
      <c r="B1483" s="37" t="s">
        <v>3132</v>
      </c>
      <c r="C1483" s="37" t="s">
        <v>2069</v>
      </c>
      <c r="D1483" s="37" t="s">
        <v>116</v>
      </c>
    </row>
    <row r="1484" spans="1:4" x14ac:dyDescent="0.25">
      <c r="A1484" s="37">
        <v>5357244</v>
      </c>
      <c r="B1484" s="37" t="s">
        <v>3133</v>
      </c>
      <c r="C1484" s="37" t="s">
        <v>3134</v>
      </c>
      <c r="D1484" s="37" t="s">
        <v>71</v>
      </c>
    </row>
    <row r="1485" spans="1:4" x14ac:dyDescent="0.25">
      <c r="A1485" s="37">
        <v>5442609</v>
      </c>
      <c r="B1485" s="37" t="s">
        <v>1100</v>
      </c>
      <c r="C1485" s="37" t="s">
        <v>3196</v>
      </c>
      <c r="D1485" s="37" t="s">
        <v>71</v>
      </c>
    </row>
    <row r="1486" spans="1:4" x14ac:dyDescent="0.25">
      <c r="A1486" s="37">
        <v>5586127</v>
      </c>
      <c r="B1486" s="37" t="s">
        <v>3194</v>
      </c>
      <c r="C1486" s="37" t="s">
        <v>2527</v>
      </c>
      <c r="D1486" s="37" t="s">
        <v>71</v>
      </c>
    </row>
    <row r="1487" spans="1:4" x14ac:dyDescent="0.25">
      <c r="A1487" s="37">
        <v>5702559</v>
      </c>
      <c r="B1487" s="37" t="s">
        <v>3154</v>
      </c>
      <c r="C1487" s="37" t="s">
        <v>2069</v>
      </c>
      <c r="D1487" s="37" t="s">
        <v>71</v>
      </c>
    </row>
    <row r="1488" spans="1:4" x14ac:dyDescent="0.25">
      <c r="A1488" s="37">
        <v>5791529</v>
      </c>
      <c r="B1488" s="37" t="s">
        <v>3153</v>
      </c>
      <c r="C1488" s="37" t="s">
        <v>1616</v>
      </c>
      <c r="D1488" s="37" t="s">
        <v>71</v>
      </c>
    </row>
    <row r="1489" spans="1:4" x14ac:dyDescent="0.25">
      <c r="A1489" s="37">
        <v>5801349</v>
      </c>
      <c r="B1489" s="37" t="s">
        <v>3033</v>
      </c>
      <c r="C1489" s="37" t="s">
        <v>1955</v>
      </c>
      <c r="D1489" s="37" t="s">
        <v>71</v>
      </c>
    </row>
    <row r="1490" spans="1:4" x14ac:dyDescent="0.25">
      <c r="A1490" s="37">
        <v>5823688</v>
      </c>
      <c r="B1490" s="37" t="s">
        <v>3085</v>
      </c>
      <c r="C1490" s="37" t="s">
        <v>1360</v>
      </c>
      <c r="D1490" s="37" t="s">
        <v>116</v>
      </c>
    </row>
    <row r="1491" spans="1:4" x14ac:dyDescent="0.25">
      <c r="A1491" s="37">
        <v>5838240</v>
      </c>
      <c r="B1491" s="37" t="s">
        <v>3214</v>
      </c>
      <c r="C1491" s="37" t="s">
        <v>1921</v>
      </c>
      <c r="D1491" s="37" t="s">
        <v>116</v>
      </c>
    </row>
    <row r="1492" spans="1:4" x14ac:dyDescent="0.25">
      <c r="A1492" s="37">
        <v>5987922</v>
      </c>
      <c r="B1492" s="37" t="s">
        <v>3130</v>
      </c>
      <c r="C1492" s="37" t="s">
        <v>3131</v>
      </c>
      <c r="D1492" s="37" t="s">
        <v>71</v>
      </c>
    </row>
    <row r="1493" spans="1:4" x14ac:dyDescent="0.25">
      <c r="A1493" s="37">
        <v>6173736</v>
      </c>
      <c r="B1493" s="37" t="s">
        <v>3062</v>
      </c>
      <c r="C1493" s="37" t="s">
        <v>3063</v>
      </c>
      <c r="D1493" s="37" t="s">
        <v>116</v>
      </c>
    </row>
    <row r="1494" spans="1:4" x14ac:dyDescent="0.25">
      <c r="A1494" s="37">
        <v>6204418</v>
      </c>
      <c r="B1494" s="37" t="s">
        <v>1333</v>
      </c>
      <c r="C1494" s="37" t="s">
        <v>1845</v>
      </c>
      <c r="D1494" s="37" t="s">
        <v>71</v>
      </c>
    </row>
    <row r="1495" spans="1:4" x14ac:dyDescent="0.25">
      <c r="A1495" s="37">
        <v>6253348</v>
      </c>
      <c r="B1495" s="37" t="s">
        <v>3101</v>
      </c>
      <c r="C1495" s="37" t="s">
        <v>3102</v>
      </c>
      <c r="D1495" s="37" t="s">
        <v>116</v>
      </c>
    </row>
    <row r="1496" spans="1:4" x14ac:dyDescent="0.25">
      <c r="A1496" s="37">
        <v>6274584</v>
      </c>
      <c r="B1496" s="37" t="s">
        <v>415</v>
      </c>
      <c r="C1496" s="37" t="s">
        <v>3100</v>
      </c>
      <c r="D1496" s="37" t="s">
        <v>116</v>
      </c>
    </row>
    <row r="1497" spans="1:4" x14ac:dyDescent="0.25">
      <c r="A1497" s="37">
        <v>6332796</v>
      </c>
      <c r="B1497" s="37" t="s">
        <v>2407</v>
      </c>
      <c r="C1497" s="37" t="s">
        <v>3248</v>
      </c>
      <c r="D1497" s="37" t="s">
        <v>71</v>
      </c>
    </row>
    <row r="1498" spans="1:4" x14ac:dyDescent="0.25">
      <c r="A1498" s="37">
        <v>6387259</v>
      </c>
      <c r="B1498" s="37" t="s">
        <v>3229</v>
      </c>
      <c r="C1498" s="37" t="s">
        <v>715</v>
      </c>
      <c r="D1498" s="37" t="s">
        <v>116</v>
      </c>
    </row>
    <row r="1499" spans="1:4" x14ac:dyDescent="0.25">
      <c r="A1499" s="37">
        <v>6752530</v>
      </c>
      <c r="B1499" s="37" t="s">
        <v>3053</v>
      </c>
      <c r="C1499" s="37" t="s">
        <v>506</v>
      </c>
      <c r="D1499" s="37" t="s">
        <v>116</v>
      </c>
    </row>
    <row r="1500" spans="1:4" x14ac:dyDescent="0.25">
      <c r="A1500" s="37">
        <v>6818626</v>
      </c>
      <c r="B1500" s="37" t="s">
        <v>3250</v>
      </c>
      <c r="C1500" s="37" t="s">
        <v>3251</v>
      </c>
      <c r="D1500" s="37" t="s">
        <v>116</v>
      </c>
    </row>
    <row r="1501" spans="1:4" x14ac:dyDescent="0.25">
      <c r="A1501" s="37">
        <v>6818629</v>
      </c>
      <c r="B1501" s="37" t="s">
        <v>202</v>
      </c>
      <c r="C1501" s="37" t="s">
        <v>3152</v>
      </c>
      <c r="D1501" s="37" t="s">
        <v>116</v>
      </c>
    </row>
    <row r="1502" spans="1:4" x14ac:dyDescent="0.25">
      <c r="A1502" s="37">
        <v>6921276</v>
      </c>
      <c r="B1502" s="37" t="s">
        <v>3143</v>
      </c>
      <c r="C1502" s="37" t="s">
        <v>3144</v>
      </c>
      <c r="D1502" s="37" t="s">
        <v>116</v>
      </c>
    </row>
    <row r="1503" spans="1:4" x14ac:dyDescent="0.25">
      <c r="A1503" s="37">
        <v>6949118</v>
      </c>
      <c r="B1503" s="37" t="s">
        <v>3148</v>
      </c>
      <c r="C1503" s="37" t="s">
        <v>3149</v>
      </c>
      <c r="D1503" s="37" t="s">
        <v>71</v>
      </c>
    </row>
    <row r="1504" spans="1:4" x14ac:dyDescent="0.25">
      <c r="A1504" s="37">
        <v>7019203</v>
      </c>
      <c r="B1504" s="37" t="s">
        <v>3103</v>
      </c>
      <c r="C1504" s="37" t="s">
        <v>3104</v>
      </c>
      <c r="D1504" s="37" t="s">
        <v>71</v>
      </c>
    </row>
    <row r="1505" spans="1:4" x14ac:dyDescent="0.25">
      <c r="A1505" s="37">
        <v>7056004</v>
      </c>
      <c r="B1505" s="37" t="s">
        <v>187</v>
      </c>
      <c r="C1505" s="37" t="s">
        <v>613</v>
      </c>
      <c r="D1505" s="37" t="s">
        <v>116</v>
      </c>
    </row>
    <row r="1506" spans="1:4" x14ac:dyDescent="0.25">
      <c r="A1506" s="37">
        <v>7193137</v>
      </c>
      <c r="B1506" s="37" t="s">
        <v>2558</v>
      </c>
      <c r="C1506" s="37" t="s">
        <v>1392</v>
      </c>
      <c r="D1506" s="37" t="s">
        <v>71</v>
      </c>
    </row>
    <row r="1507" spans="1:4" x14ac:dyDescent="0.25">
      <c r="A1507" s="37">
        <v>7320213</v>
      </c>
      <c r="B1507" s="37" t="s">
        <v>3197</v>
      </c>
      <c r="C1507" s="37" t="s">
        <v>1696</v>
      </c>
      <c r="D1507" s="37" t="s">
        <v>116</v>
      </c>
    </row>
    <row r="1508" spans="1:4" x14ac:dyDescent="0.25">
      <c r="A1508" s="37">
        <v>7380213</v>
      </c>
      <c r="B1508" s="37" t="s">
        <v>3054</v>
      </c>
      <c r="C1508" s="37" t="s">
        <v>266</v>
      </c>
      <c r="D1508" s="37" t="s">
        <v>116</v>
      </c>
    </row>
    <row r="1509" spans="1:4" x14ac:dyDescent="0.25">
      <c r="A1509" s="37">
        <v>7391758</v>
      </c>
      <c r="B1509" s="37" t="s">
        <v>3028</v>
      </c>
      <c r="C1509" s="37" t="s">
        <v>597</v>
      </c>
      <c r="D1509" s="37" t="s">
        <v>71</v>
      </c>
    </row>
    <row r="1510" spans="1:4" x14ac:dyDescent="0.25">
      <c r="A1510" s="37">
        <v>7426880</v>
      </c>
      <c r="B1510" s="37" t="s">
        <v>2985</v>
      </c>
      <c r="C1510" s="37" t="s">
        <v>1485</v>
      </c>
      <c r="D1510" s="37" t="s">
        <v>116</v>
      </c>
    </row>
    <row r="1511" spans="1:4" x14ac:dyDescent="0.25">
      <c r="A1511" s="37">
        <v>7445855</v>
      </c>
      <c r="B1511" s="37" t="s">
        <v>617</v>
      </c>
      <c r="C1511" s="37" t="s">
        <v>438</v>
      </c>
      <c r="D1511" s="37" t="s">
        <v>71</v>
      </c>
    </row>
    <row r="1512" spans="1:4" x14ac:dyDescent="0.25">
      <c r="A1512" s="37">
        <v>7696372</v>
      </c>
      <c r="B1512" s="37" t="s">
        <v>1964</v>
      </c>
      <c r="C1512" s="37" t="s">
        <v>851</v>
      </c>
      <c r="D1512" s="37" t="s">
        <v>71</v>
      </c>
    </row>
    <row r="1513" spans="1:4" x14ac:dyDescent="0.25">
      <c r="A1513" s="37">
        <v>7976020</v>
      </c>
      <c r="B1513" s="37" t="s">
        <v>3089</v>
      </c>
      <c r="C1513" s="37" t="s">
        <v>149</v>
      </c>
      <c r="D1513" s="37" t="s">
        <v>71</v>
      </c>
    </row>
    <row r="1514" spans="1:4" x14ac:dyDescent="0.25">
      <c r="A1514" s="37">
        <v>8066086</v>
      </c>
      <c r="B1514" s="37" t="s">
        <v>3232</v>
      </c>
      <c r="C1514" s="37" t="s">
        <v>2466</v>
      </c>
      <c r="D1514" s="37" t="s">
        <v>71</v>
      </c>
    </row>
    <row r="1515" spans="1:4" x14ac:dyDescent="0.25">
      <c r="A1515" s="37">
        <v>8610189</v>
      </c>
      <c r="B1515" s="37" t="s">
        <v>3140</v>
      </c>
      <c r="C1515" s="37" t="s">
        <v>1093</v>
      </c>
      <c r="D1515" s="37" t="s">
        <v>71</v>
      </c>
    </row>
    <row r="1516" spans="1:4" x14ac:dyDescent="0.25">
      <c r="A1516" s="37">
        <v>8689605</v>
      </c>
      <c r="B1516" s="37" t="s">
        <v>484</v>
      </c>
      <c r="C1516" s="37" t="s">
        <v>516</v>
      </c>
      <c r="D1516" s="37" t="s">
        <v>71</v>
      </c>
    </row>
    <row r="1517" spans="1:4" x14ac:dyDescent="0.25">
      <c r="A1517" s="37">
        <v>8933796</v>
      </c>
      <c r="B1517" s="37" t="s">
        <v>3167</v>
      </c>
      <c r="C1517" s="37" t="s">
        <v>194</v>
      </c>
      <c r="D1517" s="37" t="s">
        <v>71</v>
      </c>
    </row>
    <row r="1518" spans="1:4" x14ac:dyDescent="0.25">
      <c r="A1518" s="37">
        <v>9016281</v>
      </c>
      <c r="B1518" s="37" t="s">
        <v>643</v>
      </c>
      <c r="C1518" s="37" t="s">
        <v>2296</v>
      </c>
      <c r="D1518" s="37" t="s">
        <v>71</v>
      </c>
    </row>
    <row r="1519" spans="1:4" x14ac:dyDescent="0.25">
      <c r="A1519" s="37">
        <v>9162227</v>
      </c>
      <c r="B1519" s="37" t="s">
        <v>3086</v>
      </c>
      <c r="C1519" s="37" t="s">
        <v>3087</v>
      </c>
      <c r="D1519" s="37" t="s">
        <v>71</v>
      </c>
    </row>
    <row r="1520" spans="1:4" x14ac:dyDescent="0.25">
      <c r="A1520" s="37">
        <v>9287669</v>
      </c>
      <c r="B1520" s="37" t="s">
        <v>3234</v>
      </c>
      <c r="C1520" s="37" t="s">
        <v>3235</v>
      </c>
      <c r="D1520" s="37" t="s">
        <v>71</v>
      </c>
    </row>
    <row r="1521" spans="1:4" x14ac:dyDescent="0.25">
      <c r="A1521" s="37">
        <v>9317851</v>
      </c>
      <c r="B1521" s="37" t="s">
        <v>3058</v>
      </c>
      <c r="C1521" s="37" t="s">
        <v>309</v>
      </c>
      <c r="D1521" s="37" t="s">
        <v>71</v>
      </c>
    </row>
    <row r="1522" spans="1:4" x14ac:dyDescent="0.25">
      <c r="A1522" s="37">
        <v>9465064</v>
      </c>
      <c r="B1522" s="37" t="s">
        <v>3236</v>
      </c>
      <c r="C1522" s="37" t="s">
        <v>1247</v>
      </c>
      <c r="D1522" s="37" t="s">
        <v>71</v>
      </c>
    </row>
    <row r="1523" spans="1:4" x14ac:dyDescent="0.25">
      <c r="A1523" s="37">
        <v>9471768</v>
      </c>
      <c r="B1523" s="37" t="s">
        <v>1499</v>
      </c>
      <c r="C1523" s="37" t="s">
        <v>635</v>
      </c>
      <c r="D1523" s="37" t="s">
        <v>71</v>
      </c>
    </row>
    <row r="1524" spans="1:4" x14ac:dyDescent="0.25">
      <c r="A1524" s="37">
        <v>9745343</v>
      </c>
      <c r="B1524" s="37" t="s">
        <v>3169</v>
      </c>
      <c r="C1524" s="37" t="s">
        <v>1600</v>
      </c>
      <c r="D1524" s="37" t="s">
        <v>71</v>
      </c>
    </row>
    <row r="1525" spans="1:4" x14ac:dyDescent="0.25">
      <c r="A1525" s="37">
        <v>9769996</v>
      </c>
      <c r="B1525" s="37" t="s">
        <v>3094</v>
      </c>
      <c r="C1525" s="37" t="s">
        <v>3095</v>
      </c>
      <c r="D1525" s="37" t="s">
        <v>71</v>
      </c>
    </row>
    <row r="1526" spans="1:4" x14ac:dyDescent="0.25">
      <c r="A1526" s="37">
        <v>9810844</v>
      </c>
      <c r="B1526" s="37" t="s">
        <v>3026</v>
      </c>
      <c r="C1526" s="37" t="s">
        <v>3071</v>
      </c>
      <c r="D1526" s="37" t="s">
        <v>116</v>
      </c>
    </row>
    <row r="1527" spans="1:4" x14ac:dyDescent="0.25">
      <c r="A1527" s="37">
        <v>9843490</v>
      </c>
      <c r="B1527" s="37" t="s">
        <v>199</v>
      </c>
      <c r="C1527" s="37" t="s">
        <v>432</v>
      </c>
      <c r="D1527" s="37" t="s">
        <v>71</v>
      </c>
    </row>
    <row r="1528" spans="1:4" x14ac:dyDescent="0.25">
      <c r="A1528" s="37" t="s">
        <v>3192</v>
      </c>
      <c r="B1528" s="37" t="s">
        <v>2628</v>
      </c>
      <c r="C1528" s="37" t="s">
        <v>3193</v>
      </c>
      <c r="D1528" s="37" t="s">
        <v>71</v>
      </c>
    </row>
    <row r="1529" spans="1:4" x14ac:dyDescent="0.25">
      <c r="A1529" s="37" t="s">
        <v>3110</v>
      </c>
      <c r="B1529" s="37" t="s">
        <v>973</v>
      </c>
      <c r="C1529" s="37" t="s">
        <v>3111</v>
      </c>
      <c r="D1529" s="37" t="s">
        <v>116</v>
      </c>
    </row>
    <row r="1530" spans="1:4" x14ac:dyDescent="0.25">
      <c r="A1530" s="37" t="s">
        <v>3238</v>
      </c>
      <c r="B1530" s="37" t="s">
        <v>3239</v>
      </c>
      <c r="C1530" s="37" t="s">
        <v>197</v>
      </c>
      <c r="D1530" s="37" t="s">
        <v>71</v>
      </c>
    </row>
    <row r="1531" spans="1:4" x14ac:dyDescent="0.25">
      <c r="A1531" s="37" t="s">
        <v>3172</v>
      </c>
      <c r="B1531" s="37" t="s">
        <v>3054</v>
      </c>
      <c r="C1531" s="37" t="s">
        <v>3173</v>
      </c>
      <c r="D1531" s="37" t="s">
        <v>71</v>
      </c>
    </row>
    <row r="1532" spans="1:4" x14ac:dyDescent="0.25">
      <c r="A1532" s="37" t="s">
        <v>3240</v>
      </c>
      <c r="B1532" s="37" t="s">
        <v>3241</v>
      </c>
      <c r="C1532" s="37" t="s">
        <v>3242</v>
      </c>
      <c r="D1532" s="37" t="s">
        <v>116</v>
      </c>
    </row>
    <row r="1533" spans="1:4" x14ac:dyDescent="0.25">
      <c r="A1533" s="37" t="s">
        <v>3201</v>
      </c>
      <c r="B1533" s="37" t="s">
        <v>3202</v>
      </c>
      <c r="C1533" s="37" t="s">
        <v>3203</v>
      </c>
      <c r="D1533" s="37" t="s">
        <v>71</v>
      </c>
    </row>
    <row r="1534" spans="1:4" x14ac:dyDescent="0.25">
      <c r="A1534" s="37" t="s">
        <v>3081</v>
      </c>
      <c r="B1534" s="37" t="s">
        <v>2744</v>
      </c>
      <c r="C1534" s="37" t="s">
        <v>260</v>
      </c>
      <c r="D1534" s="37" t="s">
        <v>71</v>
      </c>
    </row>
    <row r="1535" spans="1:4" x14ac:dyDescent="0.25">
      <c r="A1535" s="37" t="s">
        <v>3217</v>
      </c>
      <c r="B1535" s="37" t="s">
        <v>3218</v>
      </c>
      <c r="C1535" s="37" t="s">
        <v>3219</v>
      </c>
      <c r="D1535" s="37" t="s">
        <v>71</v>
      </c>
    </row>
    <row r="1536" spans="1:4" x14ac:dyDescent="0.25">
      <c r="A1536" s="37" t="s">
        <v>3141</v>
      </c>
      <c r="B1536" s="37" t="s">
        <v>1004</v>
      </c>
      <c r="C1536" s="37" t="s">
        <v>3142</v>
      </c>
      <c r="D1536" s="37" t="s">
        <v>71</v>
      </c>
    </row>
    <row r="1537" spans="1:4" x14ac:dyDescent="0.25">
      <c r="A1537" s="37" t="s">
        <v>3165</v>
      </c>
      <c r="B1537" s="37" t="s">
        <v>3166</v>
      </c>
      <c r="C1537" s="37" t="s">
        <v>197</v>
      </c>
      <c r="D1537" s="37" t="s">
        <v>71</v>
      </c>
    </row>
    <row r="1538" spans="1:4" x14ac:dyDescent="0.25">
      <c r="A1538" s="37" t="s">
        <v>3078</v>
      </c>
      <c r="B1538" s="37" t="s">
        <v>138</v>
      </c>
      <c r="C1538" s="37" t="s">
        <v>3077</v>
      </c>
      <c r="D1538" s="37" t="s">
        <v>116</v>
      </c>
    </row>
    <row r="1539" spans="1:4" x14ac:dyDescent="0.25">
      <c r="A1539" s="37" t="s">
        <v>3076</v>
      </c>
      <c r="B1539" s="37" t="s">
        <v>3074</v>
      </c>
      <c r="C1539" s="37" t="s">
        <v>3075</v>
      </c>
      <c r="D1539" s="37" t="s">
        <v>116</v>
      </c>
    </row>
    <row r="1540" spans="1:4" x14ac:dyDescent="0.25">
      <c r="A1540" s="37" t="s">
        <v>3043</v>
      </c>
      <c r="B1540" s="37" t="s">
        <v>3042</v>
      </c>
      <c r="C1540" s="37" t="s">
        <v>357</v>
      </c>
      <c r="D1540" s="37" t="s">
        <v>116</v>
      </c>
    </row>
    <row r="1541" spans="1:4" x14ac:dyDescent="0.25">
      <c r="A1541" s="37" t="s">
        <v>3080</v>
      </c>
      <c r="B1541" s="37" t="s">
        <v>3079</v>
      </c>
      <c r="C1541" s="37" t="s">
        <v>1048</v>
      </c>
      <c r="D1541" s="37" t="s">
        <v>71</v>
      </c>
    </row>
    <row r="1542" spans="1:4" x14ac:dyDescent="0.25">
      <c r="A1542" s="37" t="s">
        <v>3137</v>
      </c>
      <c r="B1542" s="37" t="s">
        <v>3138</v>
      </c>
      <c r="C1542" s="37" t="s">
        <v>3139</v>
      </c>
      <c r="D1542" s="37" t="s">
        <v>116</v>
      </c>
    </row>
    <row r="1543" spans="1:4" x14ac:dyDescent="0.25">
      <c r="A1543" s="37" t="s">
        <v>3057</v>
      </c>
      <c r="B1543" s="37" t="s">
        <v>3055</v>
      </c>
      <c r="C1543" s="37" t="s">
        <v>3056</v>
      </c>
      <c r="D1543" s="37" t="s">
        <v>1939</v>
      </c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A7704-4B5C-4CE7-AD5D-8C5AE669ABF8}">
  <dimension ref="A1:Z1"/>
  <sheetViews>
    <sheetView zoomScale="70" zoomScaleNormal="70" workbookViewId="0">
      <selection activeCell="A2" sqref="A2:Z585"/>
    </sheetView>
  </sheetViews>
  <sheetFormatPr defaultRowHeight="15" x14ac:dyDescent="0.25"/>
  <cols>
    <col min="2" max="2" width="11.42578125" bestFit="1" customWidth="1"/>
    <col min="3" max="3" width="11.5703125" bestFit="1" customWidth="1"/>
    <col min="4" max="4" width="23.85546875" bestFit="1" customWidth="1"/>
    <col min="5" max="5" width="20" bestFit="1" customWidth="1"/>
    <col min="6" max="6" width="13.42578125" bestFit="1" customWidth="1"/>
    <col min="7" max="7" width="10.7109375" bestFit="1" customWidth="1"/>
    <col min="8" max="8" width="27.85546875" bestFit="1" customWidth="1"/>
    <col min="9" max="9" width="10.7109375" bestFit="1" customWidth="1"/>
    <col min="10" max="10" width="18.5703125" bestFit="1" customWidth="1"/>
    <col min="11" max="11" width="17.42578125" bestFit="1" customWidth="1"/>
    <col min="12" max="12" width="7.42578125" bestFit="1" customWidth="1"/>
    <col min="14" max="14" width="7.28515625" bestFit="1" customWidth="1"/>
    <col min="15" max="15" width="14.28515625" bestFit="1" customWidth="1"/>
    <col min="16" max="16" width="7.42578125" bestFit="1" customWidth="1"/>
    <col min="17" max="17" width="11.140625" bestFit="1" customWidth="1"/>
    <col min="18" max="18" width="18.140625" bestFit="1" customWidth="1"/>
    <col min="19" max="19" width="12.140625" bestFit="1" customWidth="1"/>
    <col min="20" max="20" width="12.42578125" bestFit="1" customWidth="1"/>
    <col min="21" max="21" width="11.140625" bestFit="1" customWidth="1"/>
    <col min="22" max="22" width="5.85546875" bestFit="1" customWidth="1"/>
    <col min="23" max="23" width="13" bestFit="1" customWidth="1"/>
    <col min="24" max="24" width="10" bestFit="1" customWidth="1"/>
    <col min="25" max="25" width="8.5703125" bestFit="1" customWidth="1"/>
  </cols>
  <sheetData>
    <row r="1" spans="1:26" x14ac:dyDescent="0.25">
      <c r="A1" t="s">
        <v>48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70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36</v>
      </c>
      <c r="P1" t="s">
        <v>37</v>
      </c>
      <c r="Q1" t="s">
        <v>38</v>
      </c>
      <c r="R1" t="s">
        <v>39</v>
      </c>
      <c r="S1" t="s">
        <v>40</v>
      </c>
      <c r="T1" t="s">
        <v>41</v>
      </c>
      <c r="U1" t="s">
        <v>42</v>
      </c>
      <c r="V1" t="s">
        <v>43</v>
      </c>
      <c r="W1" t="s">
        <v>44</v>
      </c>
      <c r="X1" t="s">
        <v>45</v>
      </c>
      <c r="Y1" t="s">
        <v>46</v>
      </c>
      <c r="Z1" t="s">
        <v>47</v>
      </c>
    </row>
  </sheetData>
  <sortState xmlns:xlrd2="http://schemas.microsoft.com/office/spreadsheetml/2017/richdata2" ref="A2:Z587">
    <sortCondition ref="A1:A58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invoice</vt:lpstr>
      <vt:lpstr>asosiy</vt:lpstr>
      <vt:lpstr>tovar</vt:lpstr>
      <vt:lpstr>MANIFEST</vt:lpstr>
      <vt:lpstr>passport</vt:lpstr>
      <vt:lpstr>Sheet1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bekzod qodirov</dc:creator>
  <cp:lastModifiedBy>bekzod</cp:lastModifiedBy>
  <cp:lastPrinted>2020-10-22T12:38:57Z</cp:lastPrinted>
  <dcterms:created xsi:type="dcterms:W3CDTF">2015-06-05T18:17:20Z</dcterms:created>
  <dcterms:modified xsi:type="dcterms:W3CDTF">2021-07-04T13:12:19Z</dcterms:modified>
</cp:coreProperties>
</file>